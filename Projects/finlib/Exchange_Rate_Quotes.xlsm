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60" windowWidth="27795" windowHeight="12840"/>
  </bookViews>
  <sheets>
    <sheet name="Table View" sheetId="4" r:id="rId1"/>
    <sheet name="Panel View" sheetId="5" r:id="rId2"/>
    <sheet name="Matrix View" sheetId="3" r:id="rId3"/>
    <sheet name="Boot" sheetId="2" state="veryHidden" r:id="rId4"/>
  </sheets>
  <functionGroups builtInGroupCount="17"/>
  <definedNames>
    <definedName name="BootCurrencyPairs">Boot!$A$1</definedName>
    <definedName name="DoNotShowAgainCheckBox">FALSE</definedName>
  </definedNames>
  <calcPr calcId="144525" calcMode="manual" calcCompleted="0" calcOnSave="0"/>
</workbook>
</file>

<file path=xl/calcChain.xml><?xml version="1.0" encoding="utf-8"?>
<calcChain xmlns="http://schemas.openxmlformats.org/spreadsheetml/2006/main">
  <c r="J17" i="3" l="1"/>
  <c r="J15" i="3"/>
  <c r="J14" i="3"/>
  <c r="J10" i="3"/>
  <c r="J11" i="3"/>
  <c r="G17" i="3"/>
  <c r="G11" i="3"/>
  <c r="F16" i="3"/>
  <c r="F13" i="3"/>
  <c r="G15" i="3"/>
  <c r="E17" i="3"/>
  <c r="E13" i="3"/>
  <c r="H16" i="3"/>
  <c r="I16" i="3"/>
  <c r="I14" i="3"/>
  <c r="I13" i="3"/>
  <c r="I12" i="3"/>
  <c r="G12" i="3"/>
  <c r="I11" i="3"/>
  <c r="I10" i="3"/>
  <c r="C15" i="3"/>
  <c r="I17" i="3"/>
  <c r="G13" i="3"/>
  <c r="F14" i="3"/>
  <c r="F10" i="3"/>
  <c r="E14" i="3"/>
  <c r="D15" i="3"/>
  <c r="E10" i="3"/>
  <c r="H17" i="3"/>
  <c r="G10" i="3"/>
  <c r="H15" i="3"/>
  <c r="H13" i="3"/>
  <c r="H12" i="3"/>
  <c r="H11" i="3"/>
  <c r="C10" i="3"/>
  <c r="H10" i="3"/>
  <c r="G16" i="3"/>
  <c r="C14" i="3"/>
  <c r="D14" i="3"/>
  <c r="F12" i="3"/>
  <c r="E16" i="3"/>
  <c r="E11" i="3"/>
  <c r="J16" i="3"/>
  <c r="D17" i="3"/>
  <c r="D16" i="3"/>
  <c r="I15" i="3"/>
  <c r="G14" i="3"/>
  <c r="D12" i="3"/>
  <c r="D11" i="3"/>
  <c r="D10" i="3"/>
  <c r="F17" i="3"/>
  <c r="C17" i="3"/>
  <c r="C16" i="3"/>
  <c r="H14" i="3"/>
  <c r="D13" i="3"/>
  <c r="C12" i="3"/>
  <c r="C11" i="3"/>
  <c r="F11" i="3"/>
  <c r="F15" i="3"/>
  <c r="E15" i="3"/>
  <c r="E12" i="3"/>
  <c r="C13" i="3"/>
  <c r="J13" i="3"/>
  <c r="J12" i="3"/>
  <c r="E30" i="5"/>
  <c r="I16" i="5"/>
  <c r="L22" i="5"/>
  <c r="B10" i="5"/>
  <c r="B12" i="5"/>
  <c r="K30" i="5"/>
  <c r="H28" i="5"/>
  <c r="E24" i="5"/>
  <c r="L28" i="5"/>
  <c r="E10" i="5"/>
  <c r="K28" i="5"/>
  <c r="K22" i="5"/>
  <c r="H22" i="5"/>
  <c r="B22" i="5"/>
  <c r="K18" i="5"/>
  <c r="E18" i="5"/>
  <c r="B16" i="5"/>
  <c r="F28" i="5"/>
  <c r="L10" i="5"/>
  <c r="I22" i="5"/>
  <c r="B30" i="5"/>
  <c r="B24" i="5"/>
  <c r="F22" i="5"/>
  <c r="K16" i="5"/>
  <c r="E16" i="5"/>
  <c r="C10" i="5"/>
  <c r="H12" i="5"/>
  <c r="I10" i="5"/>
  <c r="H30" i="5"/>
  <c r="H24" i="5"/>
  <c r="H16" i="5"/>
  <c r="B18" i="5"/>
  <c r="H18" i="5"/>
  <c r="F16" i="5"/>
  <c r="E28" i="5"/>
  <c r="K10" i="5"/>
  <c r="E12" i="5"/>
  <c r="F10" i="5"/>
  <c r="L16" i="5"/>
  <c r="C28" i="5"/>
  <c r="K24" i="5"/>
  <c r="C16" i="5"/>
  <c r="I28" i="5"/>
  <c r="E22" i="5"/>
  <c r="H10" i="5"/>
  <c r="B28" i="5"/>
  <c r="C22" i="5"/>
  <c r="K12" i="5"/>
  <c r="H11" i="5" l="1"/>
  <c r="L29" i="5"/>
  <c r="I11" i="5"/>
  <c r="F17" i="5"/>
  <c r="K17" i="5"/>
  <c r="H23" i="5"/>
  <c r="E29" i="5"/>
  <c r="K29" i="5"/>
  <c r="E17" i="5"/>
  <c r="I23" i="5"/>
  <c r="B11" i="5"/>
  <c r="B23" i="5"/>
  <c r="K23" i="5"/>
  <c r="F29" i="5"/>
  <c r="C11" i="5"/>
  <c r="K11" i="5"/>
  <c r="H17" i="5"/>
  <c r="C23" i="5"/>
  <c r="H29" i="5"/>
  <c r="E11" i="5"/>
  <c r="L11" i="5"/>
  <c r="I17" i="5"/>
  <c r="L23" i="5"/>
  <c r="I29" i="5"/>
  <c r="F11" i="5"/>
  <c r="B17" i="5"/>
  <c r="E23" i="5"/>
  <c r="B29" i="5"/>
  <c r="C17" i="5"/>
  <c r="L17" i="5"/>
  <c r="F23" i="5"/>
  <c r="C29" i="5"/>
  <c r="D27" i="4"/>
  <c r="F54" i="4"/>
  <c r="F44" i="4"/>
  <c r="F43" i="4"/>
  <c r="E12" i="4"/>
  <c r="E29" i="4"/>
  <c r="D23" i="4"/>
  <c r="C51" i="4"/>
  <c r="E52" i="4"/>
  <c r="F34" i="4"/>
  <c r="C42" i="4"/>
  <c r="D9" i="4"/>
  <c r="D41" i="4"/>
  <c r="D56" i="4"/>
  <c r="C62" i="4"/>
  <c r="C17" i="4"/>
  <c r="F55" i="4"/>
  <c r="F22" i="4"/>
  <c r="E39" i="4"/>
  <c r="F19" i="4"/>
  <c r="F26" i="4"/>
  <c r="F10" i="4"/>
  <c r="D39" i="4"/>
  <c r="D48" i="4"/>
  <c r="F45" i="4"/>
  <c r="E62" i="4"/>
  <c r="E28" i="4"/>
  <c r="E26" i="4"/>
  <c r="F60" i="4"/>
  <c r="D14" i="4"/>
  <c r="E21" i="4"/>
  <c r="D13" i="4"/>
  <c r="F46" i="4"/>
  <c r="C22" i="4"/>
  <c r="E36" i="4"/>
  <c r="E64" i="4"/>
  <c r="E14" i="4"/>
  <c r="C38" i="4"/>
  <c r="F47" i="4"/>
  <c r="C15" i="4"/>
  <c r="E10" i="4"/>
  <c r="F18" i="4"/>
  <c r="C21" i="4"/>
  <c r="D38" i="4"/>
  <c r="C18" i="4"/>
  <c r="E55" i="4"/>
  <c r="D18" i="4"/>
  <c r="D29" i="4"/>
  <c r="D50" i="4"/>
  <c r="E42" i="4"/>
  <c r="F48" i="4"/>
  <c r="D63" i="4"/>
  <c r="F15" i="4"/>
  <c r="F51" i="4"/>
  <c r="F61" i="4"/>
  <c r="F16" i="4"/>
  <c r="F23" i="4"/>
  <c r="D32" i="4"/>
  <c r="F35" i="4"/>
  <c r="E44" i="4"/>
  <c r="E33" i="4"/>
  <c r="C52" i="4"/>
  <c r="D25" i="4"/>
  <c r="D64" i="4"/>
  <c r="F41" i="4"/>
  <c r="C32" i="4"/>
  <c r="D55" i="4"/>
  <c r="C25" i="4"/>
  <c r="C46" i="4"/>
  <c r="D36" i="4"/>
  <c r="D22" i="4"/>
  <c r="C24" i="4"/>
  <c r="C37" i="4"/>
  <c r="C56" i="4"/>
  <c r="C27" i="4"/>
  <c r="D57" i="4"/>
  <c r="D46" i="4"/>
  <c r="C30" i="4"/>
  <c r="E54" i="4"/>
  <c r="F52" i="4"/>
  <c r="D54" i="4"/>
  <c r="F56" i="4"/>
  <c r="C55" i="4"/>
  <c r="D43" i="4"/>
  <c r="C44" i="4"/>
  <c r="C45" i="4"/>
  <c r="D17" i="4"/>
  <c r="E48" i="4"/>
  <c r="F49" i="4"/>
  <c r="E15" i="4"/>
  <c r="C28" i="4"/>
  <c r="D31" i="4"/>
  <c r="D35" i="4"/>
  <c r="C31" i="4"/>
  <c r="E20" i="4"/>
  <c r="F24" i="4"/>
  <c r="D33" i="4"/>
  <c r="F36" i="4"/>
  <c r="E17" i="4"/>
  <c r="E31" i="4"/>
  <c r="E46" i="4"/>
  <c r="F57" i="4"/>
  <c r="E22" i="4"/>
  <c r="F9" i="4"/>
  <c r="D60" i="4"/>
  <c r="D61" i="4"/>
  <c r="C11" i="4"/>
  <c r="E60" i="4"/>
  <c r="F30" i="4"/>
  <c r="F39" i="4"/>
  <c r="D45" i="4"/>
  <c r="C58" i="4"/>
  <c r="F33" i="4"/>
  <c r="E43" i="4"/>
  <c r="C57" i="4"/>
  <c r="C14" i="4"/>
  <c r="E32" i="4"/>
  <c r="F50" i="4"/>
  <c r="E47" i="4"/>
  <c r="D53" i="4"/>
  <c r="D28" i="4"/>
  <c r="E49" i="4"/>
  <c r="F63" i="4"/>
  <c r="F58" i="4"/>
  <c r="D26" i="4"/>
  <c r="E38" i="4"/>
  <c r="D47" i="4"/>
  <c r="C49" i="4"/>
  <c r="C33" i="4"/>
  <c r="E11" i="4"/>
  <c r="C12" i="4"/>
  <c r="D10" i="4"/>
  <c r="C13" i="4"/>
  <c r="E35" i="4"/>
  <c r="F59" i="4"/>
  <c r="D21" i="4"/>
  <c r="E59" i="4"/>
  <c r="C34" i="4"/>
  <c r="D49" i="4"/>
  <c r="F38" i="4"/>
  <c r="E41" i="4"/>
  <c r="D19" i="4"/>
  <c r="C20" i="4"/>
  <c r="C9" i="4"/>
  <c r="F62" i="4"/>
  <c r="E23" i="4"/>
  <c r="E57" i="4"/>
  <c r="C47" i="4"/>
  <c r="E25" i="4"/>
  <c r="F20" i="4"/>
  <c r="F64" i="4"/>
  <c r="F27" i="4"/>
  <c r="D42" i="4"/>
  <c r="E58" i="4"/>
  <c r="D12" i="4"/>
  <c r="C19" i="4"/>
  <c r="F13" i="4"/>
  <c r="C10" i="4"/>
  <c r="F17" i="4"/>
  <c r="C61" i="4"/>
  <c r="F32" i="4"/>
  <c r="F31" i="4"/>
  <c r="D59" i="4"/>
  <c r="C35" i="4"/>
  <c r="E30" i="4"/>
  <c r="F37" i="4"/>
  <c r="C63" i="4"/>
  <c r="E56" i="4"/>
  <c r="E53" i="4"/>
  <c r="D24" i="4"/>
  <c r="E13" i="4"/>
  <c r="E37" i="4"/>
  <c r="E24" i="4"/>
  <c r="C39" i="4"/>
  <c r="F29" i="4"/>
  <c r="E50" i="4"/>
  <c r="C59" i="4"/>
  <c r="E19" i="4"/>
  <c r="C48" i="4"/>
  <c r="C60" i="4"/>
  <c r="F28" i="4"/>
  <c r="D34" i="4"/>
  <c r="F21" i="4"/>
  <c r="C29" i="4"/>
  <c r="F25" i="4"/>
  <c r="C54" i="4"/>
  <c r="E16" i="4"/>
  <c r="F40" i="4"/>
  <c r="D62" i="4"/>
  <c r="D20" i="4"/>
  <c r="C53" i="4"/>
  <c r="F42" i="4"/>
  <c r="E18" i="4"/>
  <c r="D52" i="4"/>
  <c r="C26" i="4"/>
  <c r="C36" i="4"/>
  <c r="D16" i="4"/>
  <c r="F53" i="4"/>
  <c r="D37" i="4"/>
  <c r="D40" i="4"/>
  <c r="C16" i="4"/>
  <c r="C23" i="4"/>
  <c r="D15" i="4"/>
  <c r="E34" i="4"/>
  <c r="E27" i="4"/>
  <c r="D51" i="4"/>
  <c r="D30" i="4"/>
  <c r="D11" i="4"/>
  <c r="C64" i="4"/>
  <c r="F12" i="4"/>
  <c r="C41" i="4"/>
  <c r="C43" i="4"/>
  <c r="C50" i="4"/>
  <c r="D44" i="4"/>
  <c r="D58" i="4"/>
  <c r="E45" i="4"/>
  <c r="C40" i="4"/>
  <c r="E51" i="4"/>
  <c r="E40" i="4"/>
  <c r="F11" i="4"/>
  <c r="F14" i="4"/>
  <c r="E61" i="4"/>
  <c r="E9" i="4"/>
  <c r="E63" i="4"/>
</calcChain>
</file>

<file path=xl/sharedStrings.xml><?xml version="1.0" encoding="utf-8"?>
<sst xmlns="http://schemas.openxmlformats.org/spreadsheetml/2006/main" count="217" uniqueCount="159">
  <si>
    <t>Rate</t>
  </si>
  <si>
    <t>Bid</t>
  </si>
  <si>
    <t>Ask</t>
  </si>
  <si>
    <t>Time</t>
  </si>
  <si>
    <t>RANDOM</t>
  </si>
  <si>
    <t>EUR/USD</t>
  </si>
  <si>
    <t>GBP/USD</t>
  </si>
  <si>
    <t>CAD/CHF</t>
  </si>
  <si>
    <t>Boot Currency Pairs</t>
  </si>
  <si>
    <t>GBPUSD</t>
  </si>
  <si>
    <t>EURUSD</t>
  </si>
  <si>
    <t>USDCNY</t>
  </si>
  <si>
    <t>CADCHF</t>
  </si>
  <si>
    <t>CNYUSD</t>
  </si>
  <si>
    <t>Pair</t>
  </si>
  <si>
    <t>AUD/USD</t>
  </si>
  <si>
    <t>USD/JPY</t>
  </si>
  <si>
    <t>EUR/JPY</t>
  </si>
  <si>
    <t>EUR/GBP</t>
  </si>
  <si>
    <t>USD/CAD</t>
  </si>
  <si>
    <t>USD/CHF</t>
  </si>
  <si>
    <t>USDCAD</t>
  </si>
  <si>
    <t>EURJPY</t>
  </si>
  <si>
    <t>USDJPY</t>
  </si>
  <si>
    <t>USDCHF</t>
  </si>
  <si>
    <t>EURGBP</t>
  </si>
  <si>
    <t>AUDUSD</t>
  </si>
  <si>
    <t>JPYCNY</t>
  </si>
  <si>
    <t>USD</t>
  </si>
  <si>
    <t>GBP</t>
  </si>
  <si>
    <t>CAD</t>
  </si>
  <si>
    <t>EUR</t>
  </si>
  <si>
    <t>AUD</t>
  </si>
  <si>
    <t>USDUSD</t>
  </si>
  <si>
    <t>AUDEUR</t>
  </si>
  <si>
    <t>GBPCAD</t>
  </si>
  <si>
    <t>AUDGBP</t>
  </si>
  <si>
    <t>CADCAD</t>
  </si>
  <si>
    <t>EURAUD</t>
  </si>
  <si>
    <t>USDEUR</t>
  </si>
  <si>
    <t>CADUSD</t>
  </si>
  <si>
    <t>EURCAD</t>
  </si>
  <si>
    <t>USDGBP</t>
  </si>
  <si>
    <t>AUDCAD</t>
  </si>
  <si>
    <t>CADAUD</t>
  </si>
  <si>
    <t>GBPGBP</t>
  </si>
  <si>
    <t>CADEUR</t>
  </si>
  <si>
    <t>USDAUD</t>
  </si>
  <si>
    <t>CADGBP</t>
  </si>
  <si>
    <t>EUREUR</t>
  </si>
  <si>
    <t>GBPAUD</t>
  </si>
  <si>
    <t>AUDAUD</t>
  </si>
  <si>
    <t>GBPEUR</t>
  </si>
  <si>
    <t>CHF</t>
  </si>
  <si>
    <t>NZD</t>
  </si>
  <si>
    <t>JPY</t>
  </si>
  <si>
    <t>JYPUSD</t>
  </si>
  <si>
    <t>JPYUSD</t>
  </si>
  <si>
    <t>USDNZD</t>
  </si>
  <si>
    <t>CHFUSD</t>
  </si>
  <si>
    <t>NZDUSD</t>
  </si>
  <si>
    <t>NZDAUD</t>
  </si>
  <si>
    <t>JPYAUD</t>
  </si>
  <si>
    <t>NZDCAD</t>
  </si>
  <si>
    <t>JPYGBP</t>
  </si>
  <si>
    <t>CHFEUR</t>
  </si>
  <si>
    <t>NZDEUR</t>
  </si>
  <si>
    <t>JPYEUR</t>
  </si>
  <si>
    <t>NZDGBP</t>
  </si>
  <si>
    <t>CHFCAD</t>
  </si>
  <si>
    <t>CHFGBP</t>
  </si>
  <si>
    <t>JPYCAD</t>
  </si>
  <si>
    <t>CHFAUD</t>
  </si>
  <si>
    <t>NZDJPY</t>
  </si>
  <si>
    <t>CHFJPY</t>
  </si>
  <si>
    <t>JPYJPY</t>
  </si>
  <si>
    <t>AUDJPY</t>
  </si>
  <si>
    <t>CADJPY</t>
  </si>
  <si>
    <t>GBPJPY</t>
  </si>
  <si>
    <t>NZDCHF</t>
  </si>
  <si>
    <t>EURCHF</t>
  </si>
  <si>
    <t>CHFCHF</t>
  </si>
  <si>
    <t>JPYNZD</t>
  </si>
  <si>
    <t>JPYCHF</t>
  </si>
  <si>
    <t>AUDNZD</t>
  </si>
  <si>
    <t>NZDNZD</t>
  </si>
  <si>
    <t>CHFNZD</t>
  </si>
  <si>
    <t>CADNZD</t>
  </si>
  <si>
    <t>GBPNZD</t>
  </si>
  <si>
    <t>GBPCHF</t>
  </si>
  <si>
    <t>AUDCHF</t>
  </si>
  <si>
    <t>EURNZD</t>
  </si>
  <si>
    <t>USD/AUD</t>
  </si>
  <si>
    <t>USD/EUR</t>
  </si>
  <si>
    <t>USD/GBP</t>
  </si>
  <si>
    <t>USD/NZD</t>
  </si>
  <si>
    <t>AUD/CAD</t>
  </si>
  <si>
    <t>AUD/CHF</t>
  </si>
  <si>
    <t>AUD/EUR</t>
  </si>
  <si>
    <t>AUD/GBP</t>
  </si>
  <si>
    <t>AUD/JPY</t>
  </si>
  <si>
    <t>AUD/NZD</t>
  </si>
  <si>
    <t>CAD/AUD</t>
  </si>
  <si>
    <t>CAD/EUR</t>
  </si>
  <si>
    <t>CAD/GBP</t>
  </si>
  <si>
    <t>CAD/JPY</t>
  </si>
  <si>
    <t>CAD/NZD</t>
  </si>
  <si>
    <t>CAD/USD</t>
  </si>
  <si>
    <t>CHF/AUD</t>
  </si>
  <si>
    <t>CHF/CAD</t>
  </si>
  <si>
    <t>CHF/EUR</t>
  </si>
  <si>
    <t>CHF/GBP</t>
  </si>
  <si>
    <t>CHF/JPY</t>
  </si>
  <si>
    <t>CHF/NZD</t>
  </si>
  <si>
    <t>CHF/USD</t>
  </si>
  <si>
    <t>EUR/AUD</t>
  </si>
  <si>
    <t>EUR/CAD</t>
  </si>
  <si>
    <t>EUR/CHF</t>
  </si>
  <si>
    <t>EUR/NZD</t>
  </si>
  <si>
    <t>GBP/AUD</t>
  </si>
  <si>
    <t>GBP/CAD</t>
  </si>
  <si>
    <t>GBP/CHF</t>
  </si>
  <si>
    <t>GBP/EUR</t>
  </si>
  <si>
    <t>GBP/JPY</t>
  </si>
  <si>
    <t>GBP/NZD</t>
  </si>
  <si>
    <t>JPY/AUD</t>
  </si>
  <si>
    <t>JPY/CAD</t>
  </si>
  <si>
    <t>JPY/CHF</t>
  </si>
  <si>
    <t>JPY/EUR</t>
  </si>
  <si>
    <t>JPY/GBP</t>
  </si>
  <si>
    <t>JPY/NZD</t>
  </si>
  <si>
    <t>JPY/USD</t>
  </si>
  <si>
    <t>NZD/AUD</t>
  </si>
  <si>
    <t>NZD/CAD</t>
  </si>
  <si>
    <t>NZD/CHF</t>
  </si>
  <si>
    <t>NZD/EUR</t>
  </si>
  <si>
    <t>NZD/GBP</t>
  </si>
  <si>
    <t>NZD/JPY</t>
  </si>
  <si>
    <t>NZD/USD</t>
  </si>
  <si>
    <t>Available Functions</t>
  </si>
  <si>
    <t>=ExchangeRate(currency_pair)</t>
  </si>
  <si>
    <t>=ExchangeRateBid(currency_pair)</t>
  </si>
  <si>
    <t>=ExchangeRateAsk(currency_pair)</t>
  </si>
  <si>
    <t>=ExchangeRateDateTime(currency_pair)</t>
  </si>
  <si>
    <t>Returns the date and time of the quote.</t>
  </si>
  <si>
    <t>Available Macros</t>
  </si>
  <si>
    <t>RefreshExchangeRate</t>
  </si>
  <si>
    <t>AutoRefresh</t>
  </si>
  <si>
    <t>StopAutoRefresh</t>
  </si>
  <si>
    <t>Disables auto refresh exchange rate quotes.</t>
  </si>
  <si>
    <t>Enables auto refresh exchange rate quotes at the first second of every minute.</t>
  </si>
  <si>
    <t>Exchange Rate Quotes Matrix</t>
  </si>
  <si>
    <t>Exchange Rate Quotes Table</t>
  </si>
  <si>
    <t>Source: Yahoo Finance. Quotes delayed.</t>
  </si>
  <si>
    <t>Returns the delayed quote for currency pair.</t>
  </si>
  <si>
    <t>Exchange Rate Quotes Panel</t>
  </si>
  <si>
    <t>Refreshes exchange rate quotes on all sheets. Shortcut key: F9.</t>
  </si>
  <si>
    <t>Returns the bid price for currency pair.</t>
  </si>
  <si>
    <t>Returns the ask price for currency pair.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</si>
</sst>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/d/yy\ h:mm\ AM/PM;@"/>
    <numFmt numFmtId="165" formatCode="0.0000"/>
  </numFmts>
  <fonts count="8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Fill="1"/>
    <xf numFmtId="0" fontId="0" fillId="2" borderId="0" xfId="0" applyFill="1"/>
    <xf numFmtId="0" fontId="1" fillId="2" borderId="0" xfId="0" applyFont="1" applyFill="1"/>
    <xf numFmtId="165" fontId="0" fillId="0" borderId="0" xfId="0" applyNumberFormat="1" applyFill="1"/>
    <xf numFmtId="164" fontId="0" fillId="0" borderId="0" xfId="0" applyNumberFormat="1" applyFill="1"/>
    <xf numFmtId="49" fontId="0" fillId="2" borderId="0" xfId="0" applyNumberFormat="1" applyFill="1"/>
    <xf numFmtId="0" fontId="0" fillId="2" borderId="2" xfId="0" applyFill="1" applyBorder="1"/>
    <xf numFmtId="0" fontId="0" fillId="2" borderId="3" xfId="0" applyFill="1" applyBorder="1"/>
    <xf numFmtId="49" fontId="0" fillId="2" borderId="6" xfId="0" applyNumberFormat="1" applyFill="1" applyBorder="1"/>
    <xf numFmtId="49" fontId="0" fillId="2" borderId="7" xfId="0" applyNumberFormat="1" applyFill="1" applyBorder="1"/>
    <xf numFmtId="49" fontId="0" fillId="2" borderId="8" xfId="0" applyNumberFormat="1" applyFill="1" applyBorder="1"/>
    <xf numFmtId="0" fontId="0" fillId="2" borderId="1" xfId="0" applyFill="1" applyBorder="1"/>
    <xf numFmtId="0" fontId="0" fillId="4" borderId="13" xfId="0" applyFill="1" applyBorder="1"/>
    <xf numFmtId="0" fontId="0" fillId="4" borderId="15" xfId="0" applyFill="1" applyBorder="1" applyAlignment="1">
      <alignment horizontal="right"/>
    </xf>
    <xf numFmtId="0" fontId="0" fillId="4" borderId="16" xfId="0" applyFill="1" applyBorder="1" applyAlignment="1">
      <alignment horizontal="right"/>
    </xf>
    <xf numFmtId="0" fontId="0" fillId="4" borderId="14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17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165" fontId="4" fillId="2" borderId="10" xfId="0" applyNumberFormat="1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/>
    </xf>
    <xf numFmtId="0" fontId="7" fillId="2" borderId="10" xfId="0" applyFont="1" applyFill="1" applyBorder="1" applyAlignment="1">
      <alignment horizontal="center"/>
    </xf>
    <xf numFmtId="165" fontId="4" fillId="2" borderId="9" xfId="0" applyNumberFormat="1" applyFont="1" applyFill="1" applyBorder="1" applyAlignment="1">
      <alignment horizontal="center"/>
    </xf>
    <xf numFmtId="0" fontId="0" fillId="2" borderId="0" xfId="0" applyFill="1"/>
    <xf numFmtId="0" fontId="0" fillId="2" borderId="0" xfId="0" applyFill="1"/>
    <xf numFmtId="0" fontId="0" fillId="2" borderId="0" xfId="0" applyFill="1"/>
    <xf numFmtId="49" fontId="2" fillId="2" borderId="4" xfId="0" applyNumberFormat="1" applyFont="1" applyFill="1" applyBorder="1" applyAlignment="1">
      <alignment horizontal="center"/>
    </xf>
    <xf numFmtId="49" fontId="2" fillId="2" borderId="5" xfId="0" applyNumberFormat="1" applyFont="1" applyFill="1" applyBorder="1" applyAlignment="1">
      <alignment horizontal="center"/>
    </xf>
    <xf numFmtId="0" fontId="6" fillId="3" borderId="18" xfId="0" applyFont="1" applyFill="1" applyBorder="1" applyAlignment="1">
      <alignment horizontal="center"/>
    </xf>
    <xf numFmtId="0" fontId="6" fillId="3" borderId="19" xfId="0" applyFont="1" applyFill="1" applyBorder="1" applyAlignment="1">
      <alignment horizontal="center"/>
    </xf>
    <xf numFmtId="164" fontId="5" fillId="2" borderId="11" xfId="0" applyNumberFormat="1" applyFont="1" applyFill="1" applyBorder="1" applyAlignment="1">
      <alignment horizontal="center"/>
    </xf>
    <xf numFmtId="164" fontId="5" fillId="2" borderId="12" xfId="0" applyNumberFormat="1" applyFont="1" applyFill="1" applyBorder="1" applyAlignment="1">
      <alignment horizontal="center"/>
    </xf>
  </cellXfs>
  <cellStyles count="1">
    <cellStyle name="Normal" xfId="0" builtinId="0"/>
  </cellStyles>
  <dxfs count="7">
    <dxf>
      <numFmt numFmtId="164" formatCode="[$-409]m/d/yy\ h:mm\ AM/PM;@"/>
      <fill>
        <patternFill patternType="none">
          <fgColor indexed="64"/>
          <bgColor auto="1"/>
        </patternFill>
      </fill>
    </dxf>
    <dxf>
      <numFmt numFmtId="165" formatCode="0.0000"/>
      <fill>
        <patternFill patternType="none">
          <fgColor indexed="64"/>
          <bgColor auto="1"/>
        </patternFill>
      </fill>
    </dxf>
    <dxf>
      <numFmt numFmtId="165" formatCode="0.0000"/>
      <fill>
        <patternFill patternType="none">
          <fgColor indexed="64"/>
          <bgColor auto="1"/>
        </patternFill>
      </fill>
    </dxf>
    <dxf>
      <numFmt numFmtId="165" formatCode="0.00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7</xdr:row>
          <xdr:rowOff>19050</xdr:rowOff>
        </xdr:from>
        <xdr:to>
          <xdr:col>9</xdr:col>
          <xdr:colOff>257175</xdr:colOff>
          <xdr:row>8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9</xdr:row>
          <xdr:rowOff>76200</xdr:rowOff>
        </xdr:from>
        <xdr:to>
          <xdr:col>9</xdr:col>
          <xdr:colOff>257175</xdr:colOff>
          <xdr:row>11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Auto Refresh Every Minute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11</xdr:row>
          <xdr:rowOff>133350</xdr:rowOff>
        </xdr:from>
        <xdr:to>
          <xdr:col>9</xdr:col>
          <xdr:colOff>257175</xdr:colOff>
          <xdr:row>13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Stop Auto Refresh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19050</xdr:colOff>
      <xdr:row>1</xdr:row>
      <xdr:rowOff>0</xdr:rowOff>
    </xdr:from>
    <xdr:to>
      <xdr:col>2</xdr:col>
      <xdr:colOff>76200</xdr:colOff>
      <xdr:row>6</xdr:row>
      <xdr:rowOff>47625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" y="190500"/>
          <a:ext cx="952500" cy="1143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7</xdr:row>
          <xdr:rowOff>9525</xdr:rowOff>
        </xdr:from>
        <xdr:to>
          <xdr:col>15</xdr:col>
          <xdr:colOff>295275</xdr:colOff>
          <xdr:row>8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9</xdr:row>
          <xdr:rowOff>28575</xdr:rowOff>
        </xdr:from>
        <xdr:to>
          <xdr:col>15</xdr:col>
          <xdr:colOff>295275</xdr:colOff>
          <xdr:row>10</xdr:row>
          <xdr:rowOff>180975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Auto Refresh Every Minute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10</xdr:row>
          <xdr:rowOff>276225</xdr:rowOff>
        </xdr:from>
        <xdr:to>
          <xdr:col>15</xdr:col>
          <xdr:colOff>295275</xdr:colOff>
          <xdr:row>12</xdr:row>
          <xdr:rowOff>66675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Stop Auto Refresh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19050</xdr:colOff>
      <xdr:row>0</xdr:row>
      <xdr:rowOff>180975</xdr:rowOff>
    </xdr:from>
    <xdr:to>
      <xdr:col>2</xdr:col>
      <xdr:colOff>209550</xdr:colOff>
      <xdr:row>6</xdr:row>
      <xdr:rowOff>38100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" y="180975"/>
          <a:ext cx="952500" cy="1143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8</xdr:row>
          <xdr:rowOff>0</xdr:rowOff>
        </xdr:from>
        <xdr:to>
          <xdr:col>13</xdr:col>
          <xdr:colOff>219075</xdr:colOff>
          <xdr:row>9</xdr:row>
          <xdr:rowOff>152400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10</xdr:row>
          <xdr:rowOff>66675</xdr:rowOff>
        </xdr:from>
        <xdr:to>
          <xdr:col>13</xdr:col>
          <xdr:colOff>219075</xdr:colOff>
          <xdr:row>12</xdr:row>
          <xdr:rowOff>28575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Auto Refresh Every Minute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12</xdr:row>
          <xdr:rowOff>123825</xdr:rowOff>
        </xdr:from>
        <xdr:to>
          <xdr:col>13</xdr:col>
          <xdr:colOff>219075</xdr:colOff>
          <xdr:row>14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Stop Auto Refresh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19050</xdr:colOff>
      <xdr:row>1</xdr:row>
      <xdr:rowOff>9525</xdr:rowOff>
    </xdr:from>
    <xdr:to>
      <xdr:col>2</xdr:col>
      <xdr:colOff>361950</xdr:colOff>
      <xdr:row>6</xdr:row>
      <xdr:rowOff>57150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" y="200025"/>
          <a:ext cx="952500" cy="1143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B8:F64" totalsRowShown="0" headerRowDxfId="6" dataDxfId="5">
  <autoFilter ref="B8:F64"/>
  <tableColumns count="5">
    <tableColumn id="1" name="Pair" dataDxfId="4"/>
    <tableColumn id="2" name="Rate" dataDxfId="3">
      <calculatedColumnFormula>ExchangeRate(B9)</calculatedColumnFormula>
    </tableColumn>
    <tableColumn id="3" name="Bid" dataDxfId="2">
      <calculatedColumnFormula>ExchangeRateBid(B9)</calculatedColumnFormula>
    </tableColumn>
    <tableColumn id="4" name="Ask" dataDxfId="1">
      <calculatedColumnFormula>ExchangeRateAsk(B9)</calculatedColumnFormula>
    </tableColumn>
    <tableColumn id="5" name="Time" dataDxfId="0">
      <calculatedColumnFormula>ExchangeRateDateTime(B9)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4:L64"/>
  <sheetViews>
    <sheetView tabSelected="1" zoomScaleNormal="100" workbookViewId="0">
      <selection activeCell="J23" sqref="J23"/>
    </sheetView>
  </sheetViews>
  <sheetFormatPr defaultRowHeight="15" x14ac:dyDescent="0.25"/>
  <cols>
    <col min="1" max="1" width="9.140625" style="2"/>
    <col min="2" max="2" width="13.42578125" style="2" customWidth="1"/>
    <col min="3" max="5" width="9.5703125" style="2" bestFit="1" customWidth="1"/>
    <col min="6" max="6" width="17.5703125" style="2" customWidth="1"/>
    <col min="7" max="10" width="9.140625" style="2"/>
    <col min="11" max="11" width="38.140625" style="2" customWidth="1"/>
    <col min="12" max="12" width="60" style="2" customWidth="1"/>
    <col min="13" max="16384" width="9.140625" style="2"/>
  </cols>
  <sheetData>
    <row r="4" spans="2:12" ht="26.25" x14ac:dyDescent="0.4">
      <c r="D4" s="3" t="s">
        <v>152</v>
      </c>
    </row>
    <row r="7" spans="2:12" x14ac:dyDescent="0.25">
      <c r="B7" s="28" t="s">
        <v>153</v>
      </c>
    </row>
    <row r="8" spans="2:12" ht="15.75" x14ac:dyDescent="0.25">
      <c r="B8" s="1" t="s">
        <v>14</v>
      </c>
      <c r="C8" s="1" t="s">
        <v>0</v>
      </c>
      <c r="D8" s="1" t="s">
        <v>1</v>
      </c>
      <c r="E8" s="1" t="s">
        <v>2</v>
      </c>
      <c r="F8" s="1" t="s">
        <v>3</v>
      </c>
      <c r="K8" s="31" t="s">
        <v>139</v>
      </c>
      <c r="L8" s="32"/>
    </row>
    <row r="9" spans="2:12" x14ac:dyDescent="0.25">
      <c r="B9" s="1" t="s">
        <v>96</v>
      </c>
      <c r="C9" s="4">
        <f>ExchangeRate(B9)</f>
        <v>0.95030000000000003</v>
      </c>
      <c r="D9" s="4">
        <f t="shared" ref="D9:D57" si="0">ExchangeRateBid(B9)</f>
        <v>0.95009999999999994</v>
      </c>
      <c r="E9" s="4">
        <f>ExchangeRateAsk(B9)</f>
        <v>0.95050000000000001</v>
      </c>
      <c r="F9" s="5">
        <f t="shared" ref="F9:F57" si="1">ExchangeRateDateTime(B9)</f>
        <v>41982.623611111114</v>
      </c>
      <c r="K9" s="9" t="s">
        <v>140</v>
      </c>
      <c r="L9" s="7" t="s">
        <v>154</v>
      </c>
    </row>
    <row r="10" spans="2:12" x14ac:dyDescent="0.25">
      <c r="B10" s="1" t="s">
        <v>97</v>
      </c>
      <c r="C10" s="4">
        <f t="shared" ref="C10:C57" si="2">ExchangeRate(B10)</f>
        <v>0.80659999999999998</v>
      </c>
      <c r="D10" s="4">
        <f t="shared" si="0"/>
        <v>0.80649999999999999</v>
      </c>
      <c r="E10" s="4">
        <f t="shared" ref="E10:E57" si="3">ExchangeRateAsk(B10)</f>
        <v>0.80679999999999996</v>
      </c>
      <c r="F10" s="5">
        <f t="shared" si="1"/>
        <v>41982.623611111114</v>
      </c>
      <c r="K10" s="10" t="s">
        <v>141</v>
      </c>
      <c r="L10" s="7" t="s">
        <v>157</v>
      </c>
    </row>
    <row r="11" spans="2:12" x14ac:dyDescent="0.25">
      <c r="B11" s="1" t="s">
        <v>98</v>
      </c>
      <c r="C11" s="4">
        <f t="shared" si="2"/>
        <v>0.67110000000000003</v>
      </c>
      <c r="D11" s="4">
        <f t="shared" si="0"/>
        <v>0.67110000000000003</v>
      </c>
      <c r="E11" s="4">
        <f t="shared" si="3"/>
        <v>0.67110000000000003</v>
      </c>
      <c r="F11" s="5">
        <f t="shared" si="1"/>
        <v>41982.622916666667</v>
      </c>
      <c r="K11" s="10" t="s">
        <v>142</v>
      </c>
      <c r="L11" s="7" t="s">
        <v>158</v>
      </c>
    </row>
    <row r="12" spans="2:12" x14ac:dyDescent="0.25">
      <c r="B12" s="1" t="s">
        <v>99</v>
      </c>
      <c r="C12" s="4">
        <f t="shared" si="2"/>
        <v>0.53029999999999999</v>
      </c>
      <c r="D12" s="4">
        <f t="shared" si="0"/>
        <v>0.5302</v>
      </c>
      <c r="E12" s="4">
        <f t="shared" si="3"/>
        <v>0.53029999999999999</v>
      </c>
      <c r="F12" s="5">
        <f t="shared" si="1"/>
        <v>41982.622916666667</v>
      </c>
      <c r="K12" s="11" t="s">
        <v>143</v>
      </c>
      <c r="L12" s="8" t="s">
        <v>144</v>
      </c>
    </row>
    <row r="13" spans="2:12" x14ac:dyDescent="0.25">
      <c r="B13" s="1" t="s">
        <v>100</v>
      </c>
      <c r="C13" s="4">
        <f t="shared" si="2"/>
        <v>99.192899999999995</v>
      </c>
      <c r="D13" s="4">
        <f t="shared" si="0"/>
        <v>99.174700000000001</v>
      </c>
      <c r="E13" s="4">
        <f t="shared" si="3"/>
        <v>99.211200000000005</v>
      </c>
      <c r="F13" s="5">
        <f t="shared" si="1"/>
        <v>41982.623611111114</v>
      </c>
      <c r="K13" s="6"/>
    </row>
    <row r="14" spans="2:12" x14ac:dyDescent="0.25">
      <c r="B14" s="1" t="s">
        <v>101</v>
      </c>
      <c r="C14" s="4">
        <f>ExchangeRate(B14)</f>
        <v>1.08</v>
      </c>
      <c r="D14" s="4">
        <f>ExchangeRateBid(B14)</f>
        <v>1.0797000000000001</v>
      </c>
      <c r="E14" s="4">
        <f>ExchangeRateAsk(B14)</f>
        <v>1.0803</v>
      </c>
      <c r="F14" s="5">
        <f>ExchangeRateDateTime(B14)</f>
        <v>41982.623611111114</v>
      </c>
    </row>
    <row r="15" spans="2:12" ht="15.75" x14ac:dyDescent="0.25">
      <c r="B15" s="1" t="s">
        <v>15</v>
      </c>
      <c r="C15" s="4">
        <f>ExchangeRate(B15)</f>
        <v>0.83050000000000002</v>
      </c>
      <c r="D15" s="4">
        <f>ExchangeRateBid(B15)</f>
        <v>0.83050000000000002</v>
      </c>
      <c r="E15" s="4">
        <f>ExchangeRateAsk(B15)</f>
        <v>0.8306</v>
      </c>
      <c r="F15" s="5">
        <f>ExchangeRateDateTime(B15)</f>
        <v>41982.622916666667</v>
      </c>
      <c r="K15" s="31" t="s">
        <v>145</v>
      </c>
      <c r="L15" s="32"/>
    </row>
    <row r="16" spans="2:12" x14ac:dyDescent="0.25">
      <c r="B16" s="1" t="s">
        <v>102</v>
      </c>
      <c r="C16" s="4">
        <f>ExchangeRate(B16)</f>
        <v>1.0523</v>
      </c>
      <c r="D16" s="4">
        <f>ExchangeRateBid(B16)</f>
        <v>1.0521</v>
      </c>
      <c r="E16" s="4">
        <f>ExchangeRateAsk(B16)</f>
        <v>1.0525</v>
      </c>
      <c r="F16" s="5">
        <f>ExchangeRateDateTime(B16)</f>
        <v>41982.623611111114</v>
      </c>
      <c r="K16" s="9" t="s">
        <v>146</v>
      </c>
      <c r="L16" s="12" t="s">
        <v>156</v>
      </c>
    </row>
    <row r="17" spans="2:12" x14ac:dyDescent="0.25">
      <c r="B17" s="1" t="s">
        <v>7</v>
      </c>
      <c r="C17" s="4">
        <f>ExchangeRate(B17)</f>
        <v>0.84889999999999999</v>
      </c>
      <c r="D17" s="4">
        <f>ExchangeRateBid(B17)</f>
        <v>0.84860000000000002</v>
      </c>
      <c r="E17" s="4">
        <f>ExchangeRateAsk(B17)</f>
        <v>0.84930000000000005</v>
      </c>
      <c r="F17" s="5">
        <f>ExchangeRateDateTime(B17)</f>
        <v>41982.622916666667</v>
      </c>
      <c r="K17" s="10" t="s">
        <v>147</v>
      </c>
      <c r="L17" s="7" t="s">
        <v>150</v>
      </c>
    </row>
    <row r="18" spans="2:12" x14ac:dyDescent="0.25">
      <c r="B18" s="1" t="s">
        <v>103</v>
      </c>
      <c r="C18" s="4">
        <f>ExchangeRate(B18)</f>
        <v>0.70620000000000005</v>
      </c>
      <c r="D18" s="4">
        <f>ExchangeRateBid(B18)</f>
        <v>0.70609999999999995</v>
      </c>
      <c r="E18" s="4">
        <f>ExchangeRateAsk(B18)</f>
        <v>0.70630000000000004</v>
      </c>
      <c r="F18" s="5">
        <f>ExchangeRateDateTime(B18)</f>
        <v>41982.623611111114</v>
      </c>
      <c r="K18" s="11" t="s">
        <v>148</v>
      </c>
      <c r="L18" s="8" t="s">
        <v>149</v>
      </c>
    </row>
    <row r="19" spans="2:12" x14ac:dyDescent="0.25">
      <c r="B19" s="1" t="s">
        <v>104</v>
      </c>
      <c r="C19" s="4">
        <f t="shared" ref="C19:C24" si="4">ExchangeRate(B19)</f>
        <v>0.55800000000000005</v>
      </c>
      <c r="D19" s="4">
        <f t="shared" ref="D19:D24" si="5">ExchangeRateBid(B19)</f>
        <v>0.55789999999999995</v>
      </c>
      <c r="E19" s="4">
        <f t="shared" ref="E19:E24" si="6">ExchangeRateAsk(B19)</f>
        <v>0.55810000000000004</v>
      </c>
      <c r="F19" s="5">
        <f t="shared" ref="F19:F24" si="7">ExchangeRateDateTime(B19)</f>
        <v>41982.623611111114</v>
      </c>
    </row>
    <row r="20" spans="2:12" x14ac:dyDescent="0.25">
      <c r="B20" s="1" t="s">
        <v>105</v>
      </c>
      <c r="C20" s="4">
        <f t="shared" si="4"/>
        <v>104.38209999999999</v>
      </c>
      <c r="D20" s="4">
        <f t="shared" si="5"/>
        <v>104.3604</v>
      </c>
      <c r="E20" s="4">
        <f t="shared" si="6"/>
        <v>104.4038</v>
      </c>
      <c r="F20" s="5">
        <f t="shared" si="7"/>
        <v>41982.623611111114</v>
      </c>
    </row>
    <row r="21" spans="2:12" x14ac:dyDescent="0.25">
      <c r="B21" s="1" t="s">
        <v>106</v>
      </c>
      <c r="C21" s="4">
        <f t="shared" si="4"/>
        <v>1.1366000000000001</v>
      </c>
      <c r="D21" s="4">
        <f t="shared" si="5"/>
        <v>1.1364000000000001</v>
      </c>
      <c r="E21" s="4">
        <f t="shared" si="6"/>
        <v>1.1367</v>
      </c>
      <c r="F21" s="5">
        <f t="shared" si="7"/>
        <v>41982.623611111114</v>
      </c>
    </row>
    <row r="22" spans="2:12" x14ac:dyDescent="0.25">
      <c r="B22" s="1" t="s">
        <v>107</v>
      </c>
      <c r="C22" s="4">
        <f t="shared" si="4"/>
        <v>0.874</v>
      </c>
      <c r="D22" s="4">
        <f t="shared" si="5"/>
        <v>0.87380000000000002</v>
      </c>
      <c r="E22" s="4">
        <f t="shared" si="6"/>
        <v>0.87409999999999999</v>
      </c>
      <c r="F22" s="5">
        <f t="shared" si="7"/>
        <v>41982.622916666667</v>
      </c>
    </row>
    <row r="23" spans="2:12" x14ac:dyDescent="0.25">
      <c r="B23" s="1" t="s">
        <v>108</v>
      </c>
      <c r="C23" s="4">
        <f t="shared" si="4"/>
        <v>1.2398</v>
      </c>
      <c r="D23" s="4">
        <f t="shared" si="5"/>
        <v>1.2396</v>
      </c>
      <c r="E23" s="4">
        <f t="shared" si="6"/>
        <v>1.24</v>
      </c>
      <c r="F23" s="5">
        <f t="shared" si="7"/>
        <v>41982.623611111114</v>
      </c>
    </row>
    <row r="24" spans="2:12" x14ac:dyDescent="0.25">
      <c r="B24" s="1" t="s">
        <v>109</v>
      </c>
      <c r="C24" s="4">
        <f t="shared" si="4"/>
        <v>1.1780999999999999</v>
      </c>
      <c r="D24" s="4">
        <f t="shared" si="5"/>
        <v>1.1778999999999999</v>
      </c>
      <c r="E24" s="4">
        <f t="shared" si="6"/>
        <v>1.1783999999999999</v>
      </c>
      <c r="F24" s="5">
        <f t="shared" si="7"/>
        <v>41982.623611111114</v>
      </c>
    </row>
    <row r="25" spans="2:12" x14ac:dyDescent="0.25">
      <c r="B25" s="1" t="s">
        <v>110</v>
      </c>
      <c r="C25" s="4">
        <f t="shared" ref="C25:C30" si="8">ExchangeRate(B25)</f>
        <v>0.83199999999999996</v>
      </c>
      <c r="D25" s="4">
        <f t="shared" ref="D25:D30" si="9">ExchangeRateBid(B25)</f>
        <v>0.83199999999999996</v>
      </c>
      <c r="E25" s="4">
        <f t="shared" ref="E25:E30" si="10">ExchangeRateAsk(B25)</f>
        <v>0.83209999999999995</v>
      </c>
      <c r="F25" s="5">
        <f t="shared" ref="F25:F30" si="11">ExchangeRateDateTime(B25)</f>
        <v>41982.623611111114</v>
      </c>
    </row>
    <row r="26" spans="2:12" x14ac:dyDescent="0.25">
      <c r="B26" s="1" t="s">
        <v>111</v>
      </c>
      <c r="C26" s="4">
        <f t="shared" si="8"/>
        <v>0.65739999999999998</v>
      </c>
      <c r="D26" s="4">
        <f t="shared" si="9"/>
        <v>0.65739999999999998</v>
      </c>
      <c r="E26" s="4">
        <f t="shared" si="10"/>
        <v>0.65749999999999997</v>
      </c>
      <c r="F26" s="5">
        <f t="shared" si="11"/>
        <v>41982.623611111114</v>
      </c>
    </row>
    <row r="27" spans="2:12" x14ac:dyDescent="0.25">
      <c r="B27" s="1" t="s">
        <v>112</v>
      </c>
      <c r="C27" s="4">
        <f t="shared" si="8"/>
        <v>122.97629999999999</v>
      </c>
      <c r="D27" s="4">
        <f t="shared" si="9"/>
        <v>122.96899999999999</v>
      </c>
      <c r="E27" s="4">
        <f t="shared" si="10"/>
        <v>122.9836</v>
      </c>
      <c r="F27" s="5">
        <f t="shared" si="11"/>
        <v>41982.623611111114</v>
      </c>
    </row>
    <row r="28" spans="2:12" x14ac:dyDescent="0.25">
      <c r="B28" s="1" t="s">
        <v>113</v>
      </c>
      <c r="C28" s="4">
        <f t="shared" si="8"/>
        <v>1.3389</v>
      </c>
      <c r="D28" s="4">
        <f t="shared" si="9"/>
        <v>1.3387</v>
      </c>
      <c r="E28" s="4">
        <f t="shared" si="10"/>
        <v>1.3391</v>
      </c>
      <c r="F28" s="5">
        <f t="shared" si="11"/>
        <v>41982.623611111114</v>
      </c>
    </row>
    <row r="29" spans="2:12" x14ac:dyDescent="0.25">
      <c r="B29" s="1" t="s">
        <v>114</v>
      </c>
      <c r="C29" s="4">
        <f t="shared" si="8"/>
        <v>1.0297000000000001</v>
      </c>
      <c r="D29" s="4">
        <f t="shared" si="9"/>
        <v>1.0296000000000001</v>
      </c>
      <c r="E29" s="4">
        <f t="shared" si="10"/>
        <v>1.0297000000000001</v>
      </c>
      <c r="F29" s="5">
        <f t="shared" si="11"/>
        <v>41982.623611111114</v>
      </c>
    </row>
    <row r="30" spans="2:12" x14ac:dyDescent="0.25">
      <c r="B30" s="1" t="s">
        <v>115</v>
      </c>
      <c r="C30" s="4">
        <f t="shared" si="8"/>
        <v>1.4901</v>
      </c>
      <c r="D30" s="4">
        <f t="shared" si="9"/>
        <v>1.49</v>
      </c>
      <c r="E30" s="4">
        <f t="shared" si="10"/>
        <v>1.4902</v>
      </c>
      <c r="F30" s="5">
        <f t="shared" si="11"/>
        <v>41982.622916666667</v>
      </c>
    </row>
    <row r="31" spans="2:12" x14ac:dyDescent="0.25">
      <c r="B31" s="1" t="s">
        <v>116</v>
      </c>
      <c r="C31" s="4">
        <f t="shared" ref="C31:C36" si="12">ExchangeRate(B31)</f>
        <v>1.4159999999999999</v>
      </c>
      <c r="D31" s="4">
        <f t="shared" ref="D31:D36" si="13">ExchangeRateBid(B31)</f>
        <v>1.4157</v>
      </c>
      <c r="E31" s="4">
        <f t="shared" ref="E31:E36" si="14">ExchangeRateAsk(B31)</f>
        <v>1.4162999999999999</v>
      </c>
      <c r="F31" s="5">
        <f t="shared" ref="F31:F36" si="15">ExchangeRateDateTime(B31)</f>
        <v>41982.623611111114</v>
      </c>
    </row>
    <row r="32" spans="2:12" x14ac:dyDescent="0.25">
      <c r="B32" s="1" t="s">
        <v>117</v>
      </c>
      <c r="C32" s="4">
        <f t="shared" si="12"/>
        <v>1.2019</v>
      </c>
      <c r="D32" s="4">
        <f t="shared" si="13"/>
        <v>1.2018</v>
      </c>
      <c r="E32" s="4">
        <f t="shared" si="14"/>
        <v>1.202</v>
      </c>
      <c r="F32" s="5">
        <f t="shared" si="15"/>
        <v>41982.623611111114</v>
      </c>
    </row>
    <row r="33" spans="2:6" x14ac:dyDescent="0.25">
      <c r="B33" s="1" t="s">
        <v>18</v>
      </c>
      <c r="C33" s="4">
        <f t="shared" si="12"/>
        <v>0.79020000000000001</v>
      </c>
      <c r="D33" s="4">
        <f t="shared" si="13"/>
        <v>0.79010000000000002</v>
      </c>
      <c r="E33" s="4">
        <f t="shared" si="14"/>
        <v>0.79020000000000001</v>
      </c>
      <c r="F33" s="5">
        <f t="shared" si="15"/>
        <v>41982.623611111114</v>
      </c>
    </row>
    <row r="34" spans="2:6" x14ac:dyDescent="0.25">
      <c r="B34" s="1" t="s">
        <v>17</v>
      </c>
      <c r="C34" s="4">
        <f t="shared" si="12"/>
        <v>147.8073</v>
      </c>
      <c r="D34" s="4">
        <f t="shared" si="13"/>
        <v>147.79939999999999</v>
      </c>
      <c r="E34" s="4">
        <f t="shared" si="14"/>
        <v>147.81530000000001</v>
      </c>
      <c r="F34" s="5">
        <f t="shared" si="15"/>
        <v>41982.622916666667</v>
      </c>
    </row>
    <row r="35" spans="2:6" x14ac:dyDescent="0.25">
      <c r="B35" s="1" t="s">
        <v>118</v>
      </c>
      <c r="C35" s="4">
        <f t="shared" si="12"/>
        <v>1.6092</v>
      </c>
      <c r="D35" s="4">
        <f t="shared" si="13"/>
        <v>1.609</v>
      </c>
      <c r="E35" s="4">
        <f t="shared" si="14"/>
        <v>1.6093999999999999</v>
      </c>
      <c r="F35" s="5">
        <f t="shared" si="15"/>
        <v>41982.623611111114</v>
      </c>
    </row>
    <row r="36" spans="2:6" x14ac:dyDescent="0.25">
      <c r="B36" s="1" t="s">
        <v>5</v>
      </c>
      <c r="C36" s="4">
        <f t="shared" si="12"/>
        <v>1.2376</v>
      </c>
      <c r="D36" s="4">
        <f t="shared" si="13"/>
        <v>1.2375</v>
      </c>
      <c r="E36" s="4">
        <f t="shared" si="14"/>
        <v>1.2376</v>
      </c>
      <c r="F36" s="5">
        <f t="shared" si="15"/>
        <v>41982.622916666667</v>
      </c>
    </row>
    <row r="37" spans="2:6" x14ac:dyDescent="0.25">
      <c r="B37" s="1" t="s">
        <v>119</v>
      </c>
      <c r="C37" s="4">
        <f t="shared" ref="C37:C56" si="16">ExchangeRate(B37)</f>
        <v>1.8857999999999999</v>
      </c>
      <c r="D37" s="4">
        <f t="shared" ref="D37:D56" si="17">ExchangeRateBid(B37)</f>
        <v>1.8855</v>
      </c>
      <c r="E37" s="4">
        <f t="shared" ref="E37:E56" si="18">ExchangeRateAsk(B37)</f>
        <v>1.8861000000000001</v>
      </c>
      <c r="F37" s="5">
        <f t="shared" ref="F37:F56" si="19">ExchangeRateDateTime(B37)</f>
        <v>41982.623611111114</v>
      </c>
    </row>
    <row r="38" spans="2:6" x14ac:dyDescent="0.25">
      <c r="B38" s="1" t="s">
        <v>120</v>
      </c>
      <c r="C38" s="4">
        <f t="shared" si="16"/>
        <v>1.7921</v>
      </c>
      <c r="D38" s="4">
        <f t="shared" si="17"/>
        <v>1.7917000000000001</v>
      </c>
      <c r="E38" s="4">
        <f t="shared" si="18"/>
        <v>1.7924</v>
      </c>
      <c r="F38" s="5">
        <f t="shared" si="19"/>
        <v>41982.622916666667</v>
      </c>
    </row>
    <row r="39" spans="2:6" x14ac:dyDescent="0.25">
      <c r="B39" s="1" t="s">
        <v>121</v>
      </c>
      <c r="C39" s="4">
        <f t="shared" si="16"/>
        <v>1.5210999999999999</v>
      </c>
      <c r="D39" s="4">
        <f t="shared" si="17"/>
        <v>1.5209999999999999</v>
      </c>
      <c r="E39" s="4">
        <f t="shared" si="18"/>
        <v>1.5212000000000001</v>
      </c>
      <c r="F39" s="5">
        <f t="shared" si="19"/>
        <v>41982.623611111114</v>
      </c>
    </row>
    <row r="40" spans="2:6" x14ac:dyDescent="0.25">
      <c r="B40" s="1" t="s">
        <v>122</v>
      </c>
      <c r="C40" s="4">
        <f t="shared" si="16"/>
        <v>1.2656000000000001</v>
      </c>
      <c r="D40" s="4">
        <f t="shared" si="17"/>
        <v>1.2655000000000001</v>
      </c>
      <c r="E40" s="4">
        <f t="shared" si="18"/>
        <v>1.2656000000000001</v>
      </c>
      <c r="F40" s="5">
        <f t="shared" si="19"/>
        <v>41982.622916666667</v>
      </c>
    </row>
    <row r="41" spans="2:6" x14ac:dyDescent="0.25">
      <c r="B41" s="1" t="s">
        <v>123</v>
      </c>
      <c r="C41" s="4">
        <f t="shared" si="16"/>
        <v>187.05330000000001</v>
      </c>
      <c r="D41" s="4">
        <f t="shared" si="17"/>
        <v>187.0429</v>
      </c>
      <c r="E41" s="4">
        <f t="shared" si="18"/>
        <v>187.06379999999999</v>
      </c>
      <c r="F41" s="5">
        <f t="shared" si="19"/>
        <v>41982.623611111114</v>
      </c>
    </row>
    <row r="42" spans="2:6" x14ac:dyDescent="0.25">
      <c r="B42" s="1" t="s">
        <v>124</v>
      </c>
      <c r="C42" s="4">
        <f t="shared" si="16"/>
        <v>2.0365000000000002</v>
      </c>
      <c r="D42" s="4">
        <f t="shared" si="17"/>
        <v>2.0363000000000002</v>
      </c>
      <c r="E42" s="4">
        <f t="shared" si="18"/>
        <v>2.0367999999999999</v>
      </c>
      <c r="F42" s="5">
        <f t="shared" si="19"/>
        <v>41982.623611111114</v>
      </c>
    </row>
    <row r="43" spans="2:6" x14ac:dyDescent="0.25">
      <c r="B43" s="1" t="s">
        <v>6</v>
      </c>
      <c r="C43" s="4">
        <f t="shared" si="16"/>
        <v>1.5662</v>
      </c>
      <c r="D43" s="4">
        <f t="shared" si="17"/>
        <v>1.5662</v>
      </c>
      <c r="E43" s="4">
        <f t="shared" si="18"/>
        <v>1.5662</v>
      </c>
      <c r="F43" s="5">
        <f t="shared" si="19"/>
        <v>41982.622916666667</v>
      </c>
    </row>
    <row r="44" spans="2:6" x14ac:dyDescent="0.25">
      <c r="B44" s="1" t="s">
        <v>125</v>
      </c>
      <c r="C44" s="4">
        <f t="shared" si="16"/>
        <v>1.01E-2</v>
      </c>
      <c r="D44" s="4">
        <f t="shared" si="17"/>
        <v>1.01E-2</v>
      </c>
      <c r="E44" s="4">
        <f t="shared" si="18"/>
        <v>1.01E-2</v>
      </c>
      <c r="F44" s="5">
        <f t="shared" si="19"/>
        <v>41982.623611111114</v>
      </c>
    </row>
    <row r="45" spans="2:6" x14ac:dyDescent="0.25">
      <c r="B45" s="1" t="s">
        <v>126</v>
      </c>
      <c r="C45" s="4">
        <f t="shared" si="16"/>
        <v>9.5999999999999992E-3</v>
      </c>
      <c r="D45" s="4">
        <f t="shared" si="17"/>
        <v>9.5999999999999992E-3</v>
      </c>
      <c r="E45" s="4">
        <f t="shared" si="18"/>
        <v>9.5999999999999992E-3</v>
      </c>
      <c r="F45" s="5">
        <f t="shared" si="19"/>
        <v>41982.623611111114</v>
      </c>
    </row>
    <row r="46" spans="2:6" x14ac:dyDescent="0.25">
      <c r="B46" s="1" t="s">
        <v>127</v>
      </c>
      <c r="C46" s="4">
        <f t="shared" si="16"/>
        <v>8.0999999999999996E-3</v>
      </c>
      <c r="D46" s="4">
        <f t="shared" si="17"/>
        <v>8.0999999999999996E-3</v>
      </c>
      <c r="E46" s="4">
        <f t="shared" si="18"/>
        <v>8.0999999999999996E-3</v>
      </c>
      <c r="F46" s="5">
        <f t="shared" si="19"/>
        <v>41982.623611111114</v>
      </c>
    </row>
    <row r="47" spans="2:6" x14ac:dyDescent="0.25">
      <c r="B47" s="1" t="s">
        <v>128</v>
      </c>
      <c r="C47" s="4">
        <f t="shared" si="16"/>
        <v>6.7999999999999996E-3</v>
      </c>
      <c r="D47" s="4">
        <f t="shared" si="17"/>
        <v>6.7999999999999996E-3</v>
      </c>
      <c r="E47" s="4">
        <f t="shared" si="18"/>
        <v>6.7999999999999996E-3</v>
      </c>
      <c r="F47" s="5">
        <f t="shared" si="19"/>
        <v>41982.623611111114</v>
      </c>
    </row>
    <row r="48" spans="2:6" x14ac:dyDescent="0.25">
      <c r="B48" s="1" t="s">
        <v>129</v>
      </c>
      <c r="C48" s="4">
        <f t="shared" si="16"/>
        <v>5.3E-3</v>
      </c>
      <c r="D48" s="4">
        <f t="shared" si="17"/>
        <v>5.3E-3</v>
      </c>
      <c r="E48" s="4">
        <f t="shared" si="18"/>
        <v>5.3E-3</v>
      </c>
      <c r="F48" s="5">
        <f t="shared" si="19"/>
        <v>41982.623611111114</v>
      </c>
    </row>
    <row r="49" spans="2:6" x14ac:dyDescent="0.25">
      <c r="B49" s="1" t="s">
        <v>130</v>
      </c>
      <c r="C49" s="4">
        <f t="shared" si="16"/>
        <v>1.09E-2</v>
      </c>
      <c r="D49" s="4">
        <f t="shared" si="17"/>
        <v>1.09E-2</v>
      </c>
      <c r="E49" s="4">
        <f t="shared" si="18"/>
        <v>1.09E-2</v>
      </c>
      <c r="F49" s="5">
        <f t="shared" si="19"/>
        <v>41982.623611111114</v>
      </c>
    </row>
    <row r="50" spans="2:6" x14ac:dyDescent="0.25">
      <c r="B50" s="1" t="s">
        <v>131</v>
      </c>
      <c r="C50" s="4">
        <f t="shared" si="16"/>
        <v>8.3999999999999995E-3</v>
      </c>
      <c r="D50" s="4">
        <f t="shared" si="17"/>
        <v>8.3999999999999995E-3</v>
      </c>
      <c r="E50" s="4">
        <f t="shared" si="18"/>
        <v>8.3999999999999995E-3</v>
      </c>
      <c r="F50" s="5">
        <f t="shared" si="19"/>
        <v>41982.623611111114</v>
      </c>
    </row>
    <row r="51" spans="2:6" x14ac:dyDescent="0.25">
      <c r="B51" s="1" t="s">
        <v>132</v>
      </c>
      <c r="C51" s="4">
        <f t="shared" si="16"/>
        <v>0.92600000000000005</v>
      </c>
      <c r="D51" s="4">
        <f t="shared" si="17"/>
        <v>0.92569999999999997</v>
      </c>
      <c r="E51" s="4">
        <f t="shared" si="18"/>
        <v>0.92620000000000002</v>
      </c>
      <c r="F51" s="5">
        <f t="shared" si="19"/>
        <v>41982.623611111114</v>
      </c>
    </row>
    <row r="52" spans="2:6" x14ac:dyDescent="0.25">
      <c r="B52" s="1" t="s">
        <v>133</v>
      </c>
      <c r="C52" s="4">
        <f t="shared" si="16"/>
        <v>0.87990000000000002</v>
      </c>
      <c r="D52" s="4">
        <f t="shared" si="17"/>
        <v>0.87970000000000004</v>
      </c>
      <c r="E52" s="4">
        <f t="shared" si="18"/>
        <v>0.88019999999999998</v>
      </c>
      <c r="F52" s="5">
        <f t="shared" si="19"/>
        <v>41982.623611111114</v>
      </c>
    </row>
    <row r="53" spans="2:6" x14ac:dyDescent="0.25">
      <c r="B53" s="1" t="s">
        <v>134</v>
      </c>
      <c r="C53" s="4">
        <f t="shared" si="16"/>
        <v>0.74690000000000001</v>
      </c>
      <c r="D53" s="4">
        <f t="shared" si="17"/>
        <v>0.74680000000000002</v>
      </c>
      <c r="E53" s="4">
        <f t="shared" si="18"/>
        <v>0.747</v>
      </c>
      <c r="F53" s="5">
        <f t="shared" si="19"/>
        <v>41982.623611111114</v>
      </c>
    </row>
    <row r="54" spans="2:6" x14ac:dyDescent="0.25">
      <c r="B54" s="1" t="s">
        <v>135</v>
      </c>
      <c r="C54" s="4">
        <f t="shared" si="16"/>
        <v>0.62139999999999995</v>
      </c>
      <c r="D54" s="4">
        <f t="shared" si="17"/>
        <v>0.62129999999999996</v>
      </c>
      <c r="E54" s="4">
        <f t="shared" si="18"/>
        <v>0.62150000000000005</v>
      </c>
      <c r="F54" s="5">
        <f t="shared" si="19"/>
        <v>41982.623611111114</v>
      </c>
    </row>
    <row r="55" spans="2:6" x14ac:dyDescent="0.25">
      <c r="B55" s="1" t="s">
        <v>136</v>
      </c>
      <c r="C55" s="4">
        <f t="shared" si="16"/>
        <v>0.49099999999999999</v>
      </c>
      <c r="D55" s="4">
        <f t="shared" si="17"/>
        <v>0.49099999999999999</v>
      </c>
      <c r="E55" s="4">
        <f t="shared" si="18"/>
        <v>0.49109999999999998</v>
      </c>
      <c r="F55" s="5">
        <f t="shared" si="19"/>
        <v>41982.623611111114</v>
      </c>
    </row>
    <row r="56" spans="2:6" x14ac:dyDescent="0.25">
      <c r="B56" s="1" t="s">
        <v>137</v>
      </c>
      <c r="C56" s="4">
        <f t="shared" si="16"/>
        <v>91.848299999999995</v>
      </c>
      <c r="D56" s="4">
        <f t="shared" si="17"/>
        <v>91.834500000000006</v>
      </c>
      <c r="E56" s="4">
        <f t="shared" si="18"/>
        <v>91.862200000000001</v>
      </c>
      <c r="F56" s="5">
        <f t="shared" si="19"/>
        <v>41982.623611111114</v>
      </c>
    </row>
    <row r="57" spans="2:6" x14ac:dyDescent="0.25">
      <c r="B57" s="1" t="s">
        <v>138</v>
      </c>
      <c r="C57" s="4">
        <f t="shared" si="2"/>
        <v>0.76900000000000002</v>
      </c>
      <c r="D57" s="4">
        <f t="shared" si="0"/>
        <v>0.76890000000000003</v>
      </c>
      <c r="E57" s="4">
        <f t="shared" si="3"/>
        <v>0.76910000000000001</v>
      </c>
      <c r="F57" s="5">
        <f t="shared" si="1"/>
        <v>41982.623611111114</v>
      </c>
    </row>
    <row r="58" spans="2:6" x14ac:dyDescent="0.25">
      <c r="B58" s="1" t="s">
        <v>92</v>
      </c>
      <c r="C58" s="4">
        <f t="shared" ref="C58:C64" si="20">ExchangeRate(B58)</f>
        <v>1.2040999999999999</v>
      </c>
      <c r="D58" s="4">
        <f t="shared" ref="D58:D64" si="21">ExchangeRateBid(B58)</f>
        <v>1.2039</v>
      </c>
      <c r="E58" s="4">
        <f t="shared" ref="E58:E64" si="22">ExchangeRateAsk(B58)</f>
        <v>1.2041999999999999</v>
      </c>
      <c r="F58" s="5">
        <f t="shared" ref="F58:F64" si="23">ExchangeRateDateTime(B58)</f>
        <v>41982.623611111114</v>
      </c>
    </row>
    <row r="59" spans="2:6" x14ac:dyDescent="0.25">
      <c r="B59" s="1" t="s">
        <v>19</v>
      </c>
      <c r="C59" s="4">
        <f t="shared" si="20"/>
        <v>1.1442000000000001</v>
      </c>
      <c r="D59" s="4">
        <f t="shared" si="21"/>
        <v>1.1439999999999999</v>
      </c>
      <c r="E59" s="4">
        <f t="shared" si="22"/>
        <v>1.1444000000000001</v>
      </c>
      <c r="F59" s="5">
        <f t="shared" si="23"/>
        <v>41982.622916666667</v>
      </c>
    </row>
    <row r="60" spans="2:6" x14ac:dyDescent="0.25">
      <c r="B60" s="1" t="s">
        <v>20</v>
      </c>
      <c r="C60" s="4">
        <f t="shared" si="20"/>
        <v>0.97109999999999996</v>
      </c>
      <c r="D60" s="4">
        <f t="shared" si="21"/>
        <v>0.97089999999999999</v>
      </c>
      <c r="E60" s="4">
        <f t="shared" si="22"/>
        <v>0.97119999999999995</v>
      </c>
      <c r="F60" s="5">
        <f t="shared" si="23"/>
        <v>41982.622916666667</v>
      </c>
    </row>
    <row r="61" spans="2:6" x14ac:dyDescent="0.25">
      <c r="B61" s="1" t="s">
        <v>93</v>
      </c>
      <c r="C61" s="4">
        <f t="shared" si="20"/>
        <v>0.80800000000000005</v>
      </c>
      <c r="D61" s="4">
        <f t="shared" si="21"/>
        <v>0.80800000000000005</v>
      </c>
      <c r="E61" s="4">
        <f t="shared" si="22"/>
        <v>0.80810000000000004</v>
      </c>
      <c r="F61" s="5">
        <f t="shared" si="23"/>
        <v>41982.622916666667</v>
      </c>
    </row>
    <row r="62" spans="2:6" x14ac:dyDescent="0.25">
      <c r="B62" s="1" t="s">
        <v>94</v>
      </c>
      <c r="C62" s="4">
        <f t="shared" si="20"/>
        <v>0.63849999999999996</v>
      </c>
      <c r="D62" s="4">
        <f t="shared" si="21"/>
        <v>0.63849999999999996</v>
      </c>
      <c r="E62" s="4">
        <f t="shared" si="22"/>
        <v>0.63849999999999996</v>
      </c>
      <c r="F62" s="5">
        <f t="shared" si="23"/>
        <v>41982.622916666667</v>
      </c>
    </row>
    <row r="63" spans="2:6" x14ac:dyDescent="0.25">
      <c r="B63" s="1" t="s">
        <v>16</v>
      </c>
      <c r="C63" s="4">
        <f t="shared" si="20"/>
        <v>119.434</v>
      </c>
      <c r="D63" s="4">
        <f t="shared" si="21"/>
        <v>119.43</v>
      </c>
      <c r="E63" s="4">
        <f t="shared" si="22"/>
        <v>119.438</v>
      </c>
      <c r="F63" s="5">
        <f t="shared" si="23"/>
        <v>41982.622916666667</v>
      </c>
    </row>
    <row r="64" spans="2:6" x14ac:dyDescent="0.25">
      <c r="B64" s="1" t="s">
        <v>95</v>
      </c>
      <c r="C64" s="4">
        <f t="shared" si="20"/>
        <v>1.3003</v>
      </c>
      <c r="D64" s="4">
        <f t="shared" si="21"/>
        <v>1.3002</v>
      </c>
      <c r="E64" s="4">
        <f t="shared" si="22"/>
        <v>1.3005</v>
      </c>
      <c r="F64" s="5">
        <f t="shared" si="23"/>
        <v>41982.623611111114</v>
      </c>
    </row>
  </sheetData>
  <mergeCells count="2">
    <mergeCell ref="K8:L8"/>
    <mergeCell ref="K15:L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freshExchangeRate">
                <anchor moveWithCells="1" sizeWithCells="1">
                  <from>
                    <xdr:col>6</xdr:col>
                    <xdr:colOff>409575</xdr:colOff>
                    <xdr:row>7</xdr:row>
                    <xdr:rowOff>19050</xdr:rowOff>
                  </from>
                  <to>
                    <xdr:col>9</xdr:col>
                    <xdr:colOff>257175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AutoRefresh">
                <anchor moveWithCells="1" sizeWithCells="1">
                  <from>
                    <xdr:col>6</xdr:col>
                    <xdr:colOff>409575</xdr:colOff>
                    <xdr:row>9</xdr:row>
                    <xdr:rowOff>76200</xdr:rowOff>
                  </from>
                  <to>
                    <xdr:col>9</xdr:col>
                    <xdr:colOff>257175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StopAutoRefresh">
                <anchor moveWithCells="1" sizeWithCells="1">
                  <from>
                    <xdr:col>6</xdr:col>
                    <xdr:colOff>409575</xdr:colOff>
                    <xdr:row>11</xdr:row>
                    <xdr:rowOff>133350</xdr:rowOff>
                  </from>
                  <to>
                    <xdr:col>9</xdr:col>
                    <xdr:colOff>257175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4:L30"/>
  <sheetViews>
    <sheetView workbookViewId="0"/>
  </sheetViews>
  <sheetFormatPr defaultRowHeight="15" x14ac:dyDescent="0.25"/>
  <cols>
    <col min="1" max="1" width="9.140625" style="2" customWidth="1"/>
    <col min="2" max="3" width="11.42578125" style="2"/>
    <col min="4" max="4" width="2.85546875" style="2" customWidth="1"/>
    <col min="5" max="6" width="11.42578125" style="2"/>
    <col min="7" max="7" width="2.85546875" style="2" customWidth="1"/>
    <col min="8" max="9" width="11.42578125" style="2"/>
    <col min="10" max="10" width="2.85546875" style="2" customWidth="1"/>
    <col min="11" max="12" width="11.42578125" style="2" customWidth="1"/>
    <col min="13" max="16384" width="9.140625" style="2"/>
  </cols>
  <sheetData>
    <row r="4" spans="2:12" ht="26.25" x14ac:dyDescent="0.4">
      <c r="D4" s="3" t="s">
        <v>155</v>
      </c>
    </row>
    <row r="7" spans="2:12" ht="15.75" thickBot="1" x14ac:dyDescent="0.3">
      <c r="B7" s="30" t="s">
        <v>153</v>
      </c>
    </row>
    <row r="8" spans="2:12" ht="18.75" x14ac:dyDescent="0.3">
      <c r="B8" s="33" t="s">
        <v>19</v>
      </c>
      <c r="C8" s="34"/>
      <c r="E8" s="33" t="s">
        <v>17</v>
      </c>
      <c r="F8" s="34"/>
      <c r="H8" s="33" t="s">
        <v>5</v>
      </c>
      <c r="I8" s="34"/>
      <c r="K8" s="33" t="s">
        <v>117</v>
      </c>
      <c r="L8" s="34"/>
    </row>
    <row r="9" spans="2:12" x14ac:dyDescent="0.25">
      <c r="B9" s="22" t="s">
        <v>1</v>
      </c>
      <c r="C9" s="23" t="s">
        <v>2</v>
      </c>
      <c r="E9" s="22" t="s">
        <v>1</v>
      </c>
      <c r="F9" s="23" t="s">
        <v>2</v>
      </c>
      <c r="H9" s="22" t="s">
        <v>1</v>
      </c>
      <c r="I9" s="23" t="s">
        <v>2</v>
      </c>
      <c r="K9" s="22" t="s">
        <v>1</v>
      </c>
      <c r="L9" s="23" t="s">
        <v>2</v>
      </c>
    </row>
    <row r="10" spans="2:12" x14ac:dyDescent="0.25">
      <c r="B10" s="27">
        <f>ExchangeRateBid(B8)</f>
        <v>1.1439999999999999</v>
      </c>
      <c r="C10" s="24">
        <f>ExchangeRateAsk(B8)</f>
        <v>1.1444000000000001</v>
      </c>
      <c r="E10" s="27">
        <f>ExchangeRateBid(E8)</f>
        <v>147.79939999999999</v>
      </c>
      <c r="F10" s="24">
        <f>ExchangeRateAsk(E8)</f>
        <v>147.81530000000001</v>
      </c>
      <c r="H10" s="27">
        <f>ExchangeRateBid(H8)</f>
        <v>1.2375</v>
      </c>
      <c r="I10" s="24">
        <f>ExchangeRateAsk(H8)</f>
        <v>1.2376</v>
      </c>
      <c r="K10" s="27">
        <f>ExchangeRateBid(K8)</f>
        <v>1.2018</v>
      </c>
      <c r="L10" s="24">
        <f>ExchangeRateAsk(K8)</f>
        <v>1.202</v>
      </c>
    </row>
    <row r="11" spans="2:12" ht="28.5" x14ac:dyDescent="0.45">
      <c r="B11" s="25" t="str">
        <f>RIGHT(TEXT(B10,"0.0000"),2)</f>
        <v>40</v>
      </c>
      <c r="C11" s="26" t="str">
        <f>RIGHT(TEXT(C10,"0.0000"),2)</f>
        <v>44</v>
      </c>
      <c r="E11" s="25" t="str">
        <f>RIGHT(TEXT(E10,"0.0000"),2)</f>
        <v>94</v>
      </c>
      <c r="F11" s="26" t="str">
        <f>RIGHT(TEXT(F10,"0.0000"),2)</f>
        <v>53</v>
      </c>
      <c r="H11" s="25" t="str">
        <f>RIGHT(TEXT(H10,"0.0000"),2)</f>
        <v>75</v>
      </c>
      <c r="I11" s="26" t="str">
        <f>RIGHT(TEXT(I10,"0.0000"),2)</f>
        <v>76</v>
      </c>
      <c r="K11" s="25" t="str">
        <f>RIGHT(TEXT(K10,"0.0000"),2)</f>
        <v>18</v>
      </c>
      <c r="L11" s="26" t="str">
        <f>RIGHT(TEXT(L10,"0.0000"),2)</f>
        <v>20</v>
      </c>
    </row>
    <row r="12" spans="2:12" ht="15.75" thickBot="1" x14ac:dyDescent="0.3">
      <c r="B12" s="35">
        <f>ExchangeRateDateTime(B8)</f>
        <v>41982.622916666667</v>
      </c>
      <c r="C12" s="36"/>
      <c r="E12" s="35">
        <f>ExchangeRateDateTime(E8)</f>
        <v>41982.622916666667</v>
      </c>
      <c r="F12" s="36"/>
      <c r="H12" s="35">
        <f>ExchangeRateDateTime(H8)</f>
        <v>41982.622916666667</v>
      </c>
      <c r="I12" s="36"/>
      <c r="K12" s="35">
        <f>ExchangeRateDateTime(K8)</f>
        <v>41982.623611111114</v>
      </c>
      <c r="L12" s="36"/>
    </row>
    <row r="13" spans="2:12" ht="15.75" thickBot="1" x14ac:dyDescent="0.3"/>
    <row r="14" spans="2:12" ht="18.75" x14ac:dyDescent="0.3">
      <c r="B14" s="33" t="s">
        <v>20</v>
      </c>
      <c r="C14" s="34"/>
      <c r="E14" s="33" t="s">
        <v>18</v>
      </c>
      <c r="F14" s="34"/>
      <c r="H14" s="33" t="s">
        <v>6</v>
      </c>
      <c r="I14" s="34"/>
      <c r="K14" s="33" t="s">
        <v>96</v>
      </c>
      <c r="L14" s="34"/>
    </row>
    <row r="15" spans="2:12" x14ac:dyDescent="0.25">
      <c r="B15" s="22" t="s">
        <v>1</v>
      </c>
      <c r="C15" s="23" t="s">
        <v>2</v>
      </c>
      <c r="E15" s="22" t="s">
        <v>1</v>
      </c>
      <c r="F15" s="23" t="s">
        <v>2</v>
      </c>
      <c r="H15" s="22" t="s">
        <v>1</v>
      </c>
      <c r="I15" s="23" t="s">
        <v>2</v>
      </c>
      <c r="K15" s="22" t="s">
        <v>1</v>
      </c>
      <c r="L15" s="23" t="s">
        <v>2</v>
      </c>
    </row>
    <row r="16" spans="2:12" x14ac:dyDescent="0.25">
      <c r="B16" s="27">
        <f>ExchangeRateBid(B14)</f>
        <v>0.97089999999999999</v>
      </c>
      <c r="C16" s="24">
        <f>ExchangeRateAsk(B14)</f>
        <v>0.97119999999999995</v>
      </c>
      <c r="E16" s="27">
        <f>ExchangeRateBid(E14)</f>
        <v>0.79010000000000002</v>
      </c>
      <c r="F16" s="24">
        <f>ExchangeRateAsk(E14)</f>
        <v>0.79020000000000001</v>
      </c>
      <c r="H16" s="27">
        <f>ExchangeRateBid(H14)</f>
        <v>1.5662</v>
      </c>
      <c r="I16" s="24">
        <f>ExchangeRateAsk(H14)</f>
        <v>1.5662</v>
      </c>
      <c r="K16" s="27">
        <f>ExchangeRateBid(K14)</f>
        <v>0.95009999999999994</v>
      </c>
      <c r="L16" s="24">
        <f>ExchangeRateAsk(K14)</f>
        <v>0.95050000000000001</v>
      </c>
    </row>
    <row r="17" spans="2:12" ht="28.5" x14ac:dyDescent="0.45">
      <c r="B17" s="25" t="str">
        <f>RIGHT(TEXT(B16,"0.0000"),2)</f>
        <v>09</v>
      </c>
      <c r="C17" s="26" t="str">
        <f>RIGHT(TEXT(C16,"0.0000"),2)</f>
        <v>12</v>
      </c>
      <c r="E17" s="25" t="str">
        <f>RIGHT(TEXT(E16,"0.0000"),2)</f>
        <v>01</v>
      </c>
      <c r="F17" s="26" t="str">
        <f>RIGHT(TEXT(F16,"0.0000"),2)</f>
        <v>02</v>
      </c>
      <c r="H17" s="25" t="str">
        <f>RIGHT(TEXT(H16,"0.0000"),2)</f>
        <v>62</v>
      </c>
      <c r="I17" s="26" t="str">
        <f>RIGHT(TEXT(I16,"0.0000"),2)</f>
        <v>62</v>
      </c>
      <c r="K17" s="25" t="str">
        <f>RIGHT(TEXT(K16,"0.0000"),2)</f>
        <v>01</v>
      </c>
      <c r="L17" s="26" t="str">
        <f>RIGHT(TEXT(L16,"0.0000"),2)</f>
        <v>05</v>
      </c>
    </row>
    <row r="18" spans="2:12" ht="15.75" thickBot="1" x14ac:dyDescent="0.3">
      <c r="B18" s="35">
        <f>ExchangeRateDateTime(B14)</f>
        <v>41982.622916666667</v>
      </c>
      <c r="C18" s="36"/>
      <c r="E18" s="35">
        <f>ExchangeRateDateTime(E14)</f>
        <v>41982.623611111114</v>
      </c>
      <c r="F18" s="36"/>
      <c r="H18" s="35">
        <f>ExchangeRateDateTime(H14)</f>
        <v>41982.622916666667</v>
      </c>
      <c r="I18" s="36"/>
      <c r="K18" s="35">
        <f>ExchangeRateDateTime(K14)</f>
        <v>41982.623611111114</v>
      </c>
      <c r="L18" s="36"/>
    </row>
    <row r="19" spans="2:12" ht="15.75" thickBot="1" x14ac:dyDescent="0.3"/>
    <row r="20" spans="2:12" ht="18.75" x14ac:dyDescent="0.3">
      <c r="B20" s="33" t="s">
        <v>138</v>
      </c>
      <c r="C20" s="34"/>
      <c r="E20" s="33" t="s">
        <v>121</v>
      </c>
      <c r="F20" s="34"/>
      <c r="H20" s="33" t="s">
        <v>15</v>
      </c>
      <c r="I20" s="34"/>
      <c r="K20" s="33" t="s">
        <v>123</v>
      </c>
      <c r="L20" s="34"/>
    </row>
    <row r="21" spans="2:12" x14ac:dyDescent="0.25">
      <c r="B21" s="22" t="s">
        <v>1</v>
      </c>
      <c r="C21" s="23" t="s">
        <v>2</v>
      </c>
      <c r="E21" s="22" t="s">
        <v>1</v>
      </c>
      <c r="F21" s="23" t="s">
        <v>2</v>
      </c>
      <c r="H21" s="22" t="s">
        <v>1</v>
      </c>
      <c r="I21" s="23" t="s">
        <v>2</v>
      </c>
      <c r="K21" s="22" t="s">
        <v>1</v>
      </c>
      <c r="L21" s="23" t="s">
        <v>2</v>
      </c>
    </row>
    <row r="22" spans="2:12" x14ac:dyDescent="0.25">
      <c r="B22" s="27">
        <f>ExchangeRateBid(B20)</f>
        <v>0.76890000000000003</v>
      </c>
      <c r="C22" s="24">
        <f>ExchangeRateAsk(B20)</f>
        <v>0.76910000000000001</v>
      </c>
      <c r="E22" s="27">
        <f>ExchangeRateBid(E20)</f>
        <v>1.5209999999999999</v>
      </c>
      <c r="F22" s="24">
        <f>ExchangeRateAsk(E20)</f>
        <v>1.5212000000000001</v>
      </c>
      <c r="H22" s="27">
        <f>ExchangeRateBid(H20)</f>
        <v>0.83050000000000002</v>
      </c>
      <c r="I22" s="24">
        <f>ExchangeRateAsk(H20)</f>
        <v>0.8306</v>
      </c>
      <c r="K22" s="27">
        <f>ExchangeRateBid(K20)</f>
        <v>187.0429</v>
      </c>
      <c r="L22" s="24">
        <f>ExchangeRateAsk(K20)</f>
        <v>187.06379999999999</v>
      </c>
    </row>
    <row r="23" spans="2:12" ht="28.5" x14ac:dyDescent="0.45">
      <c r="B23" s="25" t="str">
        <f>RIGHT(TEXT(B22,"0.0000"),2)</f>
        <v>89</v>
      </c>
      <c r="C23" s="26" t="str">
        <f>RIGHT(TEXT(C22,"0.0000"),2)</f>
        <v>91</v>
      </c>
      <c r="E23" s="25" t="str">
        <f>RIGHT(TEXT(E22,"0.0000"),2)</f>
        <v>10</v>
      </c>
      <c r="F23" s="26" t="str">
        <f>RIGHT(TEXT(F22,"0.0000"),2)</f>
        <v>12</v>
      </c>
      <c r="H23" s="25" t="str">
        <f>RIGHT(TEXT(H22,"0.0000"),2)</f>
        <v>05</v>
      </c>
      <c r="I23" s="26" t="str">
        <f>RIGHT(TEXT(I22,"0.0000"),2)</f>
        <v>06</v>
      </c>
      <c r="K23" s="25" t="str">
        <f>RIGHT(TEXT(K22,"0.0000"),2)</f>
        <v>29</v>
      </c>
      <c r="L23" s="26" t="str">
        <f>RIGHT(TEXT(L22,"0.0000"),2)</f>
        <v>38</v>
      </c>
    </row>
    <row r="24" spans="2:12" ht="15.75" thickBot="1" x14ac:dyDescent="0.3">
      <c r="B24" s="35">
        <f>ExchangeRateDateTime(B20)</f>
        <v>41982.623611111114</v>
      </c>
      <c r="C24" s="36"/>
      <c r="E24" s="35">
        <f>ExchangeRateDateTime(E20)</f>
        <v>41982.623611111114</v>
      </c>
      <c r="F24" s="36"/>
      <c r="H24" s="35">
        <f>ExchangeRateDateTime(H20)</f>
        <v>41982.622916666667</v>
      </c>
      <c r="I24" s="36"/>
      <c r="K24" s="35">
        <f>ExchangeRateDateTime(K20)</f>
        <v>41982.623611111114</v>
      </c>
      <c r="L24" s="36"/>
    </row>
    <row r="25" spans="2:12" ht="15.75" thickBot="1" x14ac:dyDescent="0.3"/>
    <row r="26" spans="2:12" ht="18.75" x14ac:dyDescent="0.3">
      <c r="B26" s="33" t="s">
        <v>16</v>
      </c>
      <c r="C26" s="34"/>
      <c r="E26" s="33" t="s">
        <v>112</v>
      </c>
      <c r="F26" s="34"/>
      <c r="H26" s="33" t="s">
        <v>116</v>
      </c>
      <c r="I26" s="34"/>
      <c r="K26" s="33" t="s">
        <v>100</v>
      </c>
      <c r="L26" s="34"/>
    </row>
    <row r="27" spans="2:12" x14ac:dyDescent="0.25">
      <c r="B27" s="22" t="s">
        <v>1</v>
      </c>
      <c r="C27" s="23" t="s">
        <v>2</v>
      </c>
      <c r="E27" s="22" t="s">
        <v>1</v>
      </c>
      <c r="F27" s="23" t="s">
        <v>2</v>
      </c>
      <c r="H27" s="22" t="s">
        <v>1</v>
      </c>
      <c r="I27" s="23" t="s">
        <v>2</v>
      </c>
      <c r="K27" s="22" t="s">
        <v>1</v>
      </c>
      <c r="L27" s="23" t="s">
        <v>2</v>
      </c>
    </row>
    <row r="28" spans="2:12" x14ac:dyDescent="0.25">
      <c r="B28" s="27">
        <f>ExchangeRateBid(B26)</f>
        <v>119.43</v>
      </c>
      <c r="C28" s="24">
        <f>ExchangeRateAsk(B26)</f>
        <v>119.438</v>
      </c>
      <c r="E28" s="27">
        <f>ExchangeRateBid(E26)</f>
        <v>122.96899999999999</v>
      </c>
      <c r="F28" s="24">
        <f>ExchangeRateAsk(E26)</f>
        <v>122.9836</v>
      </c>
      <c r="H28" s="27">
        <f>ExchangeRateBid(H26)</f>
        <v>1.4157</v>
      </c>
      <c r="I28" s="24">
        <f>ExchangeRateAsk(H26)</f>
        <v>1.4162999999999999</v>
      </c>
      <c r="K28" s="27">
        <f>ExchangeRateBid(K26)</f>
        <v>99.174700000000001</v>
      </c>
      <c r="L28" s="24">
        <f>ExchangeRateAsk(K26)</f>
        <v>99.211200000000005</v>
      </c>
    </row>
    <row r="29" spans="2:12" ht="28.5" x14ac:dyDescent="0.45">
      <c r="B29" s="25" t="str">
        <f>RIGHT(TEXT(B28,"0.0000"),2)</f>
        <v>00</v>
      </c>
      <c r="C29" s="26" t="str">
        <f>RIGHT(TEXT(C28,"0.0000"),2)</f>
        <v>80</v>
      </c>
      <c r="E29" s="25" t="str">
        <f>RIGHT(TEXT(E28,"0.0000"),2)</f>
        <v>90</v>
      </c>
      <c r="F29" s="26" t="str">
        <f>RIGHT(TEXT(F28,"0.0000"),2)</f>
        <v>36</v>
      </c>
      <c r="H29" s="25" t="str">
        <f>RIGHT(TEXT(H28,"0.0000"),2)</f>
        <v>57</v>
      </c>
      <c r="I29" s="26" t="str">
        <f>RIGHT(TEXT(I28,"0.0000"),2)</f>
        <v>63</v>
      </c>
      <c r="K29" s="25" t="str">
        <f>RIGHT(TEXT(K28,"0.0000"),2)</f>
        <v>47</v>
      </c>
      <c r="L29" s="26" t="str">
        <f>RIGHT(TEXT(L28,"0.0000"),2)</f>
        <v>12</v>
      </c>
    </row>
    <row r="30" spans="2:12" ht="15.75" thickBot="1" x14ac:dyDescent="0.3">
      <c r="B30" s="35">
        <f>ExchangeRateDateTime(B26)</f>
        <v>41982.622916666667</v>
      </c>
      <c r="C30" s="36"/>
      <c r="E30" s="35">
        <f>ExchangeRateDateTime(E26)</f>
        <v>41982.623611111114</v>
      </c>
      <c r="F30" s="36"/>
      <c r="H30" s="35">
        <f>ExchangeRateDateTime(H26)</f>
        <v>41982.623611111114</v>
      </c>
      <c r="I30" s="36"/>
      <c r="K30" s="35">
        <f>ExchangeRateDateTime(K26)</f>
        <v>41982.623611111114</v>
      </c>
      <c r="L30" s="36"/>
    </row>
  </sheetData>
  <mergeCells count="32">
    <mergeCell ref="K8:L8"/>
    <mergeCell ref="K12:L12"/>
    <mergeCell ref="B14:C14"/>
    <mergeCell ref="B18:C18"/>
    <mergeCell ref="E14:F14"/>
    <mergeCell ref="E18:F18"/>
    <mergeCell ref="H14:I14"/>
    <mergeCell ref="H18:I18"/>
    <mergeCell ref="K14:L14"/>
    <mergeCell ref="K18:L18"/>
    <mergeCell ref="B8:C8"/>
    <mergeCell ref="B12:C12"/>
    <mergeCell ref="E8:F8"/>
    <mergeCell ref="E12:F12"/>
    <mergeCell ref="H8:I8"/>
    <mergeCell ref="H12:I12"/>
    <mergeCell ref="K20:L20"/>
    <mergeCell ref="K24:L24"/>
    <mergeCell ref="B26:C26"/>
    <mergeCell ref="B30:C30"/>
    <mergeCell ref="E26:F26"/>
    <mergeCell ref="E30:F30"/>
    <mergeCell ref="H26:I26"/>
    <mergeCell ref="H30:I30"/>
    <mergeCell ref="K26:L26"/>
    <mergeCell ref="K30:L30"/>
    <mergeCell ref="B20:C20"/>
    <mergeCell ref="B24:C24"/>
    <mergeCell ref="E20:F20"/>
    <mergeCell ref="E24:F24"/>
    <mergeCell ref="H20:I20"/>
    <mergeCell ref="H24:I2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RefreshExchangeRate">
                <anchor moveWithCells="1" sizeWithCells="1">
                  <from>
                    <xdr:col>12</xdr:col>
                    <xdr:colOff>457200</xdr:colOff>
                    <xdr:row>7</xdr:row>
                    <xdr:rowOff>9525</xdr:rowOff>
                  </from>
                  <to>
                    <xdr:col>15</xdr:col>
                    <xdr:colOff>295275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AutoRefresh">
                <anchor moveWithCells="1" sizeWithCells="1">
                  <from>
                    <xdr:col>12</xdr:col>
                    <xdr:colOff>457200</xdr:colOff>
                    <xdr:row>9</xdr:row>
                    <xdr:rowOff>28575</xdr:rowOff>
                  </from>
                  <to>
                    <xdr:col>15</xdr:col>
                    <xdr:colOff>295275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StopAutoRefresh">
                <anchor moveWithCells="1" sizeWithCells="1">
                  <from>
                    <xdr:col>12</xdr:col>
                    <xdr:colOff>457200</xdr:colOff>
                    <xdr:row>10</xdr:row>
                    <xdr:rowOff>276225</xdr:rowOff>
                  </from>
                  <to>
                    <xdr:col>15</xdr:col>
                    <xdr:colOff>295275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4:J17"/>
  <sheetViews>
    <sheetView workbookViewId="0">
      <selection activeCell="G13" sqref="G13"/>
    </sheetView>
  </sheetViews>
  <sheetFormatPr defaultRowHeight="15" x14ac:dyDescent="0.25"/>
  <cols>
    <col min="1" max="16384" width="9.140625" style="2"/>
  </cols>
  <sheetData>
    <row r="4" spans="2:10" ht="26.25" x14ac:dyDescent="0.4">
      <c r="D4" s="3" t="s">
        <v>151</v>
      </c>
    </row>
    <row r="8" spans="2:10" x14ac:dyDescent="0.25">
      <c r="B8" s="29" t="s">
        <v>153</v>
      </c>
    </row>
    <row r="9" spans="2:10" x14ac:dyDescent="0.25">
      <c r="B9" s="13"/>
      <c r="C9" s="16" t="s">
        <v>28</v>
      </c>
      <c r="D9" s="16" t="s">
        <v>29</v>
      </c>
      <c r="E9" s="16" t="s">
        <v>30</v>
      </c>
      <c r="F9" s="16" t="s">
        <v>31</v>
      </c>
      <c r="G9" s="16" t="s">
        <v>32</v>
      </c>
      <c r="H9" s="16" t="s">
        <v>55</v>
      </c>
      <c r="I9" s="16" t="s">
        <v>53</v>
      </c>
      <c r="J9" s="17" t="s">
        <v>54</v>
      </c>
    </row>
    <row r="10" spans="2:10" x14ac:dyDescent="0.25">
      <c r="B10" s="14" t="s">
        <v>28</v>
      </c>
      <c r="C10" s="18">
        <f>ExchangeRate($B10&amp;"/"&amp;C$9)</f>
        <v>1</v>
      </c>
      <c r="D10" s="18">
        <f t="shared" ref="D10:J17" si="0">ExchangeRate($B10&amp;"/"&amp;D$9)</f>
        <v>0.63849999999999996</v>
      </c>
      <c r="E10" s="18">
        <f t="shared" si="0"/>
        <v>1.1442000000000001</v>
      </c>
      <c r="F10" s="18">
        <f t="shared" si="0"/>
        <v>0.80800000000000005</v>
      </c>
      <c r="G10" s="18">
        <f t="shared" si="0"/>
        <v>1.2040999999999999</v>
      </c>
      <c r="H10" s="18">
        <f t="shared" si="0"/>
        <v>119.434</v>
      </c>
      <c r="I10" s="18">
        <f t="shared" si="0"/>
        <v>0.97109999999999996</v>
      </c>
      <c r="J10" s="19">
        <f t="shared" si="0"/>
        <v>1.3003</v>
      </c>
    </row>
    <row r="11" spans="2:10" x14ac:dyDescent="0.25">
      <c r="B11" s="14" t="s">
        <v>29</v>
      </c>
      <c r="C11" s="18">
        <f t="shared" ref="C11:C17" si="1">ExchangeRate($B11&amp;"/"&amp;C$9)</f>
        <v>1.5662</v>
      </c>
      <c r="D11" s="18">
        <f t="shared" si="0"/>
        <v>1</v>
      </c>
      <c r="E11" s="18">
        <f t="shared" si="0"/>
        <v>1.7921</v>
      </c>
      <c r="F11" s="18">
        <f t="shared" si="0"/>
        <v>1.2656000000000001</v>
      </c>
      <c r="G11" s="18">
        <f t="shared" si="0"/>
        <v>1.8857999999999999</v>
      </c>
      <c r="H11" s="18">
        <f t="shared" si="0"/>
        <v>187.05330000000001</v>
      </c>
      <c r="I11" s="18">
        <f t="shared" si="0"/>
        <v>1.5210999999999999</v>
      </c>
      <c r="J11" s="19">
        <f t="shared" si="0"/>
        <v>2.0365000000000002</v>
      </c>
    </row>
    <row r="12" spans="2:10" x14ac:dyDescent="0.25">
      <c r="B12" s="14" t="s">
        <v>30</v>
      </c>
      <c r="C12" s="18">
        <f t="shared" si="1"/>
        <v>0.874</v>
      </c>
      <c r="D12" s="18">
        <f t="shared" si="0"/>
        <v>0.55800000000000005</v>
      </c>
      <c r="E12" s="18">
        <f t="shared" si="0"/>
        <v>1</v>
      </c>
      <c r="F12" s="18">
        <f t="shared" si="0"/>
        <v>0.70620000000000005</v>
      </c>
      <c r="G12" s="18">
        <f t="shared" si="0"/>
        <v>1.0523</v>
      </c>
      <c r="H12" s="18">
        <f t="shared" si="0"/>
        <v>104.38209999999999</v>
      </c>
      <c r="I12" s="18">
        <f t="shared" si="0"/>
        <v>0.84889999999999999</v>
      </c>
      <c r="J12" s="19">
        <f t="shared" si="0"/>
        <v>1.1366000000000001</v>
      </c>
    </row>
    <row r="13" spans="2:10" x14ac:dyDescent="0.25">
      <c r="B13" s="14" t="s">
        <v>31</v>
      </c>
      <c r="C13" s="18">
        <f t="shared" si="1"/>
        <v>1.2376</v>
      </c>
      <c r="D13" s="18">
        <f t="shared" si="0"/>
        <v>0.79020000000000001</v>
      </c>
      <c r="E13" s="18">
        <f t="shared" si="0"/>
        <v>1.4159999999999999</v>
      </c>
      <c r="F13" s="18">
        <f t="shared" si="0"/>
        <v>1</v>
      </c>
      <c r="G13" s="18">
        <f t="shared" si="0"/>
        <v>1.4901</v>
      </c>
      <c r="H13" s="18">
        <f t="shared" si="0"/>
        <v>147.8073</v>
      </c>
      <c r="I13" s="18">
        <f t="shared" si="0"/>
        <v>1.2019</v>
      </c>
      <c r="J13" s="19">
        <f t="shared" si="0"/>
        <v>1.6092</v>
      </c>
    </row>
    <row r="14" spans="2:10" x14ac:dyDescent="0.25">
      <c r="B14" s="14" t="s">
        <v>32</v>
      </c>
      <c r="C14" s="18">
        <f t="shared" si="1"/>
        <v>0.83050000000000002</v>
      </c>
      <c r="D14" s="18">
        <f t="shared" si="0"/>
        <v>0.53029999999999999</v>
      </c>
      <c r="E14" s="18">
        <f t="shared" si="0"/>
        <v>0.95030000000000003</v>
      </c>
      <c r="F14" s="18">
        <f t="shared" si="0"/>
        <v>0.67110000000000003</v>
      </c>
      <c r="G14" s="18">
        <f t="shared" si="0"/>
        <v>1</v>
      </c>
      <c r="H14" s="18">
        <f t="shared" si="0"/>
        <v>99.192899999999995</v>
      </c>
      <c r="I14" s="18">
        <f t="shared" si="0"/>
        <v>0.80659999999999998</v>
      </c>
      <c r="J14" s="19">
        <f t="shared" si="0"/>
        <v>1.08</v>
      </c>
    </row>
    <row r="15" spans="2:10" x14ac:dyDescent="0.25">
      <c r="B15" s="14" t="s">
        <v>55</v>
      </c>
      <c r="C15" s="18">
        <f t="shared" si="1"/>
        <v>8.3999999999999995E-3</v>
      </c>
      <c r="D15" s="18">
        <f t="shared" si="0"/>
        <v>5.3E-3</v>
      </c>
      <c r="E15" s="18">
        <f t="shared" si="0"/>
        <v>9.5999999999999992E-3</v>
      </c>
      <c r="F15" s="18">
        <f t="shared" si="0"/>
        <v>6.7999999999999996E-3</v>
      </c>
      <c r="G15" s="18">
        <f t="shared" si="0"/>
        <v>1.01E-2</v>
      </c>
      <c r="H15" s="18">
        <f t="shared" si="0"/>
        <v>1</v>
      </c>
      <c r="I15" s="18">
        <f t="shared" si="0"/>
        <v>8.0999999999999996E-3</v>
      </c>
      <c r="J15" s="19">
        <f t="shared" si="0"/>
        <v>1.09E-2</v>
      </c>
    </row>
    <row r="16" spans="2:10" x14ac:dyDescent="0.25">
      <c r="B16" s="14" t="s">
        <v>53</v>
      </c>
      <c r="C16" s="18">
        <f t="shared" si="1"/>
        <v>1.0297000000000001</v>
      </c>
      <c r="D16" s="18">
        <f t="shared" si="0"/>
        <v>0.65739999999999998</v>
      </c>
      <c r="E16" s="18">
        <f t="shared" si="0"/>
        <v>1.1780999999999999</v>
      </c>
      <c r="F16" s="18">
        <f t="shared" si="0"/>
        <v>0.83199999999999996</v>
      </c>
      <c r="G16" s="18">
        <f t="shared" si="0"/>
        <v>1.2398</v>
      </c>
      <c r="H16" s="18">
        <f t="shared" si="0"/>
        <v>122.97629999999999</v>
      </c>
      <c r="I16" s="18">
        <f t="shared" si="0"/>
        <v>1</v>
      </c>
      <c r="J16" s="19">
        <f t="shared" si="0"/>
        <v>1.3389</v>
      </c>
    </row>
    <row r="17" spans="2:10" x14ac:dyDescent="0.25">
      <c r="B17" s="15" t="s">
        <v>54</v>
      </c>
      <c r="C17" s="20">
        <f t="shared" si="1"/>
        <v>0.76900000000000002</v>
      </c>
      <c r="D17" s="20">
        <f t="shared" si="0"/>
        <v>0.49099999999999999</v>
      </c>
      <c r="E17" s="20">
        <f t="shared" si="0"/>
        <v>0.87990000000000002</v>
      </c>
      <c r="F17" s="20">
        <f t="shared" si="0"/>
        <v>0.62139999999999995</v>
      </c>
      <c r="G17" s="20">
        <f t="shared" si="0"/>
        <v>0.92600000000000005</v>
      </c>
      <c r="H17" s="20">
        <f t="shared" si="0"/>
        <v>91.848299999999995</v>
      </c>
      <c r="I17" s="20">
        <f t="shared" si="0"/>
        <v>0.74690000000000001</v>
      </c>
      <c r="J17" s="21">
        <f t="shared" si="0"/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RefreshExchangeRate">
                <anchor moveWithCells="1" sizeWithCells="1">
                  <from>
                    <xdr:col>10</xdr:col>
                    <xdr:colOff>371475</xdr:colOff>
                    <xdr:row>8</xdr:row>
                    <xdr:rowOff>0</xdr:rowOff>
                  </from>
                  <to>
                    <xdr:col>13</xdr:col>
                    <xdr:colOff>219075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AutoRefresh">
                <anchor moveWithCells="1" sizeWithCells="1">
                  <from>
                    <xdr:col>10</xdr:col>
                    <xdr:colOff>371475</xdr:colOff>
                    <xdr:row>10</xdr:row>
                    <xdr:rowOff>66675</xdr:rowOff>
                  </from>
                  <to>
                    <xdr:col>13</xdr:col>
                    <xdr:colOff>219075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StopAutoRefresh">
                <anchor moveWithCells="1" sizeWithCells="1">
                  <from>
                    <xdr:col>10</xdr:col>
                    <xdr:colOff>371475</xdr:colOff>
                    <xdr:row>12</xdr:row>
                    <xdr:rowOff>123825</xdr:rowOff>
                  </from>
                  <to>
                    <xdr:col>13</xdr:col>
                    <xdr:colOff>219075</xdr:colOff>
                    <xdr:row>14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ootSheet"/>
  <dimension ref="A1:A70"/>
  <sheetViews>
    <sheetView workbookViewId="0"/>
  </sheetViews>
  <sheetFormatPr defaultRowHeight="15" x14ac:dyDescent="0.25"/>
  <cols>
    <col min="1" max="1" width="20.5703125" customWidth="1"/>
  </cols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4</v>
      </c>
    </row>
    <row r="5" spans="1:1" x14ac:dyDescent="0.25">
      <c r="A5" t="s">
        <v>11</v>
      </c>
    </row>
    <row r="6" spans="1:1" x14ac:dyDescent="0.25">
      <c r="A6" t="s">
        <v>12</v>
      </c>
    </row>
    <row r="7" spans="1:1" x14ac:dyDescent="0.25">
      <c r="A7" t="s">
        <v>13</v>
      </c>
    </row>
    <row r="8" spans="1:1" x14ac:dyDescent="0.25">
      <c r="A8" t="s">
        <v>21</v>
      </c>
    </row>
    <row r="9" spans="1:1" x14ac:dyDescent="0.25">
      <c r="A9" t="s">
        <v>22</v>
      </c>
    </row>
    <row r="10" spans="1:1" x14ac:dyDescent="0.25">
      <c r="A10" t="s">
        <v>23</v>
      </c>
    </row>
    <row r="11" spans="1:1" x14ac:dyDescent="0.25">
      <c r="A11" t="s">
        <v>24</v>
      </c>
    </row>
    <row r="12" spans="1:1" x14ac:dyDescent="0.25">
      <c r="A12" t="s">
        <v>25</v>
      </c>
    </row>
    <row r="13" spans="1:1" x14ac:dyDescent="0.25">
      <c r="A13" t="s">
        <v>26</v>
      </c>
    </row>
    <row r="14" spans="1:1" x14ac:dyDescent="0.25">
      <c r="A14" t="s">
        <v>27</v>
      </c>
    </row>
    <row r="15" spans="1:1" x14ac:dyDescent="0.25">
      <c r="A15" t="s">
        <v>33</v>
      </c>
    </row>
    <row r="16" spans="1:1" x14ac:dyDescent="0.25">
      <c r="A16" t="s">
        <v>34</v>
      </c>
    </row>
    <row r="17" spans="1:1" x14ac:dyDescent="0.25">
      <c r="A17" t="s">
        <v>35</v>
      </c>
    </row>
    <row r="18" spans="1:1" x14ac:dyDescent="0.25">
      <c r="A18" t="s">
        <v>36</v>
      </c>
    </row>
    <row r="19" spans="1:1" x14ac:dyDescent="0.25">
      <c r="A19" t="s">
        <v>37</v>
      </c>
    </row>
    <row r="20" spans="1:1" x14ac:dyDescent="0.25">
      <c r="A20" t="s">
        <v>38</v>
      </c>
    </row>
    <row r="21" spans="1:1" x14ac:dyDescent="0.25">
      <c r="A21" t="s">
        <v>39</v>
      </c>
    </row>
    <row r="22" spans="1:1" x14ac:dyDescent="0.25">
      <c r="A22" t="s">
        <v>40</v>
      </c>
    </row>
    <row r="23" spans="1:1" x14ac:dyDescent="0.25">
      <c r="A23" t="s">
        <v>41</v>
      </c>
    </row>
    <row r="24" spans="1:1" x14ac:dyDescent="0.25">
      <c r="A24" t="s">
        <v>42</v>
      </c>
    </row>
    <row r="25" spans="1:1" x14ac:dyDescent="0.25">
      <c r="A25" t="s">
        <v>43</v>
      </c>
    </row>
    <row r="26" spans="1:1" x14ac:dyDescent="0.25">
      <c r="A26" t="s">
        <v>44</v>
      </c>
    </row>
    <row r="27" spans="1:1" x14ac:dyDescent="0.25">
      <c r="A27" t="s">
        <v>45</v>
      </c>
    </row>
    <row r="28" spans="1:1" x14ac:dyDescent="0.25">
      <c r="A28" t="s">
        <v>46</v>
      </c>
    </row>
    <row r="29" spans="1:1" x14ac:dyDescent="0.25">
      <c r="A29" t="s">
        <v>47</v>
      </c>
    </row>
    <row r="30" spans="1:1" x14ac:dyDescent="0.25">
      <c r="A30" t="s">
        <v>48</v>
      </c>
    </row>
    <row r="31" spans="1:1" x14ac:dyDescent="0.25">
      <c r="A31" t="s">
        <v>49</v>
      </c>
    </row>
    <row r="32" spans="1:1" x14ac:dyDescent="0.25">
      <c r="A32" t="s">
        <v>50</v>
      </c>
    </row>
    <row r="33" spans="1:1" x14ac:dyDescent="0.25">
      <c r="A33" t="s">
        <v>51</v>
      </c>
    </row>
    <row r="34" spans="1:1" x14ac:dyDescent="0.25">
      <c r="A34" t="s">
        <v>52</v>
      </c>
    </row>
    <row r="35" spans="1:1" x14ac:dyDescent="0.25">
      <c r="A35" t="s">
        <v>56</v>
      </c>
    </row>
    <row r="36" spans="1:1" x14ac:dyDescent="0.25">
      <c r="A36" t="s">
        <v>57</v>
      </c>
    </row>
    <row r="37" spans="1:1" x14ac:dyDescent="0.25">
      <c r="A37" t="s">
        <v>58</v>
      </c>
    </row>
    <row r="38" spans="1:1" x14ac:dyDescent="0.25">
      <c r="A38" t="s">
        <v>59</v>
      </c>
    </row>
    <row r="39" spans="1:1" x14ac:dyDescent="0.25">
      <c r="A39" t="s">
        <v>60</v>
      </c>
    </row>
    <row r="40" spans="1:1" x14ac:dyDescent="0.25">
      <c r="A40" t="s">
        <v>61</v>
      </c>
    </row>
    <row r="41" spans="1:1" x14ac:dyDescent="0.25">
      <c r="A41" t="s">
        <v>62</v>
      </c>
    </row>
    <row r="42" spans="1:1" x14ac:dyDescent="0.25">
      <c r="A42" t="s">
        <v>63</v>
      </c>
    </row>
    <row r="43" spans="1:1" x14ac:dyDescent="0.25">
      <c r="A43" t="s">
        <v>64</v>
      </c>
    </row>
    <row r="44" spans="1:1" x14ac:dyDescent="0.25">
      <c r="A44" t="s">
        <v>65</v>
      </c>
    </row>
    <row r="45" spans="1:1" x14ac:dyDescent="0.25">
      <c r="A45" t="s">
        <v>66</v>
      </c>
    </row>
    <row r="46" spans="1:1" x14ac:dyDescent="0.25">
      <c r="A46" t="s">
        <v>67</v>
      </c>
    </row>
    <row r="47" spans="1:1" x14ac:dyDescent="0.25">
      <c r="A47" t="s">
        <v>68</v>
      </c>
    </row>
    <row r="48" spans="1:1" x14ac:dyDescent="0.25">
      <c r="A48" t="s">
        <v>69</v>
      </c>
    </row>
    <row r="49" spans="1:1" x14ac:dyDescent="0.25">
      <c r="A49" t="s">
        <v>70</v>
      </c>
    </row>
    <row r="50" spans="1:1" x14ac:dyDescent="0.25">
      <c r="A50" t="s">
        <v>71</v>
      </c>
    </row>
    <row r="51" spans="1:1" x14ac:dyDescent="0.25">
      <c r="A51" t="s">
        <v>72</v>
      </c>
    </row>
    <row r="52" spans="1:1" x14ac:dyDescent="0.25">
      <c r="A52" t="s">
        <v>73</v>
      </c>
    </row>
    <row r="53" spans="1:1" x14ac:dyDescent="0.25">
      <c r="A53" t="s">
        <v>74</v>
      </c>
    </row>
    <row r="54" spans="1:1" x14ac:dyDescent="0.25">
      <c r="A54" t="s">
        <v>75</v>
      </c>
    </row>
    <row r="55" spans="1:1" x14ac:dyDescent="0.25">
      <c r="A55" t="s">
        <v>76</v>
      </c>
    </row>
    <row r="56" spans="1:1" x14ac:dyDescent="0.25">
      <c r="A56" t="s">
        <v>77</v>
      </c>
    </row>
    <row r="57" spans="1:1" x14ac:dyDescent="0.25">
      <c r="A57" t="s">
        <v>78</v>
      </c>
    </row>
    <row r="58" spans="1:1" x14ac:dyDescent="0.25">
      <c r="A58" t="s">
        <v>79</v>
      </c>
    </row>
    <row r="59" spans="1:1" x14ac:dyDescent="0.25">
      <c r="A59" t="s">
        <v>80</v>
      </c>
    </row>
    <row r="60" spans="1:1" x14ac:dyDescent="0.25">
      <c r="A60" t="s">
        <v>81</v>
      </c>
    </row>
    <row r="61" spans="1:1" x14ac:dyDescent="0.25">
      <c r="A61" t="s">
        <v>82</v>
      </c>
    </row>
    <row r="62" spans="1:1" x14ac:dyDescent="0.25">
      <c r="A62" t="s">
        <v>83</v>
      </c>
    </row>
    <row r="63" spans="1:1" x14ac:dyDescent="0.25">
      <c r="A63" t="s">
        <v>84</v>
      </c>
    </row>
    <row r="64" spans="1:1" x14ac:dyDescent="0.25">
      <c r="A64" t="s">
        <v>85</v>
      </c>
    </row>
    <row r="65" spans="1:1" x14ac:dyDescent="0.25">
      <c r="A65" t="s">
        <v>86</v>
      </c>
    </row>
    <row r="66" spans="1:1" x14ac:dyDescent="0.25">
      <c r="A66" t="s">
        <v>87</v>
      </c>
    </row>
    <row r="67" spans="1:1" x14ac:dyDescent="0.25">
      <c r="A67" t="s">
        <v>88</v>
      </c>
    </row>
    <row r="68" spans="1:1" x14ac:dyDescent="0.25">
      <c r="A68" t="s">
        <v>89</v>
      </c>
    </row>
    <row r="69" spans="1:1" x14ac:dyDescent="0.25">
      <c r="A69" t="s">
        <v>90</v>
      </c>
    </row>
    <row r="70" spans="1:1" x14ac:dyDescent="0.25">
      <c r="A70" t="s">
        <v>91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Table View</vt:lpstr>
      <vt:lpstr>Panel View</vt:lpstr>
      <vt:lpstr>Matrix View</vt:lpstr>
      <vt:lpstr>BootCurrencyPairs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</dc:creator>
  <cp:lastModifiedBy>hunor</cp:lastModifiedBy>
  <dcterms:created xsi:type="dcterms:W3CDTF">2014-07-24T05:34:26Z</dcterms:created>
  <dcterms:modified xsi:type="dcterms:W3CDTF">2016-03-10T23:33:54Z</dcterms:modified>
</cp:coreProperties>
</file>