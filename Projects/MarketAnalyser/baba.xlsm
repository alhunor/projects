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720" yWindow="405" windowWidth="27555" windowHeight="12300"/>
  </bookViews>
  <sheets>
    <sheet name="data" sheetId="1" r:id="rId1"/>
  </sheets>
  <definedNames>
    <definedName name="alpha">data!$L$1</definedName>
    <definedName name="alpha2">data!$L$2</definedName>
    <definedName name="solver_adj" localSheetId="0" hidden="1">data!$L$1:$L$2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data!$L$1</definedName>
    <definedName name="solver_lhs2" localSheetId="0" hidden="1">data!$L$2</definedName>
    <definedName name="solver_lhs3" localSheetId="0" hidden="1">data!$L$2</definedName>
    <definedName name="solver_lhs4" localSheetId="0" hidden="1">data!$L$2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data!$K$5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1</definedName>
    <definedName name="solver_rel3" localSheetId="0" hidden="1">3</definedName>
    <definedName name="solver_rel4" localSheetId="0" hidden="1">3</definedName>
    <definedName name="solver_rhs1" localSheetId="0" hidden="1">0.1</definedName>
    <definedName name="solver_rhs2" localSheetId="0" hidden="1">1</definedName>
    <definedName name="solver_rhs3" localSheetId="0" hidden="1">0</definedName>
    <definedName name="solver_rhs4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4525" calcCompleted="0"/>
</workbook>
</file>

<file path=xl/calcChain.xml><?xml version="1.0" encoding="utf-8"?>
<calcChain xmlns="http://schemas.openxmlformats.org/spreadsheetml/2006/main">
  <c r="E4" i="1" l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293" i="1" s="1"/>
  <c r="E294" i="1" s="1"/>
  <c r="E295" i="1" s="1"/>
  <c r="E296" i="1" s="1"/>
  <c r="E297" i="1" s="1"/>
  <c r="E298" i="1" s="1"/>
  <c r="E299" i="1" s="1"/>
  <c r="E300" i="1" s="1"/>
  <c r="E301" i="1" s="1"/>
  <c r="E302" i="1" s="1"/>
  <c r="E303" i="1" s="1"/>
  <c r="E304" i="1" s="1"/>
  <c r="E305" i="1" s="1"/>
  <c r="E306" i="1" s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E342" i="1" s="1"/>
  <c r="E343" i="1" s="1"/>
  <c r="E344" i="1" s="1"/>
  <c r="E345" i="1" s="1"/>
  <c r="E346" i="1" s="1"/>
  <c r="E347" i="1" s="1"/>
  <c r="E348" i="1" s="1"/>
  <c r="E349" i="1" s="1"/>
  <c r="E350" i="1" s="1"/>
  <c r="E351" i="1" s="1"/>
  <c r="E352" i="1" s="1"/>
  <c r="E353" i="1" s="1"/>
  <c r="E354" i="1" s="1"/>
  <c r="E355" i="1" s="1"/>
  <c r="E356" i="1" s="1"/>
  <c r="E357" i="1" s="1"/>
  <c r="E358" i="1" s="1"/>
  <c r="E359" i="1" s="1"/>
  <c r="E360" i="1" s="1"/>
  <c r="E361" i="1" s="1"/>
  <c r="E362" i="1" s="1"/>
  <c r="E363" i="1" s="1"/>
  <c r="E364" i="1" s="1"/>
  <c r="E365" i="1" s="1"/>
  <c r="E366" i="1" s="1"/>
  <c r="E367" i="1" s="1"/>
  <c r="E368" i="1" s="1"/>
  <c r="E369" i="1" s="1"/>
  <c r="E370" i="1" s="1"/>
  <c r="E371" i="1" s="1"/>
  <c r="E372" i="1" s="1"/>
  <c r="E373" i="1" s="1"/>
  <c r="E374" i="1" s="1"/>
  <c r="E375" i="1" s="1"/>
  <c r="E376" i="1" s="1"/>
  <c r="E377" i="1" s="1"/>
  <c r="E378" i="1" s="1"/>
  <c r="E379" i="1" s="1"/>
  <c r="E380" i="1" s="1"/>
  <c r="E381" i="1" s="1"/>
  <c r="E382" i="1" s="1"/>
  <c r="E383" i="1" s="1"/>
  <c r="E384" i="1" s="1"/>
  <c r="E385" i="1" s="1"/>
  <c r="E386" i="1" s="1"/>
  <c r="E387" i="1" s="1"/>
  <c r="E388" i="1" s="1"/>
  <c r="E389" i="1" s="1"/>
  <c r="E390" i="1" s="1"/>
  <c r="E391" i="1" s="1"/>
  <c r="E392" i="1" s="1"/>
  <c r="E393" i="1" s="1"/>
  <c r="E394" i="1" s="1"/>
  <c r="E395" i="1" s="1"/>
  <c r="E396" i="1" s="1"/>
  <c r="E397" i="1" s="1"/>
  <c r="E398" i="1" s="1"/>
  <c r="E399" i="1" s="1"/>
  <c r="E400" i="1" s="1"/>
  <c r="E401" i="1" s="1"/>
  <c r="E402" i="1" s="1"/>
  <c r="E403" i="1" s="1"/>
  <c r="E404" i="1" s="1"/>
  <c r="E405" i="1" s="1"/>
  <c r="E406" i="1" s="1"/>
  <c r="E407" i="1" s="1"/>
  <c r="E408" i="1" s="1"/>
  <c r="E409" i="1" s="1"/>
  <c r="E410" i="1" s="1"/>
  <c r="E411" i="1" s="1"/>
  <c r="E412" i="1" s="1"/>
  <c r="E413" i="1" s="1"/>
  <c r="E414" i="1" s="1"/>
  <c r="E415" i="1" s="1"/>
  <c r="E416" i="1" s="1"/>
  <c r="E417" i="1" s="1"/>
  <c r="E418" i="1" s="1"/>
  <c r="E419" i="1" s="1"/>
  <c r="E420" i="1" s="1"/>
  <c r="E421" i="1" s="1"/>
  <c r="E422" i="1" s="1"/>
  <c r="E423" i="1" s="1"/>
  <c r="E424" i="1" s="1"/>
  <c r="E425" i="1" s="1"/>
  <c r="E426" i="1" s="1"/>
  <c r="E427" i="1" s="1"/>
  <c r="E428" i="1" s="1"/>
  <c r="E429" i="1" s="1"/>
  <c r="E430" i="1" s="1"/>
  <c r="E431" i="1" s="1"/>
  <c r="E432" i="1" s="1"/>
  <c r="E433" i="1" s="1"/>
  <c r="E434" i="1" s="1"/>
  <c r="E435" i="1" s="1"/>
  <c r="E436" i="1" s="1"/>
  <c r="E437" i="1" s="1"/>
  <c r="E438" i="1" s="1"/>
  <c r="E439" i="1" s="1"/>
  <c r="E440" i="1" s="1"/>
  <c r="E441" i="1" s="1"/>
  <c r="E442" i="1" s="1"/>
  <c r="E443" i="1" s="1"/>
  <c r="E444" i="1" s="1"/>
  <c r="E445" i="1" s="1"/>
  <c r="E446" i="1" s="1"/>
  <c r="E447" i="1" s="1"/>
  <c r="E448" i="1" s="1"/>
  <c r="E449" i="1" s="1"/>
  <c r="E450" i="1" s="1"/>
  <c r="E451" i="1" s="1"/>
  <c r="E452" i="1" s="1"/>
  <c r="E453" i="1" s="1"/>
  <c r="E454" i="1" s="1"/>
  <c r="E455" i="1" s="1"/>
  <c r="E456" i="1" s="1"/>
  <c r="E457" i="1" s="1"/>
  <c r="E458" i="1" s="1"/>
  <c r="E459" i="1" s="1"/>
  <c r="E460" i="1" s="1"/>
  <c r="E461" i="1" s="1"/>
  <c r="E462" i="1" s="1"/>
  <c r="E463" i="1" s="1"/>
  <c r="E464" i="1" s="1"/>
  <c r="E465" i="1" s="1"/>
  <c r="E466" i="1" s="1"/>
  <c r="E467" i="1" s="1"/>
  <c r="E468" i="1" s="1"/>
  <c r="E469" i="1" s="1"/>
  <c r="E470" i="1" s="1"/>
  <c r="E471" i="1" s="1"/>
  <c r="E472" i="1" s="1"/>
  <c r="E473" i="1" s="1"/>
  <c r="E474" i="1" s="1"/>
  <c r="E475" i="1" s="1"/>
  <c r="E476" i="1" s="1"/>
  <c r="E477" i="1" s="1"/>
  <c r="E478" i="1" s="1"/>
  <c r="E479" i="1" s="1"/>
  <c r="E480" i="1" s="1"/>
  <c r="E481" i="1" s="1"/>
  <c r="E482" i="1" s="1"/>
  <c r="E483" i="1" s="1"/>
  <c r="E484" i="1" s="1"/>
  <c r="E485" i="1" s="1"/>
  <c r="E486" i="1" s="1"/>
  <c r="E487" i="1" s="1"/>
  <c r="E488" i="1" s="1"/>
  <c r="E489" i="1" s="1"/>
  <c r="E490" i="1" s="1"/>
  <c r="E491" i="1" s="1"/>
  <c r="E492" i="1" s="1"/>
  <c r="E493" i="1" s="1"/>
  <c r="E494" i="1" s="1"/>
  <c r="E495" i="1" s="1"/>
  <c r="E496" i="1" s="1"/>
  <c r="E497" i="1" s="1"/>
  <c r="E498" i="1" s="1"/>
  <c r="E499" i="1" s="1"/>
  <c r="E500" i="1" s="1"/>
  <c r="E501" i="1" s="1"/>
  <c r="E502" i="1" s="1"/>
  <c r="E3" i="1"/>
  <c r="E2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31" i="1"/>
  <c r="D2" i="1"/>
  <c r="D3" i="1" s="1"/>
  <c r="D4" i="1" l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G3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31" i="1"/>
  <c r="D32" i="1" l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 s="1"/>
  <c r="D368" i="1" s="1"/>
  <c r="D369" i="1" s="1"/>
  <c r="D370" i="1" s="1"/>
  <c r="D371" i="1" s="1"/>
  <c r="D372" i="1" s="1"/>
  <c r="D373" i="1" s="1"/>
  <c r="D374" i="1" s="1"/>
  <c r="D375" i="1" s="1"/>
  <c r="D376" i="1" s="1"/>
  <c r="D377" i="1" s="1"/>
  <c r="D378" i="1" s="1"/>
  <c r="D379" i="1" s="1"/>
  <c r="D380" i="1" s="1"/>
  <c r="D381" i="1" s="1"/>
  <c r="D382" i="1" s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D427" i="1" s="1"/>
  <c r="D428" i="1" s="1"/>
  <c r="D429" i="1" s="1"/>
  <c r="D430" i="1" s="1"/>
  <c r="D431" i="1" s="1"/>
  <c r="D432" i="1" s="1"/>
  <c r="D433" i="1" s="1"/>
  <c r="D434" i="1" s="1"/>
  <c r="D435" i="1" s="1"/>
  <c r="D436" i="1" s="1"/>
  <c r="D437" i="1" s="1"/>
  <c r="D438" i="1" s="1"/>
  <c r="D439" i="1" s="1"/>
  <c r="D440" i="1" s="1"/>
  <c r="D441" i="1" s="1"/>
  <c r="D442" i="1" s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D487" i="1" s="1"/>
  <c r="D488" i="1" s="1"/>
  <c r="D489" i="1" s="1"/>
  <c r="D490" i="1" s="1"/>
  <c r="D491" i="1" s="1"/>
  <c r="D492" i="1" s="1"/>
  <c r="D493" i="1" s="1"/>
  <c r="D494" i="1" s="1"/>
  <c r="D495" i="1" s="1"/>
  <c r="D496" i="1" s="1"/>
  <c r="D497" i="1" s="1"/>
  <c r="D498" i="1" s="1"/>
  <c r="D499" i="1" s="1"/>
  <c r="D500" i="1" s="1"/>
  <c r="D501" i="1" s="1"/>
  <c r="D502" i="1" s="1"/>
  <c r="G4" i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l="1"/>
  <c r="G32" i="1" s="1"/>
  <c r="G33" i="1" l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H32" i="1"/>
  <c r="H31" i="1"/>
  <c r="H33" i="1" l="1"/>
  <c r="H34" i="1"/>
  <c r="H35" i="1" l="1"/>
  <c r="H36" i="1" l="1"/>
  <c r="H37" i="1" l="1"/>
  <c r="H38" i="1" l="1"/>
  <c r="H39" i="1" l="1"/>
  <c r="H40" i="1" l="1"/>
  <c r="H41" i="1" l="1"/>
  <c r="H42" i="1" l="1"/>
  <c r="H43" i="1" l="1"/>
  <c r="H44" i="1" l="1"/>
  <c r="H45" i="1" l="1"/>
  <c r="H46" i="1" l="1"/>
  <c r="H47" i="1" l="1"/>
  <c r="H48" i="1" l="1"/>
  <c r="H49" i="1" l="1"/>
  <c r="H50" i="1" l="1"/>
  <c r="H51" i="1" l="1"/>
  <c r="H52" i="1" l="1"/>
  <c r="H53" i="1" l="1"/>
  <c r="H54" i="1" l="1"/>
  <c r="H55" i="1" l="1"/>
  <c r="H56" i="1" l="1"/>
  <c r="H57" i="1" l="1"/>
  <c r="H58" i="1" l="1"/>
  <c r="H59" i="1" l="1"/>
  <c r="H60" i="1" l="1"/>
  <c r="H61" i="1" l="1"/>
  <c r="H62" i="1" l="1"/>
  <c r="H63" i="1" l="1"/>
  <c r="H64" i="1" l="1"/>
  <c r="H65" i="1" l="1"/>
  <c r="H66" i="1" l="1"/>
  <c r="H67" i="1" l="1"/>
  <c r="H68" i="1" l="1"/>
  <c r="H69" i="1" l="1"/>
  <c r="H70" i="1" l="1"/>
  <c r="H71" i="1" l="1"/>
  <c r="H72" i="1" l="1"/>
  <c r="H73" i="1" l="1"/>
  <c r="H74" i="1" l="1"/>
  <c r="H75" i="1" l="1"/>
  <c r="H76" i="1" l="1"/>
  <c r="H77" i="1" l="1"/>
  <c r="H78" i="1" l="1"/>
  <c r="H79" i="1" l="1"/>
  <c r="H80" i="1" l="1"/>
  <c r="H81" i="1" l="1"/>
  <c r="H82" i="1" l="1"/>
  <c r="H83" i="1" l="1"/>
  <c r="H84" i="1" l="1"/>
  <c r="H85" i="1" l="1"/>
  <c r="H86" i="1" l="1"/>
  <c r="H87" i="1" l="1"/>
  <c r="H88" i="1" l="1"/>
  <c r="H89" i="1" l="1"/>
  <c r="H90" i="1" l="1"/>
  <c r="H91" i="1" l="1"/>
  <c r="H92" i="1" l="1"/>
  <c r="H93" i="1" l="1"/>
  <c r="H94" i="1" l="1"/>
  <c r="H95" i="1" l="1"/>
  <c r="H96" i="1" l="1"/>
  <c r="H97" i="1" l="1"/>
  <c r="H98" i="1" l="1"/>
  <c r="H99" i="1" l="1"/>
  <c r="H100" i="1" l="1"/>
  <c r="H101" i="1" l="1"/>
  <c r="H102" i="1" l="1"/>
  <c r="H103" i="1" l="1"/>
  <c r="H104" i="1" l="1"/>
  <c r="H105" i="1" l="1"/>
  <c r="H106" i="1" l="1"/>
  <c r="H107" i="1" l="1"/>
  <c r="H108" i="1" l="1"/>
  <c r="H109" i="1" l="1"/>
  <c r="H110" i="1" l="1"/>
  <c r="H111" i="1" l="1"/>
  <c r="H112" i="1" l="1"/>
  <c r="H113" i="1" l="1"/>
  <c r="H114" i="1" l="1"/>
  <c r="H115" i="1" l="1"/>
  <c r="H116" i="1" l="1"/>
  <c r="H117" i="1" l="1"/>
  <c r="H118" i="1" l="1"/>
  <c r="H119" i="1" l="1"/>
  <c r="H120" i="1" l="1"/>
  <c r="H121" i="1" l="1"/>
  <c r="H122" i="1" l="1"/>
  <c r="H123" i="1" l="1"/>
  <c r="H124" i="1" l="1"/>
  <c r="H125" i="1" l="1"/>
  <c r="H126" i="1" l="1"/>
  <c r="H127" i="1" l="1"/>
  <c r="H128" i="1" l="1"/>
  <c r="H129" i="1" l="1"/>
  <c r="H130" i="1" l="1"/>
  <c r="H131" i="1" l="1"/>
  <c r="H132" i="1" l="1"/>
  <c r="H133" i="1" l="1"/>
  <c r="H134" i="1" l="1"/>
  <c r="H135" i="1" l="1"/>
  <c r="H136" i="1" l="1"/>
  <c r="H137" i="1" l="1"/>
  <c r="H138" i="1" l="1"/>
  <c r="H139" i="1" l="1"/>
  <c r="H140" i="1" l="1"/>
  <c r="H141" i="1" l="1"/>
  <c r="H142" i="1" l="1"/>
  <c r="H143" i="1" l="1"/>
  <c r="H144" i="1" l="1"/>
  <c r="H145" i="1" l="1"/>
  <c r="H146" i="1" l="1"/>
  <c r="H147" i="1" l="1"/>
  <c r="H148" i="1" l="1"/>
  <c r="H149" i="1" l="1"/>
  <c r="H150" i="1" l="1"/>
  <c r="H151" i="1" l="1"/>
  <c r="H152" i="1" l="1"/>
  <c r="H153" i="1" l="1"/>
  <c r="H154" i="1" l="1"/>
  <c r="H155" i="1" l="1"/>
  <c r="H156" i="1" l="1"/>
  <c r="H157" i="1" l="1"/>
  <c r="H158" i="1" l="1"/>
  <c r="H159" i="1" l="1"/>
  <c r="H160" i="1" l="1"/>
  <c r="H161" i="1" l="1"/>
  <c r="H162" i="1" l="1"/>
  <c r="H163" i="1" l="1"/>
  <c r="H164" i="1" l="1"/>
  <c r="H165" i="1" l="1"/>
  <c r="H166" i="1" l="1"/>
  <c r="H167" i="1" l="1"/>
  <c r="H168" i="1" l="1"/>
  <c r="H169" i="1" l="1"/>
  <c r="H170" i="1" l="1"/>
  <c r="H171" i="1" l="1"/>
  <c r="H172" i="1" l="1"/>
  <c r="H173" i="1" l="1"/>
  <c r="H174" i="1" l="1"/>
  <c r="H175" i="1" l="1"/>
  <c r="H176" i="1" l="1"/>
  <c r="H177" i="1" l="1"/>
  <c r="H178" i="1" l="1"/>
  <c r="H179" i="1" l="1"/>
  <c r="H180" i="1" l="1"/>
  <c r="H181" i="1" l="1"/>
  <c r="H182" i="1" l="1"/>
  <c r="H183" i="1" l="1"/>
  <c r="H184" i="1" l="1"/>
  <c r="H185" i="1" l="1"/>
  <c r="H186" i="1" l="1"/>
  <c r="H187" i="1" l="1"/>
  <c r="H188" i="1" l="1"/>
  <c r="H189" i="1" l="1"/>
  <c r="H190" i="1" l="1"/>
  <c r="H191" i="1" l="1"/>
  <c r="H192" i="1" l="1"/>
  <c r="H193" i="1" l="1"/>
  <c r="H194" i="1" l="1"/>
  <c r="H195" i="1" l="1"/>
  <c r="H196" i="1" l="1"/>
  <c r="H197" i="1" l="1"/>
  <c r="H198" i="1" l="1"/>
  <c r="H199" i="1" l="1"/>
  <c r="H200" i="1" l="1"/>
  <c r="H201" i="1" l="1"/>
  <c r="H202" i="1" l="1"/>
  <c r="H203" i="1" l="1"/>
  <c r="H204" i="1" l="1"/>
  <c r="H205" i="1" l="1"/>
  <c r="H206" i="1" l="1"/>
  <c r="H207" i="1" l="1"/>
  <c r="H208" i="1" l="1"/>
  <c r="H209" i="1" l="1"/>
  <c r="H210" i="1" l="1"/>
  <c r="H211" i="1" l="1"/>
  <c r="H212" i="1" l="1"/>
  <c r="H213" i="1" l="1"/>
  <c r="H214" i="1" l="1"/>
  <c r="H215" i="1" l="1"/>
  <c r="H216" i="1" l="1"/>
  <c r="H217" i="1" l="1"/>
  <c r="H218" i="1" l="1"/>
  <c r="H219" i="1" l="1"/>
  <c r="H220" i="1" l="1"/>
  <c r="H221" i="1" l="1"/>
  <c r="H222" i="1" l="1"/>
  <c r="H223" i="1" l="1"/>
  <c r="H224" i="1" l="1"/>
  <c r="H225" i="1" l="1"/>
  <c r="H226" i="1" l="1"/>
  <c r="H227" i="1" l="1"/>
  <c r="H228" i="1" l="1"/>
  <c r="H229" i="1" l="1"/>
  <c r="H230" i="1" l="1"/>
  <c r="H231" i="1" l="1"/>
  <c r="H232" i="1" l="1"/>
  <c r="H233" i="1" l="1"/>
  <c r="H234" i="1" l="1"/>
  <c r="H235" i="1" l="1"/>
  <c r="H236" i="1" l="1"/>
  <c r="H237" i="1" l="1"/>
  <c r="H238" i="1" l="1"/>
  <c r="H239" i="1" l="1"/>
  <c r="H240" i="1" l="1"/>
  <c r="H241" i="1" l="1"/>
  <c r="H242" i="1" l="1"/>
  <c r="H243" i="1" l="1"/>
  <c r="H244" i="1" l="1"/>
  <c r="H245" i="1" l="1"/>
  <c r="H246" i="1" l="1"/>
  <c r="H247" i="1" l="1"/>
  <c r="H248" i="1" l="1"/>
  <c r="H249" i="1" l="1"/>
  <c r="H250" i="1" l="1"/>
  <c r="H251" i="1" l="1"/>
  <c r="H252" i="1" l="1"/>
  <c r="H253" i="1" l="1"/>
  <c r="H254" i="1" l="1"/>
  <c r="H255" i="1" l="1"/>
  <c r="H256" i="1" l="1"/>
  <c r="H257" i="1" l="1"/>
  <c r="H258" i="1" l="1"/>
  <c r="H259" i="1" l="1"/>
  <c r="H260" i="1" l="1"/>
  <c r="H261" i="1" l="1"/>
  <c r="H262" i="1" l="1"/>
  <c r="H263" i="1" l="1"/>
  <c r="H264" i="1" l="1"/>
  <c r="H265" i="1" l="1"/>
  <c r="H266" i="1" l="1"/>
  <c r="H267" i="1" l="1"/>
  <c r="H268" i="1" l="1"/>
  <c r="H269" i="1" l="1"/>
  <c r="H270" i="1" l="1"/>
  <c r="H271" i="1" l="1"/>
  <c r="H272" i="1" l="1"/>
  <c r="H273" i="1" l="1"/>
  <c r="H274" i="1" l="1"/>
  <c r="H275" i="1" l="1"/>
  <c r="H276" i="1" l="1"/>
  <c r="H277" i="1" l="1"/>
  <c r="H278" i="1" l="1"/>
  <c r="H279" i="1" l="1"/>
  <c r="H280" i="1" l="1"/>
  <c r="H281" i="1" l="1"/>
  <c r="H282" i="1" l="1"/>
  <c r="H283" i="1" l="1"/>
  <c r="H284" i="1" l="1"/>
  <c r="H285" i="1" l="1"/>
  <c r="H286" i="1" l="1"/>
  <c r="H287" i="1" l="1"/>
  <c r="H288" i="1" l="1"/>
  <c r="H289" i="1" l="1"/>
  <c r="H290" i="1" l="1"/>
  <c r="H291" i="1" l="1"/>
  <c r="H292" i="1" l="1"/>
  <c r="H293" i="1" l="1"/>
  <c r="H294" i="1" l="1"/>
  <c r="H295" i="1" l="1"/>
  <c r="H296" i="1" l="1"/>
  <c r="H297" i="1" l="1"/>
  <c r="H298" i="1" l="1"/>
  <c r="H299" i="1" l="1"/>
  <c r="H300" i="1" l="1"/>
  <c r="H301" i="1" l="1"/>
  <c r="H302" i="1" l="1"/>
  <c r="H303" i="1" l="1"/>
  <c r="H304" i="1" l="1"/>
  <c r="H305" i="1" l="1"/>
  <c r="H306" i="1" l="1"/>
  <c r="H307" i="1" l="1"/>
  <c r="H308" i="1" l="1"/>
  <c r="H309" i="1" l="1"/>
  <c r="H310" i="1" l="1"/>
  <c r="H311" i="1" l="1"/>
  <c r="H312" i="1" l="1"/>
  <c r="H313" i="1" l="1"/>
  <c r="H314" i="1" l="1"/>
  <c r="H315" i="1" l="1"/>
  <c r="H316" i="1" l="1"/>
  <c r="H317" i="1" l="1"/>
  <c r="H318" i="1" l="1"/>
  <c r="H319" i="1" l="1"/>
  <c r="H320" i="1" l="1"/>
  <c r="H321" i="1" l="1"/>
  <c r="H322" i="1" l="1"/>
  <c r="H323" i="1" l="1"/>
  <c r="H324" i="1" l="1"/>
  <c r="H325" i="1" l="1"/>
  <c r="H326" i="1" l="1"/>
  <c r="H327" i="1" l="1"/>
  <c r="H328" i="1" l="1"/>
  <c r="H329" i="1" l="1"/>
  <c r="H330" i="1" l="1"/>
  <c r="H331" i="1" l="1"/>
  <c r="H332" i="1" l="1"/>
  <c r="H333" i="1" l="1"/>
  <c r="H334" i="1" l="1"/>
  <c r="H335" i="1" l="1"/>
  <c r="H336" i="1" l="1"/>
  <c r="H337" i="1" l="1"/>
  <c r="H338" i="1" l="1"/>
  <c r="H339" i="1" l="1"/>
  <c r="H340" i="1" l="1"/>
  <c r="H341" i="1" l="1"/>
  <c r="H342" i="1" l="1"/>
  <c r="H343" i="1" l="1"/>
  <c r="H344" i="1" l="1"/>
  <c r="H345" i="1" l="1"/>
  <c r="H346" i="1" l="1"/>
  <c r="H347" i="1" l="1"/>
  <c r="H348" i="1" l="1"/>
  <c r="H349" i="1" l="1"/>
  <c r="H350" i="1" l="1"/>
  <c r="H351" i="1" l="1"/>
  <c r="H352" i="1" l="1"/>
  <c r="H353" i="1" l="1"/>
  <c r="H354" i="1" l="1"/>
  <c r="H355" i="1" l="1"/>
  <c r="H356" i="1" l="1"/>
  <c r="H357" i="1" l="1"/>
  <c r="H358" i="1" l="1"/>
  <c r="H359" i="1" l="1"/>
  <c r="H360" i="1" l="1"/>
  <c r="H361" i="1" l="1"/>
  <c r="H362" i="1" l="1"/>
  <c r="H363" i="1" l="1"/>
  <c r="H364" i="1" l="1"/>
  <c r="H365" i="1" l="1"/>
  <c r="H366" i="1" l="1"/>
  <c r="H367" i="1" l="1"/>
  <c r="H368" i="1" l="1"/>
  <c r="H369" i="1" l="1"/>
  <c r="H370" i="1" l="1"/>
  <c r="H371" i="1" l="1"/>
  <c r="H372" i="1" l="1"/>
  <c r="H373" i="1" l="1"/>
  <c r="H374" i="1" l="1"/>
  <c r="H375" i="1" l="1"/>
  <c r="H376" i="1" l="1"/>
  <c r="H377" i="1" l="1"/>
  <c r="H378" i="1" l="1"/>
  <c r="H379" i="1" l="1"/>
  <c r="H380" i="1" l="1"/>
  <c r="H381" i="1" l="1"/>
  <c r="H382" i="1" l="1"/>
  <c r="H383" i="1" l="1"/>
  <c r="H384" i="1" l="1"/>
  <c r="H385" i="1" l="1"/>
  <c r="H386" i="1" l="1"/>
  <c r="H387" i="1" l="1"/>
  <c r="H388" i="1" l="1"/>
  <c r="H389" i="1" l="1"/>
  <c r="H390" i="1" l="1"/>
  <c r="H391" i="1" l="1"/>
  <c r="H392" i="1" l="1"/>
  <c r="H393" i="1" l="1"/>
  <c r="H394" i="1" l="1"/>
  <c r="H395" i="1" l="1"/>
  <c r="H396" i="1" l="1"/>
  <c r="H397" i="1" l="1"/>
  <c r="H398" i="1" l="1"/>
  <c r="H399" i="1" l="1"/>
  <c r="H400" i="1" l="1"/>
  <c r="H401" i="1" l="1"/>
  <c r="H402" i="1" l="1"/>
  <c r="H403" i="1" l="1"/>
  <c r="H404" i="1" l="1"/>
  <c r="H405" i="1" l="1"/>
  <c r="H406" i="1" l="1"/>
  <c r="H407" i="1" l="1"/>
  <c r="H408" i="1" l="1"/>
  <c r="H409" i="1" l="1"/>
  <c r="H410" i="1" l="1"/>
  <c r="H411" i="1" l="1"/>
  <c r="H412" i="1" l="1"/>
  <c r="H413" i="1" l="1"/>
  <c r="H414" i="1" l="1"/>
  <c r="H415" i="1" l="1"/>
  <c r="H416" i="1" l="1"/>
  <c r="H417" i="1" l="1"/>
  <c r="H418" i="1" l="1"/>
  <c r="H419" i="1" l="1"/>
  <c r="H420" i="1" l="1"/>
  <c r="H421" i="1" l="1"/>
  <c r="H422" i="1" l="1"/>
  <c r="H423" i="1" l="1"/>
  <c r="H424" i="1" l="1"/>
  <c r="H425" i="1" l="1"/>
  <c r="H426" i="1" l="1"/>
  <c r="H427" i="1" l="1"/>
  <c r="H428" i="1" l="1"/>
  <c r="H429" i="1" l="1"/>
  <c r="H430" i="1" l="1"/>
  <c r="H431" i="1" l="1"/>
  <c r="H432" i="1" l="1"/>
  <c r="H433" i="1" l="1"/>
  <c r="H434" i="1" l="1"/>
  <c r="H435" i="1" l="1"/>
  <c r="H436" i="1" l="1"/>
  <c r="H437" i="1" l="1"/>
  <c r="H438" i="1" l="1"/>
  <c r="H439" i="1" l="1"/>
  <c r="H440" i="1" l="1"/>
  <c r="H441" i="1" l="1"/>
  <c r="H442" i="1" l="1"/>
  <c r="H443" i="1" l="1"/>
  <c r="H444" i="1" l="1"/>
  <c r="H445" i="1" l="1"/>
  <c r="H446" i="1" l="1"/>
  <c r="H447" i="1" l="1"/>
  <c r="H448" i="1" l="1"/>
  <c r="H449" i="1" l="1"/>
  <c r="H450" i="1" l="1"/>
  <c r="H451" i="1" l="1"/>
  <c r="H452" i="1" l="1"/>
  <c r="H453" i="1" l="1"/>
  <c r="H454" i="1" l="1"/>
  <c r="H455" i="1" l="1"/>
  <c r="H456" i="1" l="1"/>
  <c r="H457" i="1" l="1"/>
  <c r="H458" i="1" l="1"/>
  <c r="H459" i="1" l="1"/>
  <c r="H460" i="1" l="1"/>
  <c r="H461" i="1" l="1"/>
  <c r="H462" i="1" l="1"/>
  <c r="H463" i="1" l="1"/>
  <c r="H464" i="1" l="1"/>
  <c r="H465" i="1" l="1"/>
  <c r="H466" i="1" l="1"/>
  <c r="H467" i="1" l="1"/>
  <c r="H468" i="1" l="1"/>
  <c r="H469" i="1" l="1"/>
  <c r="H470" i="1" l="1"/>
  <c r="H471" i="1" l="1"/>
  <c r="H472" i="1" l="1"/>
  <c r="H473" i="1" l="1"/>
  <c r="H474" i="1" l="1"/>
  <c r="H475" i="1" l="1"/>
  <c r="H476" i="1" l="1"/>
  <c r="H477" i="1" l="1"/>
  <c r="H478" i="1" l="1"/>
  <c r="H479" i="1" l="1"/>
  <c r="H480" i="1" l="1"/>
  <c r="H481" i="1" l="1"/>
  <c r="H482" i="1" l="1"/>
  <c r="H483" i="1" l="1"/>
  <c r="H484" i="1" l="1"/>
  <c r="H485" i="1" l="1"/>
  <c r="H486" i="1" l="1"/>
  <c r="H487" i="1" l="1"/>
  <c r="H488" i="1" l="1"/>
  <c r="H489" i="1" l="1"/>
  <c r="H490" i="1" l="1"/>
  <c r="H491" i="1" l="1"/>
  <c r="H492" i="1" l="1"/>
  <c r="H493" i="1" l="1"/>
  <c r="H494" i="1" l="1"/>
  <c r="H495" i="1" l="1"/>
  <c r="H496" i="1" l="1"/>
  <c r="H497" i="1" l="1"/>
  <c r="H498" i="1" l="1"/>
  <c r="H499" i="1" l="1"/>
  <c r="H500" i="1" l="1"/>
  <c r="H502" i="1" l="1"/>
  <c r="K5" i="1" s="1"/>
  <c r="H501" i="1"/>
</calcChain>
</file>

<file path=xl/sharedStrings.xml><?xml version="1.0" encoding="utf-8"?>
<sst xmlns="http://schemas.openxmlformats.org/spreadsheetml/2006/main" count="9" uniqueCount="9">
  <si>
    <t># Times series data</t>
  </si>
  <si>
    <t>alpha</t>
  </si>
  <si>
    <t>alpha2</t>
  </si>
  <si>
    <t>Solving parameters for</t>
  </si>
  <si>
    <t>EMA1</t>
  </si>
  <si>
    <t>EMA2</t>
  </si>
  <si>
    <t>average</t>
  </si>
  <si>
    <t>stdev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</si>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</sst>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hu-HU"/>
              <a:t>Variance estimators</a:t>
            </a:r>
            <a:endParaRPr lang="en-GB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Standard variance</c:v>
          </c:tx>
          <c:marker>
            <c:symbol val="none"/>
          </c:marker>
          <c:val>
            <c:numRef>
              <c:f>data!$F$32:$F$503</c:f>
              <c:numCache>
                <c:formatCode>General</c:formatCode>
                <c:ptCount val="472"/>
                <c:pt idx="0">
                  <c:v>4.7372332970141846E-4</c:v>
                </c:pt>
                <c:pt idx="1">
                  <c:v>4.7021638452505397E-4</c:v>
                </c:pt>
                <c:pt idx="2">
                  <c:v>4.6158148929990785E-4</c:v>
                </c:pt>
                <c:pt idx="3">
                  <c:v>4.5008300639285797E-4</c:v>
                </c:pt>
                <c:pt idx="4">
                  <c:v>4.3739038035551722E-4</c:v>
                </c:pt>
                <c:pt idx="5">
                  <c:v>4.2502197373886415E-4</c:v>
                </c:pt>
                <c:pt idx="6">
                  <c:v>4.0649892903955897E-4</c:v>
                </c:pt>
                <c:pt idx="7">
                  <c:v>3.9298445466603559E-4</c:v>
                </c:pt>
                <c:pt idx="8">
                  <c:v>3.850063441781689E-4</c:v>
                </c:pt>
                <c:pt idx="9">
                  <c:v>3.711429999834986E-4</c:v>
                </c:pt>
                <c:pt idx="10">
                  <c:v>3.401149231061683E-4</c:v>
                </c:pt>
                <c:pt idx="11">
                  <c:v>3.0782888215636028E-4</c:v>
                </c:pt>
                <c:pt idx="12">
                  <c:v>2.7634727444275116E-4</c:v>
                </c:pt>
                <c:pt idx="13">
                  <c:v>2.4821199689435897E-4</c:v>
                </c:pt>
                <c:pt idx="14">
                  <c:v>2.2396633572976737E-4</c:v>
                </c:pt>
                <c:pt idx="15">
                  <c:v>1.953776184548656E-4</c:v>
                </c:pt>
                <c:pt idx="16">
                  <c:v>1.7287295182086114E-4</c:v>
                </c:pt>
                <c:pt idx="17">
                  <c:v>1.5256428831466554E-4</c:v>
                </c:pt>
                <c:pt idx="18">
                  <c:v>1.3796551293209655E-4</c:v>
                </c:pt>
                <c:pt idx="19">
                  <c:v>1.2905492014560866E-4</c:v>
                </c:pt>
                <c:pt idx="20">
                  <c:v>1.2576204496595741E-4</c:v>
                </c:pt>
                <c:pt idx="21">
                  <c:v>1.1472105098989892E-4</c:v>
                </c:pt>
                <c:pt idx="22">
                  <c:v>1.1121068335349487E-4</c:v>
                </c:pt>
                <c:pt idx="23">
                  <c:v>1.1591713250935967E-4</c:v>
                </c:pt>
                <c:pt idx="24">
                  <c:v>1.214850636484017E-4</c:v>
                </c:pt>
                <c:pt idx="25">
                  <c:v>1.3767361035620139E-4</c:v>
                </c:pt>
                <c:pt idx="26">
                  <c:v>1.4546793303074924E-4</c:v>
                </c:pt>
                <c:pt idx="27">
                  <c:v>1.4558640835895043E-4</c:v>
                </c:pt>
                <c:pt idx="28">
                  <c:v>1.4797483476640925E-4</c:v>
                </c:pt>
                <c:pt idx="29">
                  <c:v>1.4558640835895043E-4</c:v>
                </c:pt>
                <c:pt idx="30">
                  <c:v>1.4546793303074924E-4</c:v>
                </c:pt>
                <c:pt idx="31">
                  <c:v>1.4558640835895043E-4</c:v>
                </c:pt>
                <c:pt idx="32">
                  <c:v>1.4546793303074924E-4</c:v>
                </c:pt>
                <c:pt idx="33">
                  <c:v>1.4762487408389054E-4</c:v>
                </c:pt>
                <c:pt idx="34">
                  <c:v>1.5196036990938475E-4</c:v>
                </c:pt>
                <c:pt idx="35">
                  <c:v>1.4762487408389054E-4</c:v>
                </c:pt>
                <c:pt idx="36">
                  <c:v>1.5196036990938475E-4</c:v>
                </c:pt>
                <c:pt idx="37">
                  <c:v>1.5387709679984477E-4</c:v>
                </c:pt>
                <c:pt idx="38">
                  <c:v>1.5905612397742287E-4</c:v>
                </c:pt>
                <c:pt idx="39">
                  <c:v>1.6595249285583633E-4</c:v>
                </c:pt>
                <c:pt idx="40">
                  <c:v>1.6914252984482643E-4</c:v>
                </c:pt>
                <c:pt idx="41">
                  <c:v>1.7005746155313004E-4</c:v>
                </c:pt>
                <c:pt idx="42">
                  <c:v>1.7290619342333319E-4</c:v>
                </c:pt>
                <c:pt idx="43">
                  <c:v>1.7759569219174894E-4</c:v>
                </c:pt>
                <c:pt idx="44">
                  <c:v>1.9061304607329927E-4</c:v>
                </c:pt>
                <c:pt idx="45">
                  <c:v>1.9710549133053587E-4</c:v>
                </c:pt>
                <c:pt idx="46">
                  <c:v>2.0636425779809828E-4</c:v>
                </c:pt>
                <c:pt idx="47">
                  <c:v>2.1107279345746878E-4</c:v>
                </c:pt>
                <c:pt idx="48">
                  <c:v>2.1251098686947498E-4</c:v>
                </c:pt>
                <c:pt idx="49">
                  <c:v>2.1644993581115249E-4</c:v>
                </c:pt>
                <c:pt idx="50">
                  <c:v>2.1764148522733994E-4</c:v>
                </c:pt>
                <c:pt idx="51">
                  <c:v>2.1719211264019706E-4</c:v>
                </c:pt>
                <c:pt idx="52">
                  <c:v>2.1551862068526281E-4</c:v>
                </c:pt>
                <c:pt idx="53">
                  <c:v>2.0844250013392023E-4</c:v>
                </c:pt>
                <c:pt idx="54">
                  <c:v>1.9490640252986139E-4</c:v>
                </c:pt>
                <c:pt idx="55">
                  <c:v>1.6883645082279219E-4</c:v>
                </c:pt>
                <c:pt idx="56">
                  <c:v>1.5447352189133256E-4</c:v>
                </c:pt>
                <c:pt idx="57">
                  <c:v>1.5013403972801275E-4</c:v>
                </c:pt>
                <c:pt idx="58">
                  <c:v>1.4319827906239749E-4</c:v>
                </c:pt>
                <c:pt idx="59">
                  <c:v>1.3833991121320899E-4</c:v>
                </c:pt>
                <c:pt idx="60">
                  <c:v>1.3578211078485759E-4</c:v>
                </c:pt>
                <c:pt idx="61">
                  <c:v>1.2726115785598923E-4</c:v>
                </c:pt>
                <c:pt idx="62">
                  <c:v>1.2410599844717949E-4</c:v>
                </c:pt>
                <c:pt idx="63">
                  <c:v>1.2726115785598923E-4</c:v>
                </c:pt>
                <c:pt idx="64">
                  <c:v>1.2726115785598923E-4</c:v>
                </c:pt>
                <c:pt idx="65">
                  <c:v>1.2905492014560869E-4</c:v>
                </c:pt>
                <c:pt idx="66">
                  <c:v>1.2905492014560869E-4</c:v>
                </c:pt>
                <c:pt idx="67">
                  <c:v>1.3047217521657017E-4</c:v>
                </c:pt>
                <c:pt idx="68">
                  <c:v>1.3047217521657017E-4</c:v>
                </c:pt>
                <c:pt idx="69">
                  <c:v>1.3047217521657011E-4</c:v>
                </c:pt>
                <c:pt idx="70">
                  <c:v>1.3047217521657014E-4</c:v>
                </c:pt>
                <c:pt idx="71">
                  <c:v>1.3152509484774696E-4</c:v>
                </c:pt>
                <c:pt idx="72">
                  <c:v>1.3152509484774696E-4</c:v>
                </c:pt>
                <c:pt idx="73">
                  <c:v>1.3152509484774699E-4</c:v>
                </c:pt>
                <c:pt idx="74">
                  <c:v>1.2507469032908337E-4</c:v>
                </c:pt>
                <c:pt idx="75">
                  <c:v>1.2507469032908337E-4</c:v>
                </c:pt>
                <c:pt idx="76">
                  <c:v>1.1788363637135935E-4</c:v>
                </c:pt>
                <c:pt idx="77">
                  <c:v>1.1788363637135935E-4</c:v>
                </c:pt>
                <c:pt idx="78">
                  <c:v>1.2507469032908334E-4</c:v>
                </c:pt>
                <c:pt idx="79">
                  <c:v>1.2507469032908334E-4</c:v>
                </c:pt>
                <c:pt idx="80">
                  <c:v>1.2507469032908334E-4</c:v>
                </c:pt>
                <c:pt idx="81">
                  <c:v>1.2507469032908334E-4</c:v>
                </c:pt>
                <c:pt idx="82">
                  <c:v>1.2905492014560872E-4</c:v>
                </c:pt>
                <c:pt idx="83">
                  <c:v>1.2905492014560872E-4</c:v>
                </c:pt>
                <c:pt idx="84">
                  <c:v>1.2905492014560872E-4</c:v>
                </c:pt>
                <c:pt idx="85">
                  <c:v>1.2905492014560866E-4</c:v>
                </c:pt>
                <c:pt idx="86">
                  <c:v>1.1943352886057089E-4</c:v>
                </c:pt>
                <c:pt idx="87">
                  <c:v>1.2576204496595744E-4</c:v>
                </c:pt>
                <c:pt idx="88">
                  <c:v>1.1943352886057088E-4</c:v>
                </c:pt>
                <c:pt idx="89">
                  <c:v>1.2576204496595744E-4</c:v>
                </c:pt>
                <c:pt idx="90">
                  <c:v>1.4259499757470054E-4</c:v>
                </c:pt>
                <c:pt idx="91">
                  <c:v>1.5024883574814543E-4</c:v>
                </c:pt>
                <c:pt idx="92">
                  <c:v>1.6333450621205047E-4</c:v>
                </c:pt>
                <c:pt idx="93">
                  <c:v>1.8067561584485877E-4</c:v>
                </c:pt>
                <c:pt idx="94">
                  <c:v>1.9009979230520278E-4</c:v>
                </c:pt>
                <c:pt idx="95">
                  <c:v>2.0171676968565872E-4</c:v>
                </c:pt>
                <c:pt idx="96">
                  <c:v>2.2034455776791798E-4</c:v>
                </c:pt>
                <c:pt idx="97">
                  <c:v>2.4030631792941928E-4</c:v>
                </c:pt>
                <c:pt idx="98">
                  <c:v>2.5234532077999356E-4</c:v>
                </c:pt>
                <c:pt idx="99">
                  <c:v>2.5910988216296213E-4</c:v>
                </c:pt>
                <c:pt idx="100">
                  <c:v>2.7257815498446996E-4</c:v>
                </c:pt>
                <c:pt idx="101">
                  <c:v>2.7478309104903936E-4</c:v>
                </c:pt>
                <c:pt idx="102">
                  <c:v>2.8357325879475821E-4</c:v>
                </c:pt>
                <c:pt idx="103">
                  <c:v>2.8172294207605208E-4</c:v>
                </c:pt>
                <c:pt idx="104">
                  <c:v>2.863965581248866E-4</c:v>
                </c:pt>
                <c:pt idx="105">
                  <c:v>2.8057822069980736E-4</c:v>
                </c:pt>
                <c:pt idx="106">
                  <c:v>2.8129421746926376E-4</c:v>
                </c:pt>
                <c:pt idx="107">
                  <c:v>2.712465901052296E-4</c:v>
                </c:pt>
                <c:pt idx="108">
                  <c:v>2.5452231571207771E-4</c:v>
                </c:pt>
                <c:pt idx="109">
                  <c:v>2.4562844569261358E-4</c:v>
                </c:pt>
                <c:pt idx="110">
                  <c:v>2.3994731222439915E-4</c:v>
                </c:pt>
                <c:pt idx="111">
                  <c:v>2.4261506335252853E-4</c:v>
                </c:pt>
                <c:pt idx="112">
                  <c:v>2.4261506335252636E-4</c:v>
                </c:pt>
                <c:pt idx="113">
                  <c:v>2.3994731222439091E-4</c:v>
                </c:pt>
                <c:pt idx="114">
                  <c:v>2.2203344472115262E-4</c:v>
                </c:pt>
                <c:pt idx="115">
                  <c:v>2.052472576714111E-4</c:v>
                </c:pt>
                <c:pt idx="116">
                  <c:v>1.8382900600367045E-4</c:v>
                </c:pt>
                <c:pt idx="117">
                  <c:v>1.7603552410563249E-4</c:v>
                </c:pt>
                <c:pt idx="118">
                  <c:v>1.584406774659729E-4</c:v>
                </c:pt>
                <c:pt idx="119">
                  <c:v>1.4840144374552998E-4</c:v>
                </c:pt>
                <c:pt idx="120">
                  <c:v>1.4840144374552998E-4</c:v>
                </c:pt>
                <c:pt idx="121">
                  <c:v>1.4840144374552998E-4</c:v>
                </c:pt>
                <c:pt idx="122">
                  <c:v>1.6273524086903208E-4</c:v>
                </c:pt>
                <c:pt idx="123">
                  <c:v>1.8742048122237458E-4</c:v>
                </c:pt>
                <c:pt idx="124">
                  <c:v>1.9826836567542772E-4</c:v>
                </c:pt>
                <c:pt idx="125">
                  <c:v>2.1772068999201309E-4</c:v>
                </c:pt>
                <c:pt idx="126">
                  <c:v>2.2884015402018277E-4</c:v>
                </c:pt>
                <c:pt idx="127">
                  <c:v>2.431592827379606E-4</c:v>
                </c:pt>
                <c:pt idx="128">
                  <c:v>2.513412297915652E-4</c:v>
                </c:pt>
                <c:pt idx="129">
                  <c:v>2.6350859873869607E-4</c:v>
                </c:pt>
                <c:pt idx="130">
                  <c:v>2.7792333351192903E-4</c:v>
                </c:pt>
                <c:pt idx="131">
                  <c:v>2.8657710442680048E-4</c:v>
                </c:pt>
                <c:pt idx="132">
                  <c:v>2.9664793948389658E-4</c:v>
                </c:pt>
                <c:pt idx="133">
                  <c:v>3.0249916880295644E-4</c:v>
                </c:pt>
                <c:pt idx="134">
                  <c:v>3.0894704378276909E-4</c:v>
                </c:pt>
                <c:pt idx="135">
                  <c:v>3.1236951298697799E-4</c:v>
                </c:pt>
                <c:pt idx="136">
                  <c:v>3.1557282344428045E-4</c:v>
                </c:pt>
                <c:pt idx="137">
                  <c:v>3.1675437381885698E-4</c:v>
                </c:pt>
                <c:pt idx="138">
                  <c:v>3.1154048094013241E-4</c:v>
                </c:pt>
                <c:pt idx="139">
                  <c:v>3.0249916880295037E-4</c:v>
                </c:pt>
                <c:pt idx="140">
                  <c:v>2.8945052978952818E-4</c:v>
                </c:pt>
                <c:pt idx="141">
                  <c:v>2.6869202127879324E-4</c:v>
                </c:pt>
                <c:pt idx="142">
                  <c:v>2.5008044682678924E-4</c:v>
                </c:pt>
                <c:pt idx="143">
                  <c:v>2.1890532252530868E-4</c:v>
                </c:pt>
                <c:pt idx="144">
                  <c:v>1.9133529575673849E-4</c:v>
                </c:pt>
                <c:pt idx="145">
                  <c:v>1.6914252984484348E-4</c:v>
                </c:pt>
                <c:pt idx="146">
                  <c:v>1.5643293888381102E-4</c:v>
                </c:pt>
                <c:pt idx="147">
                  <c:v>1.4703975535608957E-4</c:v>
                </c:pt>
                <c:pt idx="148">
                  <c:v>1.3152509484776537E-4</c:v>
                </c:pt>
                <c:pt idx="149">
                  <c:v>1.1943352886057084E-4</c:v>
                </c:pt>
                <c:pt idx="150">
                  <c:v>1.118804780974214E-4</c:v>
                </c:pt>
                <c:pt idx="151">
                  <c:v>1.0980651740386434E-4</c:v>
                </c:pt>
                <c:pt idx="152">
                  <c:v>1.135123670410477E-4</c:v>
                </c:pt>
                <c:pt idx="153">
                  <c:v>1.2247448713914542E-4</c:v>
                </c:pt>
                <c:pt idx="154">
                  <c:v>1.2507469032908334E-4</c:v>
                </c:pt>
                <c:pt idx="155">
                  <c:v>1.3256965204628957E-4</c:v>
                </c:pt>
                <c:pt idx="156">
                  <c:v>1.3429252681596511E-4</c:v>
                </c:pt>
                <c:pt idx="157">
                  <c:v>1.4064710873458417E-4</c:v>
                </c:pt>
                <c:pt idx="158">
                  <c:v>1.4162440207945591E-4</c:v>
                </c:pt>
                <c:pt idx="159">
                  <c:v>1.4703975535605208E-4</c:v>
                </c:pt>
                <c:pt idx="160">
                  <c:v>1.4703975535605208E-4</c:v>
                </c:pt>
                <c:pt idx="161">
                  <c:v>1.5196036990933992E-4</c:v>
                </c:pt>
                <c:pt idx="162">
                  <c:v>1.6078113916948708E-4</c:v>
                </c:pt>
                <c:pt idx="163">
                  <c:v>1.6473594335929479E-4</c:v>
                </c:pt>
                <c:pt idx="164">
                  <c:v>1.6473594335929482E-4</c:v>
                </c:pt>
                <c:pt idx="165">
                  <c:v>1.683250823060161E-4</c:v>
                </c:pt>
                <c:pt idx="166">
                  <c:v>1.683250823060161E-4</c:v>
                </c:pt>
                <c:pt idx="167">
                  <c:v>1.7157150581955302E-4</c:v>
                </c:pt>
                <c:pt idx="168">
                  <c:v>1.7049623314676189E-4</c:v>
                </c:pt>
                <c:pt idx="169">
                  <c:v>1.7049623314676187E-4</c:v>
                </c:pt>
                <c:pt idx="170">
                  <c:v>1.6914252984478076E-4</c:v>
                </c:pt>
                <c:pt idx="171">
                  <c:v>1.6914252984478076E-4</c:v>
                </c:pt>
                <c:pt idx="172">
                  <c:v>1.6750364552558744E-4</c:v>
                </c:pt>
                <c:pt idx="173">
                  <c:v>1.613520460316973E-4</c:v>
                </c:pt>
                <c:pt idx="174">
                  <c:v>1.613520460316973E-4</c:v>
                </c:pt>
                <c:pt idx="175">
                  <c:v>1.5465943304525528E-4</c:v>
                </c:pt>
                <c:pt idx="176">
                  <c:v>1.4259499757470056E-4</c:v>
                </c:pt>
                <c:pt idx="177">
                  <c:v>1.3429252681596517E-4</c:v>
                </c:pt>
                <c:pt idx="178">
                  <c:v>1.1472105098989895E-4</c:v>
                </c:pt>
                <c:pt idx="179">
                  <c:v>1.0288929437288114E-4</c:v>
                </c:pt>
                <c:pt idx="180">
                  <c:v>1.0288929437288114E-4</c:v>
                </c:pt>
                <c:pt idx="181">
                  <c:v>1.1472105098989891E-4</c:v>
                </c:pt>
                <c:pt idx="182">
                  <c:v>1.1943352886057088E-4</c:v>
                </c:pt>
                <c:pt idx="183">
                  <c:v>1.2726115785598923E-4</c:v>
                </c:pt>
                <c:pt idx="184">
                  <c:v>1.3047217521657011E-4</c:v>
                </c:pt>
                <c:pt idx="185">
                  <c:v>1.35655073073478E-4</c:v>
                </c:pt>
                <c:pt idx="186">
                  <c:v>1.4890404223223279E-4</c:v>
                </c:pt>
                <c:pt idx="187">
                  <c:v>1.5698305055296294E-4</c:v>
                </c:pt>
                <c:pt idx="188">
                  <c:v>1.7317189652806225E-4</c:v>
                </c:pt>
                <c:pt idx="189">
                  <c:v>1.7694729392557867E-4</c:v>
                </c:pt>
                <c:pt idx="190">
                  <c:v>1.8842968748697774E-4</c:v>
                </c:pt>
                <c:pt idx="191">
                  <c:v>2.0103182112157404E-4</c:v>
                </c:pt>
                <c:pt idx="192">
                  <c:v>2.1229452540575566E-4</c:v>
                </c:pt>
                <c:pt idx="193">
                  <c:v>2.3252734359051217E-4</c:v>
                </c:pt>
                <c:pt idx="194">
                  <c:v>2.5964166288073204E-4</c:v>
                </c:pt>
                <c:pt idx="195">
                  <c:v>2.6961019115093047E-4</c:v>
                </c:pt>
                <c:pt idx="196">
                  <c:v>2.7478309104904402E-4</c:v>
                </c:pt>
                <c:pt idx="197">
                  <c:v>2.783366026376149E-4</c:v>
                </c:pt>
                <c:pt idx="198">
                  <c:v>2.787698758442102E-4</c:v>
                </c:pt>
                <c:pt idx="199">
                  <c:v>2.857536918638682E-4</c:v>
                </c:pt>
                <c:pt idx="200">
                  <c:v>2.9166584564751586E-4</c:v>
                </c:pt>
                <c:pt idx="201">
                  <c:v>2.9400132926440242E-4</c:v>
                </c:pt>
                <c:pt idx="202">
                  <c:v>2.9417720830325779E-4</c:v>
                </c:pt>
                <c:pt idx="203">
                  <c:v>2.9211869733615861E-4</c:v>
                </c:pt>
                <c:pt idx="204">
                  <c:v>2.9635719361428966E-4</c:v>
                </c:pt>
                <c:pt idx="205">
                  <c:v>2.9046138485518889E-4</c:v>
                </c:pt>
                <c:pt idx="206">
                  <c:v>2.9087659823770305E-4</c:v>
                </c:pt>
                <c:pt idx="207">
                  <c:v>2.8088529994318919E-4</c:v>
                </c:pt>
                <c:pt idx="208">
                  <c:v>2.6437955995911079E-4</c:v>
                </c:pt>
                <c:pt idx="209">
                  <c:v>2.4821199689445151E-4</c:v>
                </c:pt>
                <c:pt idx="210">
                  <c:v>2.3879486700047965E-4</c:v>
                </c:pt>
                <c:pt idx="211">
                  <c:v>2.3034207445535136E-4</c:v>
                </c:pt>
                <c:pt idx="212">
                  <c:v>2.1229452540577726E-4</c:v>
                </c:pt>
                <c:pt idx="213">
                  <c:v>1.9988502442285427E-4</c:v>
                </c:pt>
                <c:pt idx="214">
                  <c:v>1.7554512797009639E-4</c:v>
                </c:pt>
                <c:pt idx="215">
                  <c:v>1.5668989800858641E-4</c:v>
                </c:pt>
                <c:pt idx="216">
                  <c:v>1.4323840748666731E-4</c:v>
                </c:pt>
                <c:pt idx="217">
                  <c:v>1.2726115785601105E-4</c:v>
                </c:pt>
                <c:pt idx="218">
                  <c:v>1.1943352886059501E-4</c:v>
                </c:pt>
                <c:pt idx="219">
                  <c:v>1.0333518722844547E-4</c:v>
                </c:pt>
                <c:pt idx="220">
                  <c:v>1.1264836959499679E-4</c:v>
                </c:pt>
                <c:pt idx="221">
                  <c:v>1.35655073073478E-4</c:v>
                </c:pt>
                <c:pt idx="222">
                  <c:v>1.4762487408384492E-4</c:v>
                </c:pt>
                <c:pt idx="223">
                  <c:v>1.5346570997433221E-4</c:v>
                </c:pt>
                <c:pt idx="224">
                  <c:v>1.5521583045225508E-4</c:v>
                </c:pt>
                <c:pt idx="225">
                  <c:v>1.5992095748735538E-4</c:v>
                </c:pt>
                <c:pt idx="226">
                  <c:v>1.5742175578806392E-4</c:v>
                </c:pt>
                <c:pt idx="227">
                  <c:v>1.6078113916948711E-4</c:v>
                </c:pt>
                <c:pt idx="228">
                  <c:v>1.5698305055296294E-4</c:v>
                </c:pt>
                <c:pt idx="229">
                  <c:v>1.5905612397737809E-4</c:v>
                </c:pt>
                <c:pt idx="230">
                  <c:v>1.7317189652804474E-4</c:v>
                </c:pt>
                <c:pt idx="231">
                  <c:v>1.7762804997500841E-4</c:v>
                </c:pt>
                <c:pt idx="232">
                  <c:v>1.884296874869482E-4</c:v>
                </c:pt>
                <c:pt idx="233">
                  <c:v>2.0185917476491533E-4</c:v>
                </c:pt>
                <c:pt idx="234">
                  <c:v>2.2203344472106399E-4</c:v>
                </c:pt>
                <c:pt idx="235">
                  <c:v>2.2996751394762854E-4</c:v>
                </c:pt>
                <c:pt idx="236">
                  <c:v>2.3412836640187562E-4</c:v>
                </c:pt>
                <c:pt idx="237">
                  <c:v>2.3879486700039128E-4</c:v>
                </c:pt>
                <c:pt idx="238">
                  <c:v>2.4090347186914496E-4</c:v>
                </c:pt>
                <c:pt idx="239">
                  <c:v>2.3647312792339162E-4</c:v>
                </c:pt>
                <c:pt idx="240">
                  <c:v>2.370556945083543E-4</c:v>
                </c:pt>
                <c:pt idx="241">
                  <c:v>2.3096499212260532E-4</c:v>
                </c:pt>
                <c:pt idx="242">
                  <c:v>2.1995297303018419E-4</c:v>
                </c:pt>
                <c:pt idx="243">
                  <c:v>2.1615766914690813E-4</c:v>
                </c:pt>
                <c:pt idx="244">
                  <c:v>2.0025845369385341E-4</c:v>
                </c:pt>
                <c:pt idx="245">
                  <c:v>1.9181528470971172E-4</c:v>
                </c:pt>
                <c:pt idx="246">
                  <c:v>1.6887048699907293E-4</c:v>
                </c:pt>
                <c:pt idx="247">
                  <c:v>1.5346570997433221E-4</c:v>
                </c:pt>
                <c:pt idx="248">
                  <c:v>1.4064710873458417E-4</c:v>
                </c:pt>
                <c:pt idx="249">
                  <c:v>1.3565507307347803E-4</c:v>
                </c:pt>
                <c:pt idx="250">
                  <c:v>1.4223180044373624E-4</c:v>
                </c:pt>
                <c:pt idx="251">
                  <c:v>1.5465943304525525E-4</c:v>
                </c:pt>
                <c:pt idx="252">
                  <c:v>1.7207322686081159E-4</c:v>
                </c:pt>
                <c:pt idx="253">
                  <c:v>1.7684982914596955E-4</c:v>
                </c:pt>
                <c:pt idx="254">
                  <c:v>1.8067561584484042E-4</c:v>
                </c:pt>
                <c:pt idx="255">
                  <c:v>1.9419743478777627E-4</c:v>
                </c:pt>
                <c:pt idx="256">
                  <c:v>2.0633640649112019E-4</c:v>
                </c:pt>
                <c:pt idx="257">
                  <c:v>2.27555727669929E-4</c:v>
                </c:pt>
                <c:pt idx="258">
                  <c:v>2.4597915994332417E-4</c:v>
                </c:pt>
                <c:pt idx="259">
                  <c:v>2.7209278336369816E-4</c:v>
                </c:pt>
                <c:pt idx="260">
                  <c:v>2.9135040324538024E-4</c:v>
                </c:pt>
                <c:pt idx="261">
                  <c:v>3.1045017369105523E-4</c:v>
                </c:pt>
                <c:pt idx="262">
                  <c:v>3.2236553821688536E-4</c:v>
                </c:pt>
                <c:pt idx="263">
                  <c:v>3.3986136456857135E-4</c:v>
                </c:pt>
                <c:pt idx="264">
                  <c:v>3.6212971575728752E-4</c:v>
                </c:pt>
                <c:pt idx="265">
                  <c:v>3.8549863216653067E-4</c:v>
                </c:pt>
                <c:pt idx="266">
                  <c:v>4.0809340828422229E-4</c:v>
                </c:pt>
                <c:pt idx="267">
                  <c:v>4.2302957696652616E-4</c:v>
                </c:pt>
                <c:pt idx="268">
                  <c:v>4.2681660440179039E-4</c:v>
                </c:pt>
                <c:pt idx="269">
                  <c:v>4.2778499272411408E-4</c:v>
                </c:pt>
                <c:pt idx="270">
                  <c:v>4.3450328358742496E-4</c:v>
                </c:pt>
                <c:pt idx="271">
                  <c:v>4.2778499272412351E-4</c:v>
                </c:pt>
                <c:pt idx="272">
                  <c:v>4.1909864967677778E-4</c:v>
                </c:pt>
                <c:pt idx="273">
                  <c:v>4.157944894671441E-4</c:v>
                </c:pt>
                <c:pt idx="274">
                  <c:v>4.0809340828423568E-4</c:v>
                </c:pt>
                <c:pt idx="275">
                  <c:v>3.9840198033019495E-4</c:v>
                </c:pt>
                <c:pt idx="276">
                  <c:v>3.8250535267833873E-4</c:v>
                </c:pt>
                <c:pt idx="277">
                  <c:v>3.6528999659064077E-4</c:v>
                </c:pt>
                <c:pt idx="278">
                  <c:v>3.3589817833220491E-4</c:v>
                </c:pt>
                <c:pt idx="279">
                  <c:v>3.0642544235774135E-4</c:v>
                </c:pt>
                <c:pt idx="280">
                  <c:v>2.7907894487271153E-4</c:v>
                </c:pt>
                <c:pt idx="281">
                  <c:v>2.5607559946953378E-4</c:v>
                </c:pt>
                <c:pt idx="282">
                  <c:v>2.3683739996671236E-4</c:v>
                </c:pt>
                <c:pt idx="283">
                  <c:v>2.0636425779809267E-4</c:v>
                </c:pt>
                <c:pt idx="284">
                  <c:v>1.7875688235285652E-4</c:v>
                </c:pt>
                <c:pt idx="285">
                  <c:v>1.5905612397742108E-4</c:v>
                </c:pt>
                <c:pt idx="286">
                  <c:v>1.4319827906244314E-4</c:v>
                </c:pt>
                <c:pt idx="287">
                  <c:v>1.3256965204633657E-4</c:v>
                </c:pt>
                <c:pt idx="288">
                  <c:v>1.286535041805688E-4</c:v>
                </c:pt>
                <c:pt idx="289">
                  <c:v>1.2726115785603658E-4</c:v>
                </c:pt>
                <c:pt idx="290">
                  <c:v>1.2298957997171022E-4</c:v>
                </c:pt>
                <c:pt idx="291">
                  <c:v>1.2726115785603658E-4</c:v>
                </c:pt>
                <c:pt idx="292">
                  <c:v>1.3390681268242823E-4</c:v>
                </c:pt>
                <c:pt idx="293">
                  <c:v>1.376736103562118E-4</c:v>
                </c:pt>
                <c:pt idx="294">
                  <c:v>1.3879613761232827E-4</c:v>
                </c:pt>
                <c:pt idx="295">
                  <c:v>1.416244020795028E-4</c:v>
                </c:pt>
                <c:pt idx="296">
                  <c:v>1.4463588845750272E-4</c:v>
                </c:pt>
                <c:pt idx="297">
                  <c:v>1.454679330307419E-4</c:v>
                </c:pt>
                <c:pt idx="298">
                  <c:v>1.4558640835894414E-4</c:v>
                </c:pt>
                <c:pt idx="299">
                  <c:v>1.4323840748666996E-4</c:v>
                </c:pt>
                <c:pt idx="300">
                  <c:v>1.3544307876820735E-4</c:v>
                </c:pt>
                <c:pt idx="301">
                  <c:v>1.3256965204631998E-4</c:v>
                </c:pt>
                <c:pt idx="302">
                  <c:v>1.3544307876820733E-4</c:v>
                </c:pt>
                <c:pt idx="303">
                  <c:v>1.3256965204632004E-4</c:v>
                </c:pt>
                <c:pt idx="304">
                  <c:v>1.2685406585123335E-4</c:v>
                </c:pt>
                <c:pt idx="305">
                  <c:v>1.3256965204632001E-4</c:v>
                </c:pt>
                <c:pt idx="306">
                  <c:v>1.4044264997157963E-4</c:v>
                </c:pt>
                <c:pt idx="307">
                  <c:v>1.613520460317471E-4</c:v>
                </c:pt>
                <c:pt idx="308">
                  <c:v>1.715715058196143E-4</c:v>
                </c:pt>
                <c:pt idx="309">
                  <c:v>1.896457677919499E-4</c:v>
                </c:pt>
                <c:pt idx="310">
                  <c:v>1.9841324575737372E-4</c:v>
                </c:pt>
                <c:pt idx="311">
                  <c:v>2.1251098686951578E-4</c:v>
                </c:pt>
                <c:pt idx="312">
                  <c:v>2.1485092399209545E-4</c:v>
                </c:pt>
                <c:pt idx="313">
                  <c:v>2.1764148522738778E-4</c:v>
                </c:pt>
                <c:pt idx="314">
                  <c:v>2.1866890943628294E-4</c:v>
                </c:pt>
                <c:pt idx="315">
                  <c:v>2.2396633572986348E-4</c:v>
                </c:pt>
                <c:pt idx="316">
                  <c:v>2.362542951018181E-4</c:v>
                </c:pt>
                <c:pt idx="317">
                  <c:v>2.5452231571207733E-4</c:v>
                </c:pt>
                <c:pt idx="318">
                  <c:v>2.7467849544896353E-4</c:v>
                </c:pt>
                <c:pt idx="319">
                  <c:v>3.1702641392551879E-4</c:v>
                </c:pt>
                <c:pt idx="320">
                  <c:v>3.4112727257138413E-4</c:v>
                </c:pt>
                <c:pt idx="321">
                  <c:v>3.5076271574763657E-4</c:v>
                </c:pt>
                <c:pt idx="322">
                  <c:v>3.6434479059925648E-4</c:v>
                </c:pt>
                <c:pt idx="323">
                  <c:v>3.7139067635414736E-4</c:v>
                </c:pt>
                <c:pt idx="324">
                  <c:v>3.7430395172358583E-4</c:v>
                </c:pt>
                <c:pt idx="325">
                  <c:v>3.6634259450922692E-4</c:v>
                </c:pt>
                <c:pt idx="326">
                  <c:v>3.5719211482978695E-4</c:v>
                </c:pt>
                <c:pt idx="327">
                  <c:v>3.4255631301470302E-4</c:v>
                </c:pt>
                <c:pt idx="328">
                  <c:v>3.2877340832707992E-4</c:v>
                </c:pt>
                <c:pt idx="329">
                  <c:v>3.202190342329291E-4</c:v>
                </c:pt>
                <c:pt idx="330">
                  <c:v>3.017192117824588E-4</c:v>
                </c:pt>
                <c:pt idx="331">
                  <c:v>2.8657710442673499E-4</c:v>
                </c:pt>
                <c:pt idx="332">
                  <c:v>2.7659672291340421E-4</c:v>
                </c:pt>
                <c:pt idx="333">
                  <c:v>2.5822114731278756E-4</c:v>
                </c:pt>
                <c:pt idx="334">
                  <c:v>2.4438522445315985E-4</c:v>
                </c:pt>
                <c:pt idx="335">
                  <c:v>2.3588912259980805E-4</c:v>
                </c:pt>
                <c:pt idx="336">
                  <c:v>2.3004247483861192E-4</c:v>
                </c:pt>
                <c:pt idx="337">
                  <c:v>2.2816106430404893E-4</c:v>
                </c:pt>
                <c:pt idx="338">
                  <c:v>2.2396633572976731E-4</c:v>
                </c:pt>
                <c:pt idx="339">
                  <c:v>2.2078751422299875E-4</c:v>
                </c:pt>
                <c:pt idx="340">
                  <c:v>2.1226745220206955E-4</c:v>
                </c:pt>
                <c:pt idx="341">
                  <c:v>2.0791797675396358E-4</c:v>
                </c:pt>
                <c:pt idx="342">
                  <c:v>1.9061304607325631E-4</c:v>
                </c:pt>
                <c:pt idx="343">
                  <c:v>1.7840287611720147E-4</c:v>
                </c:pt>
                <c:pt idx="344">
                  <c:v>1.5613875350092371E-4</c:v>
                </c:pt>
                <c:pt idx="345">
                  <c:v>1.4621665549732315E-4</c:v>
                </c:pt>
                <c:pt idx="346">
                  <c:v>1.4227220146725912E-4</c:v>
                </c:pt>
                <c:pt idx="347">
                  <c:v>1.4076964145020275E-4</c:v>
                </c:pt>
                <c:pt idx="348">
                  <c:v>1.4076964145020275E-4</c:v>
                </c:pt>
                <c:pt idx="349">
                  <c:v>1.313064328597081E-4</c:v>
                </c:pt>
                <c:pt idx="350">
                  <c:v>1.2576204496595749E-4</c:v>
                </c:pt>
                <c:pt idx="351">
                  <c:v>1.2521246311584467E-4</c:v>
                </c:pt>
                <c:pt idx="352">
                  <c:v>1.1043279539542544E-4</c:v>
                </c:pt>
                <c:pt idx="353">
                  <c:v>1.0482607379428091E-4</c:v>
                </c:pt>
                <c:pt idx="354">
                  <c:v>1.1043279539542543E-4</c:v>
                </c:pt>
                <c:pt idx="355">
                  <c:v>1.1264836959499682E-4</c:v>
                </c:pt>
                <c:pt idx="356">
                  <c:v>1.1264836959499677E-4</c:v>
                </c:pt>
                <c:pt idx="357">
                  <c:v>1.147210509898989E-4</c:v>
                </c:pt>
                <c:pt idx="358">
                  <c:v>1.2015315896468235E-4</c:v>
                </c:pt>
                <c:pt idx="359">
                  <c:v>1.2172137016161019E-4</c:v>
                </c:pt>
                <c:pt idx="360">
                  <c:v>1.2576204496595749E-4</c:v>
                </c:pt>
                <c:pt idx="361">
                  <c:v>1.3047217521657014E-4</c:v>
                </c:pt>
                <c:pt idx="362">
                  <c:v>1.191926866536744E-4</c:v>
                </c:pt>
                <c:pt idx="363">
                  <c:v>1.1943352886057084E-4</c:v>
                </c:pt>
                <c:pt idx="364">
                  <c:v>1.1841869998333894E-4</c:v>
                </c:pt>
                <c:pt idx="365">
                  <c:v>1.2507469032908337E-4</c:v>
                </c:pt>
                <c:pt idx="366">
                  <c:v>1.2242755305536061E-4</c:v>
                </c:pt>
                <c:pt idx="367">
                  <c:v>1.2726115785598923E-4</c:v>
                </c:pt>
                <c:pt idx="368">
                  <c:v>1.2865350418052123E-4</c:v>
                </c:pt>
                <c:pt idx="369">
                  <c:v>1.3222238320604346E-4</c:v>
                </c:pt>
                <c:pt idx="370">
                  <c:v>1.27035156686955E-4</c:v>
                </c:pt>
                <c:pt idx="371">
                  <c:v>1.2507469032908337E-4</c:v>
                </c:pt>
                <c:pt idx="372">
                  <c:v>1.1841869998333896E-4</c:v>
                </c:pt>
                <c:pt idx="373">
                  <c:v>1.1591713250935965E-4</c:v>
                </c:pt>
                <c:pt idx="374">
                  <c:v>1.1626367179522318E-4</c:v>
                </c:pt>
                <c:pt idx="375">
                  <c:v>1.135123670410477E-4</c:v>
                </c:pt>
                <c:pt idx="376">
                  <c:v>1.1366415543117456E-4</c:v>
                </c:pt>
                <c:pt idx="377">
                  <c:v>1.106407669457426E-4</c:v>
                </c:pt>
                <c:pt idx="378">
                  <c:v>1.072648457157994E-4</c:v>
                </c:pt>
                <c:pt idx="379">
                  <c:v>9.6430547933269514E-5</c:v>
                </c:pt>
                <c:pt idx="380">
                  <c:v>9.1538572988799301E-5</c:v>
                </c:pt>
                <c:pt idx="381">
                  <c:v>7.7385436272758187E-5</c:v>
                </c:pt>
                <c:pt idx="382">
                  <c:v>6.9893186157616899E-5</c:v>
                </c:pt>
                <c:pt idx="383">
                  <c:v>6.9893186157616899E-5</c:v>
                </c:pt>
                <c:pt idx="384">
                  <c:v>7.1438422965942818E-5</c:v>
                </c:pt>
                <c:pt idx="385">
                  <c:v>7.1438422965942791E-5</c:v>
                </c:pt>
                <c:pt idx="386">
                  <c:v>7.8491525276481468E-5</c:v>
                </c:pt>
                <c:pt idx="387">
                  <c:v>8.3666002653398343E-5</c:v>
                </c:pt>
                <c:pt idx="388">
                  <c:v>8.8991798666412589E-5</c:v>
                </c:pt>
                <c:pt idx="389">
                  <c:v>1.0063019815943403E-4</c:v>
                </c:pt>
                <c:pt idx="390">
                  <c:v>1.0422125006693618E-4</c:v>
                </c:pt>
                <c:pt idx="391">
                  <c:v>1.0063019815943404E-4</c:v>
                </c:pt>
                <c:pt idx="392">
                  <c:v>1.0063019815943404E-4</c:v>
                </c:pt>
                <c:pt idx="393">
                  <c:v>1.0063019815943407E-4</c:v>
                </c:pt>
                <c:pt idx="394">
                  <c:v>1.0063019815943407E-4</c:v>
                </c:pt>
                <c:pt idx="395">
                  <c:v>1.0063019815943407E-4</c:v>
                </c:pt>
                <c:pt idx="396">
                  <c:v>1.0063019815943407E-4</c:v>
                </c:pt>
                <c:pt idx="397">
                  <c:v>1.0063019815943407E-4</c:v>
                </c:pt>
                <c:pt idx="398">
                  <c:v>1.106407669457426E-4</c:v>
                </c:pt>
                <c:pt idx="399">
                  <c:v>1.2507469032908337E-4</c:v>
                </c:pt>
                <c:pt idx="400">
                  <c:v>1.4890404223223279E-4</c:v>
                </c:pt>
                <c:pt idx="401">
                  <c:v>1.5992095748735538E-4</c:v>
                </c:pt>
                <c:pt idx="402">
                  <c:v>1.7710961603466683E-4</c:v>
                </c:pt>
                <c:pt idx="403">
                  <c:v>1.8448436995749311E-4</c:v>
                </c:pt>
                <c:pt idx="404">
                  <c:v>1.9771685315870239E-4</c:v>
                </c:pt>
                <c:pt idx="405">
                  <c:v>2.1444930810593984E-4</c:v>
                </c:pt>
                <c:pt idx="406">
                  <c:v>2.2388934048229753E-4</c:v>
                </c:pt>
                <c:pt idx="407">
                  <c:v>2.358891225998081E-4</c:v>
                </c:pt>
                <c:pt idx="408">
                  <c:v>2.539119224609233E-4</c:v>
                </c:pt>
                <c:pt idx="409">
                  <c:v>2.7377732372950328E-4</c:v>
                </c:pt>
                <c:pt idx="410">
                  <c:v>2.8609539442749798E-4</c:v>
                </c:pt>
                <c:pt idx="411">
                  <c:v>2.9959743104645512E-4</c:v>
                </c:pt>
                <c:pt idx="412">
                  <c:v>3.0777286743800797E-4</c:v>
                </c:pt>
                <c:pt idx="413">
                  <c:v>3.163186230122181E-4</c:v>
                </c:pt>
                <c:pt idx="414">
                  <c:v>3.1796768432631615E-4</c:v>
                </c:pt>
                <c:pt idx="415">
                  <c:v>3.1469744638080381E-4</c:v>
                </c:pt>
                <c:pt idx="416">
                  <c:v>3.0522273758717484E-4</c:v>
                </c:pt>
                <c:pt idx="417">
                  <c:v>2.9182343898359359E-4</c:v>
                </c:pt>
                <c:pt idx="418">
                  <c:v>2.7784060592151317E-4</c:v>
                </c:pt>
                <c:pt idx="419">
                  <c:v>2.555363977493191E-4</c:v>
                </c:pt>
                <c:pt idx="420">
                  <c:v>2.3400559969719345E-4</c:v>
                </c:pt>
                <c:pt idx="421">
                  <c:v>2.1890532252522897E-4</c:v>
                </c:pt>
                <c:pt idx="422">
                  <c:v>2.0577858874576229E-4</c:v>
                </c:pt>
                <c:pt idx="423">
                  <c:v>1.9910720268466125E-4</c:v>
                </c:pt>
                <c:pt idx="424">
                  <c:v>1.8680618759594193E-4</c:v>
                </c:pt>
                <c:pt idx="425">
                  <c:v>1.7554512797003562E-4</c:v>
                </c:pt>
                <c:pt idx="426">
                  <c:v>1.507071454117419E-4</c:v>
                </c:pt>
                <c:pt idx="427">
                  <c:v>1.325696520462896E-4</c:v>
                </c:pt>
                <c:pt idx="428">
                  <c:v>1.1957780134585806E-4</c:v>
                </c:pt>
                <c:pt idx="429">
                  <c:v>1.135123670410477E-4</c:v>
                </c:pt>
                <c:pt idx="430">
                  <c:v>1.154700538379124E-4</c:v>
                </c:pt>
                <c:pt idx="431">
                  <c:v>1.1670771035012817E-4</c:v>
                </c:pt>
                <c:pt idx="432">
                  <c:v>1.1626367179522312E-4</c:v>
                </c:pt>
                <c:pt idx="433">
                  <c:v>1.1351236704104771E-4</c:v>
                </c:pt>
                <c:pt idx="434">
                  <c:v>1.1058881072454199E-4</c:v>
                </c:pt>
                <c:pt idx="435">
                  <c:v>1.1591713250935965E-4</c:v>
                </c:pt>
                <c:pt idx="436">
                  <c:v>1.2242755305536061E-4</c:v>
                </c:pt>
                <c:pt idx="437">
                  <c:v>1.3113124074318365E-4</c:v>
                </c:pt>
                <c:pt idx="438">
                  <c:v>1.4762487408384489E-4</c:v>
                </c:pt>
                <c:pt idx="439">
                  <c:v>1.6965143440418051E-4</c:v>
                </c:pt>
                <c:pt idx="440">
                  <c:v>1.9640446187311954E-4</c:v>
                </c:pt>
                <c:pt idx="441">
                  <c:v>2.2732831086234916E-4</c:v>
                </c:pt>
                <c:pt idx="442">
                  <c:v>2.4457328544632553E-4</c:v>
                </c:pt>
                <c:pt idx="443">
                  <c:v>2.6695386832948541E-4</c:v>
                </c:pt>
                <c:pt idx="444">
                  <c:v>2.7883171705665857E-4</c:v>
                </c:pt>
                <c:pt idx="445">
                  <c:v>2.8153928290040539E-4</c:v>
                </c:pt>
                <c:pt idx="446">
                  <c:v>2.8276142415203698E-4</c:v>
                </c:pt>
                <c:pt idx="447">
                  <c:v>2.7509663923705712E-4</c:v>
                </c:pt>
                <c:pt idx="448">
                  <c:v>2.7333613679523687E-4</c:v>
                </c:pt>
                <c:pt idx="449">
                  <c:v>2.7759227522456542E-4</c:v>
                </c:pt>
                <c:pt idx="450">
                  <c:v>2.8088529994309166E-4</c:v>
                </c:pt>
                <c:pt idx="451">
                  <c:v>2.9117281671782344E-4</c:v>
                </c:pt>
                <c:pt idx="452">
                  <c:v>3.0011492051751967E-4</c:v>
                </c:pt>
                <c:pt idx="453">
                  <c:v>3.1615506162088871E-4</c:v>
                </c:pt>
                <c:pt idx="454">
                  <c:v>3.3164515034466308E-4</c:v>
                </c:pt>
                <c:pt idx="455">
                  <c:v>3.3459531226321505E-4</c:v>
                </c:pt>
                <c:pt idx="456">
                  <c:v>3.3440631902958192E-4</c:v>
                </c:pt>
                <c:pt idx="457">
                  <c:v>3.2877340832709125E-4</c:v>
                </c:pt>
                <c:pt idx="458">
                  <c:v>3.1921239281106555E-4</c:v>
                </c:pt>
                <c:pt idx="459">
                  <c:v>3.0782888215644431E-4</c:v>
                </c:pt>
                <c:pt idx="460">
                  <c:v>3.0325816929047871E-4</c:v>
                </c:pt>
                <c:pt idx="461">
                  <c:v>2.9749915483320524E-4</c:v>
                </c:pt>
                <c:pt idx="462">
                  <c:v>2.8705800607300741E-4</c:v>
                </c:pt>
                <c:pt idx="463">
                  <c:v>2.7634727444284733E-4</c:v>
                </c:pt>
                <c:pt idx="464">
                  <c:v>2.5373078320310943E-4</c:v>
                </c:pt>
                <c:pt idx="465">
                  <c:v>2.3479019737127741E-4</c:v>
                </c:pt>
                <c:pt idx="466">
                  <c:v>2.2065732521819111E-4</c:v>
                </c:pt>
                <c:pt idx="467">
                  <c:v>2.0636425779815577E-4</c:v>
                </c:pt>
                <c:pt idx="468">
                  <c:v>1.9581835354796968E-4</c:v>
                </c:pt>
                <c:pt idx="469">
                  <c:v>1.9106477207080067E-4</c:v>
                </c:pt>
                <c:pt idx="470">
                  <c:v>1.9250317208918444E-4</c:v>
                </c:pt>
              </c:numCache>
            </c:numRef>
          </c:val>
          <c:smooth val="0"/>
        </c:ser>
        <c:ser>
          <c:idx val="1"/>
          <c:order val="1"/>
          <c:tx>
            <c:v>Exponential moving variance</c:v>
          </c:tx>
          <c:marker>
            <c:symbol val="none"/>
          </c:marker>
          <c:val>
            <c:numRef>
              <c:f>data!$G$32:$G$503</c:f>
              <c:numCache>
                <c:formatCode>General</c:formatCode>
                <c:ptCount val="472"/>
                <c:pt idx="0">
                  <c:v>4.3206741240709882E-4</c:v>
                </c:pt>
                <c:pt idx="1">
                  <c:v>4.1828598549818909E-4</c:v>
                </c:pt>
                <c:pt idx="2">
                  <c:v>4.1078195733163772E-4</c:v>
                </c:pt>
                <c:pt idx="3">
                  <c:v>3.9509482115871039E-4</c:v>
                </c:pt>
                <c:pt idx="4">
                  <c:v>3.7551742922937119E-4</c:v>
                </c:pt>
                <c:pt idx="5">
                  <c:v>3.5537795048890664E-4</c:v>
                </c:pt>
                <c:pt idx="6">
                  <c:v>3.3778690040255299E-4</c:v>
                </c:pt>
                <c:pt idx="7">
                  <c:v>3.2491361136814217E-4</c:v>
                </c:pt>
                <c:pt idx="8">
                  <c:v>3.1833921710414982E-4</c:v>
                </c:pt>
                <c:pt idx="9">
                  <c:v>3.1888084632282113E-4</c:v>
                </c:pt>
                <c:pt idx="10">
                  <c:v>3.0886134843465484E-4</c:v>
                </c:pt>
                <c:pt idx="11">
                  <c:v>2.9387745201235848E-4</c:v>
                </c:pt>
                <c:pt idx="12">
                  <c:v>2.7811551240539226E-4</c:v>
                </c:pt>
                <c:pt idx="13">
                  <c:v>2.6500735233713667E-4</c:v>
                </c:pt>
                <c:pt idx="14">
                  <c:v>2.5079250527355277E-4</c:v>
                </c:pt>
                <c:pt idx="15">
                  <c:v>2.3929848375146021E-4</c:v>
                </c:pt>
                <c:pt idx="16">
                  <c:v>2.3359478303842699E-4</c:v>
                </c:pt>
                <c:pt idx="17">
                  <c:v>2.2223023432274504E-4</c:v>
                </c:pt>
                <c:pt idx="18">
                  <c:v>2.1048756441815613E-4</c:v>
                </c:pt>
                <c:pt idx="19">
                  <c:v>2.0035216047334115E-4</c:v>
                </c:pt>
                <c:pt idx="20">
                  <c:v>1.8985859505301296E-4</c:v>
                </c:pt>
                <c:pt idx="21">
                  <c:v>1.80834518410954E-4</c:v>
                </c:pt>
                <c:pt idx="22">
                  <c:v>1.7775975376731312E-4</c:v>
                </c:pt>
                <c:pt idx="23">
                  <c:v>1.8347669951314409E-4</c:v>
                </c:pt>
                <c:pt idx="24">
                  <c:v>1.9848479248866428E-4</c:v>
                </c:pt>
                <c:pt idx="25">
                  <c:v>2.2131915841977324E-4</c:v>
                </c:pt>
                <c:pt idx="26">
                  <c:v>2.2321682240759969E-4</c:v>
                </c:pt>
                <c:pt idx="27">
                  <c:v>2.1155074623062134E-4</c:v>
                </c:pt>
                <c:pt idx="28">
                  <c:v>2.0413117646624914E-4</c:v>
                </c:pt>
                <c:pt idx="29">
                  <c:v>1.9330170659957784E-4</c:v>
                </c:pt>
                <c:pt idx="30">
                  <c:v>1.8439275551374395E-4</c:v>
                </c:pt>
                <c:pt idx="31">
                  <c:v>1.7469848996824232E-4</c:v>
                </c:pt>
                <c:pt idx="32">
                  <c:v>1.6676361265562421E-4</c:v>
                </c:pt>
                <c:pt idx="33">
                  <c:v>1.6535149385370462E-4</c:v>
                </c:pt>
                <c:pt idx="34">
                  <c:v>1.7326417669811779E-4</c:v>
                </c:pt>
                <c:pt idx="35">
                  <c:v>1.6838984673617875E-4</c:v>
                </c:pt>
                <c:pt idx="36">
                  <c:v>1.7186221729092777E-4</c:v>
                </c:pt>
                <c:pt idx="37">
                  <c:v>1.6524118444852571E-4</c:v>
                </c:pt>
                <c:pt idx="38">
                  <c:v>1.6611264831775755E-4</c:v>
                </c:pt>
                <c:pt idx="39">
                  <c:v>1.7660781637411494E-4</c:v>
                </c:pt>
                <c:pt idx="40">
                  <c:v>1.7279847064335368E-4</c:v>
                </c:pt>
                <c:pt idx="41">
                  <c:v>1.6386707146091815E-4</c:v>
                </c:pt>
                <c:pt idx="42">
                  <c:v>1.5991468490086748E-4</c:v>
                </c:pt>
                <c:pt idx="43">
                  <c:v>1.6470644451324932E-4</c:v>
                </c:pt>
                <c:pt idx="44">
                  <c:v>1.7932124251868797E-4</c:v>
                </c:pt>
                <c:pt idx="45">
                  <c:v>1.7729406497651596E-4</c:v>
                </c:pt>
                <c:pt idx="46">
                  <c:v>1.8427594866243452E-4</c:v>
                </c:pt>
                <c:pt idx="47">
                  <c:v>1.7891396556094435E-4</c:v>
                </c:pt>
                <c:pt idx="48">
                  <c:v>1.6945905015232192E-4</c:v>
                </c:pt>
                <c:pt idx="49">
                  <c:v>1.643152610795266E-4</c:v>
                </c:pt>
                <c:pt idx="50">
                  <c:v>1.5553201741204284E-4</c:v>
                </c:pt>
                <c:pt idx="51">
                  <c:v>1.495619515795454E-4</c:v>
                </c:pt>
                <c:pt idx="52">
                  <c:v>1.4163536913605225E-4</c:v>
                </c:pt>
                <c:pt idx="53">
                  <c:v>1.3628424072357226E-4</c:v>
                </c:pt>
                <c:pt idx="54">
                  <c:v>1.2916131980932166E-4</c:v>
                </c:pt>
                <c:pt idx="55">
                  <c:v>1.2439115508861739E-4</c:v>
                </c:pt>
                <c:pt idx="56">
                  <c:v>1.422732650763142E-4</c:v>
                </c:pt>
                <c:pt idx="57">
                  <c:v>1.4144744170449097E-4</c:v>
                </c:pt>
                <c:pt idx="58">
                  <c:v>1.5056526217937824E-4</c:v>
                </c:pt>
                <c:pt idx="59">
                  <c:v>1.4634030379544132E-4</c:v>
                </c:pt>
                <c:pt idx="60">
                  <c:v>1.384922514696986E-4</c:v>
                </c:pt>
                <c:pt idx="61">
                  <c:v>1.3414016745843694E-4</c:v>
                </c:pt>
                <c:pt idx="62">
                  <c:v>1.2698918401265994E-4</c:v>
                </c:pt>
                <c:pt idx="63">
                  <c:v>1.2450497069033619E-4</c:v>
                </c:pt>
                <c:pt idx="64">
                  <c:v>1.2139638974454133E-4</c:v>
                </c:pt>
                <c:pt idx="65">
                  <c:v>1.2783440915320427E-4</c:v>
                </c:pt>
                <c:pt idx="66">
                  <c:v>1.228958409301022E-4</c:v>
                </c:pt>
                <c:pt idx="67">
                  <c:v>1.262620017287382E-4</c:v>
                </c:pt>
                <c:pt idx="68">
                  <c:v>1.204683533539213E-4</c:v>
                </c:pt>
                <c:pt idx="69">
                  <c:v>1.2199092627731546E-4</c:v>
                </c:pt>
                <c:pt idx="70">
                  <c:v>1.1588781189129825E-4</c:v>
                </c:pt>
                <c:pt idx="71">
                  <c:v>1.1628127250629104E-4</c:v>
                </c:pt>
                <c:pt idx="72">
                  <c:v>1.1019385991269835E-4</c:v>
                </c:pt>
                <c:pt idx="73">
                  <c:v>1.0990233400537767E-4</c:v>
                </c:pt>
                <c:pt idx="74">
                  <c:v>1.0402857396025228E-4</c:v>
                </c:pt>
                <c:pt idx="75">
                  <c:v>1.0333828261943403E-4</c:v>
                </c:pt>
                <c:pt idx="76">
                  <c:v>9.7797497723942884E-5</c:v>
                </c:pt>
                <c:pt idx="77">
                  <c:v>9.6896162897617028E-5</c:v>
                </c:pt>
                <c:pt idx="78">
                  <c:v>1.0722575297639626E-4</c:v>
                </c:pt>
                <c:pt idx="79">
                  <c:v>1.036624825781738E-4</c:v>
                </c:pt>
                <c:pt idx="80">
                  <c:v>9.8622693050385424E-5</c:v>
                </c:pt>
                <c:pt idx="81">
                  <c:v>1.0102506307366515E-4</c:v>
                </c:pt>
                <c:pt idx="82">
                  <c:v>1.1542138165277818E-4</c:v>
                </c:pt>
                <c:pt idx="83">
                  <c:v>1.1313534971540676E-4</c:v>
                </c:pt>
                <c:pt idx="84">
                  <c:v>1.0709680304254031E-4</c:v>
                </c:pt>
                <c:pt idx="85">
                  <c:v>1.0490645894990702E-4</c:v>
                </c:pt>
                <c:pt idx="86">
                  <c:v>1.0229749409795194E-4</c:v>
                </c:pt>
                <c:pt idx="87">
                  <c:v>1.2645272091467284E-4</c:v>
                </c:pt>
                <c:pt idx="88">
                  <c:v>1.2773527875639673E-4</c:v>
                </c:pt>
                <c:pt idx="89">
                  <c:v>1.3975600948927283E-4</c:v>
                </c:pt>
                <c:pt idx="90">
                  <c:v>1.6187497061944051E-4</c:v>
                </c:pt>
                <c:pt idx="91">
                  <c:v>1.6296452675900074E-4</c:v>
                </c:pt>
                <c:pt idx="92">
                  <c:v>1.7377353857031988E-4</c:v>
                </c:pt>
                <c:pt idx="93">
                  <c:v>1.937224742400604E-4</c:v>
                </c:pt>
                <c:pt idx="94">
                  <c:v>1.9412728220909826E-4</c:v>
                </c:pt>
                <c:pt idx="95">
                  <c:v>2.0352859394985389E-4</c:v>
                </c:pt>
                <c:pt idx="96">
                  <c:v>2.2143236672602385E-4</c:v>
                </c:pt>
                <c:pt idx="97">
                  <c:v>2.4605461069603611E-4</c:v>
                </c:pt>
                <c:pt idx="98">
                  <c:v>2.4894302126597445E-4</c:v>
                </c:pt>
                <c:pt idx="99">
                  <c:v>2.4886694598447357E-4</c:v>
                </c:pt>
                <c:pt idx="100">
                  <c:v>2.5685725067644844E-4</c:v>
                </c:pt>
                <c:pt idx="101">
                  <c:v>2.5134767514146917E-4</c:v>
                </c:pt>
                <c:pt idx="102">
                  <c:v>2.5351392925703663E-4</c:v>
                </c:pt>
                <c:pt idx="103">
                  <c:v>2.4516037325805512E-4</c:v>
                </c:pt>
                <c:pt idx="104">
                  <c:v>2.4395259573008313E-4</c:v>
                </c:pt>
                <c:pt idx="105">
                  <c:v>2.3417753427987736E-4</c:v>
                </c:pt>
                <c:pt idx="106">
                  <c:v>2.3100539786455828E-4</c:v>
                </c:pt>
                <c:pt idx="107">
                  <c:v>2.2065479214475811E-4</c:v>
                </c:pt>
                <c:pt idx="108">
                  <c:v>2.1638543051199737E-4</c:v>
                </c:pt>
                <c:pt idx="109">
                  <c:v>2.2025860874648405E-4</c:v>
                </c:pt>
                <c:pt idx="110">
                  <c:v>2.2115451575697851E-4</c:v>
                </c:pt>
                <c:pt idx="111">
                  <c:v>2.3057597916371445E-4</c:v>
                </c:pt>
                <c:pt idx="112">
                  <c:v>2.2596651326746835E-4</c:v>
                </c:pt>
                <c:pt idx="113">
                  <c:v>2.2935971107049927E-4</c:v>
                </c:pt>
                <c:pt idx="114">
                  <c:v>2.2189768908270423E-4</c:v>
                </c:pt>
                <c:pt idx="115">
                  <c:v>2.1036829399136351E-4</c:v>
                </c:pt>
                <c:pt idx="116">
                  <c:v>1.9989304231840513E-4</c:v>
                </c:pt>
                <c:pt idx="117">
                  <c:v>1.9464070367150639E-4</c:v>
                </c:pt>
                <c:pt idx="118">
                  <c:v>1.846089767472512E-4</c:v>
                </c:pt>
                <c:pt idx="119">
                  <c:v>1.7937239624615551E-4</c:v>
                </c:pt>
                <c:pt idx="120">
                  <c:v>1.8230105471323197E-4</c:v>
                </c:pt>
                <c:pt idx="121">
                  <c:v>1.945842719792696E-4</c:v>
                </c:pt>
                <c:pt idx="122">
                  <c:v>2.1523360721866419E-4</c:v>
                </c:pt>
                <c:pt idx="123">
                  <c:v>2.4214905630502798E-4</c:v>
                </c:pt>
                <c:pt idx="124">
                  <c:v>2.4614564130946763E-4</c:v>
                </c:pt>
                <c:pt idx="125">
                  <c:v>2.5816407363794206E-4</c:v>
                </c:pt>
                <c:pt idx="126">
                  <c:v>2.546895058450863E-4</c:v>
                </c:pt>
                <c:pt idx="127">
                  <c:v>2.5906869719968605E-4</c:v>
                </c:pt>
                <c:pt idx="128">
                  <c:v>2.5173075183049698E-4</c:v>
                </c:pt>
                <c:pt idx="129">
                  <c:v>2.517666428188157E-4</c:v>
                </c:pt>
                <c:pt idx="130">
                  <c:v>2.5982696191867845E-4</c:v>
                </c:pt>
                <c:pt idx="131">
                  <c:v>2.5432916904661609E-4</c:v>
                </c:pt>
                <c:pt idx="132">
                  <c:v>2.5648758141535386E-4</c:v>
                </c:pt>
                <c:pt idx="133">
                  <c:v>2.4809123215387016E-4</c:v>
                </c:pt>
                <c:pt idx="134">
                  <c:v>2.4683239055849499E-4</c:v>
                </c:pt>
                <c:pt idx="135">
                  <c:v>2.3698393779559177E-4</c:v>
                </c:pt>
                <c:pt idx="136">
                  <c:v>2.3373666701038444E-4</c:v>
                </c:pt>
                <c:pt idx="137">
                  <c:v>2.2329607654930991E-4</c:v>
                </c:pt>
                <c:pt idx="138">
                  <c:v>2.1132210553684183E-4</c:v>
                </c:pt>
                <c:pt idx="139">
                  <c:v>2.0193147076882567E-4</c:v>
                </c:pt>
                <c:pt idx="140">
                  <c:v>1.9113852688274759E-4</c:v>
                </c:pt>
                <c:pt idx="141">
                  <c:v>1.8271957834839754E-4</c:v>
                </c:pt>
                <c:pt idx="142">
                  <c:v>1.7301714978557701E-4</c:v>
                </c:pt>
                <c:pt idx="143">
                  <c:v>1.673951228890253E-4</c:v>
                </c:pt>
                <c:pt idx="144">
                  <c:v>1.5843056465449551E-4</c:v>
                </c:pt>
                <c:pt idx="145">
                  <c:v>1.5320683824920854E-4</c:v>
                </c:pt>
                <c:pt idx="146">
                  <c:v>1.5621311934625192E-4</c:v>
                </c:pt>
                <c:pt idx="147">
                  <c:v>1.4969378341230514E-4</c:v>
                </c:pt>
                <c:pt idx="148">
                  <c:v>1.505224137345616E-4</c:v>
                </c:pt>
                <c:pt idx="149">
                  <c:v>1.4344722031894475E-4</c:v>
                </c:pt>
                <c:pt idx="150">
                  <c:v>1.364743320959168E-4</c:v>
                </c:pt>
                <c:pt idx="151">
                  <c:v>1.3587856515747936E-4</c:v>
                </c:pt>
                <c:pt idx="152">
                  <c:v>1.4541607635319999E-4</c:v>
                </c:pt>
                <c:pt idx="153">
                  <c:v>1.6514609473823318E-4</c:v>
                </c:pt>
                <c:pt idx="154">
                  <c:v>1.6526564725573062E-4</c:v>
                </c:pt>
                <c:pt idx="155">
                  <c:v>1.7494558610792315E-4</c:v>
                </c:pt>
                <c:pt idx="156">
                  <c:v>1.7079820241459192E-4</c:v>
                </c:pt>
                <c:pt idx="157">
                  <c:v>1.7523234906623272E-4</c:v>
                </c:pt>
                <c:pt idx="158">
                  <c:v>1.6893168003009036E-4</c:v>
                </c:pt>
                <c:pt idx="159">
                  <c:v>1.7033535259285449E-4</c:v>
                </c:pt>
                <c:pt idx="160">
                  <c:v>1.6299110307159751E-4</c:v>
                </c:pt>
                <c:pt idx="161">
                  <c:v>1.625888171390517E-4</c:v>
                </c:pt>
                <c:pt idx="162">
                  <c:v>1.717340627631178E-4</c:v>
                </c:pt>
                <c:pt idx="163">
                  <c:v>1.6738201192275352E-4</c:v>
                </c:pt>
                <c:pt idx="164">
                  <c:v>1.5855838736160381E-4</c:v>
                </c:pt>
                <c:pt idx="165">
                  <c:v>1.5427645095683539E-4</c:v>
                </c:pt>
                <c:pt idx="166">
                  <c:v>1.4603501280352707E-4</c:v>
                </c:pt>
                <c:pt idx="167">
                  <c:v>1.4194248625300619E-4</c:v>
                </c:pt>
                <c:pt idx="168">
                  <c:v>1.3432712297927084E-4</c:v>
                </c:pt>
                <c:pt idx="169">
                  <c:v>1.3047251258530926E-4</c:v>
                </c:pt>
                <c:pt idx="170">
                  <c:v>1.2350134849954832E-4</c:v>
                </c:pt>
                <c:pt idx="171">
                  <c:v>1.1995528560397833E-4</c:v>
                </c:pt>
                <c:pt idx="172">
                  <c:v>1.1362245040833265E-4</c:v>
                </c:pt>
                <c:pt idx="173">
                  <c:v>1.104023158916893E-4</c:v>
                </c:pt>
                <c:pt idx="174">
                  <c:v>1.1681387836489148E-4</c:v>
                </c:pt>
                <c:pt idx="175">
                  <c:v>1.1202790674253737E-4</c:v>
                </c:pt>
                <c:pt idx="176">
                  <c:v>1.1555902673573308E-4</c:v>
                </c:pt>
                <c:pt idx="177">
                  <c:v>1.1006549241273886E-4</c:v>
                </c:pt>
                <c:pt idx="178">
                  <c:v>1.0572083397201392E-4</c:v>
                </c:pt>
                <c:pt idx="179">
                  <c:v>1.008836766706355E-4</c:v>
                </c:pt>
                <c:pt idx="180">
                  <c:v>1.0399682911007012E-4</c:v>
                </c:pt>
                <c:pt idx="181">
                  <c:v>1.1906277038667198E-4</c:v>
                </c:pt>
                <c:pt idx="182">
                  <c:v>1.1702362822261684E-4</c:v>
                </c:pt>
                <c:pt idx="183">
                  <c:v>1.2512156573066396E-4</c:v>
                </c:pt>
                <c:pt idx="184">
                  <c:v>1.2073964586555694E-4</c:v>
                </c:pt>
                <c:pt idx="185">
                  <c:v>1.2510589338085571E-4</c:v>
                </c:pt>
                <c:pt idx="186">
                  <c:v>1.4060863934299664E-4</c:v>
                </c:pt>
                <c:pt idx="187">
                  <c:v>1.4993810686641073E-4</c:v>
                </c:pt>
                <c:pt idx="188">
                  <c:v>1.6932253869881975E-4</c:v>
                </c:pt>
                <c:pt idx="189">
                  <c:v>1.6932734300633762E-4</c:v>
                </c:pt>
                <c:pt idx="190">
                  <c:v>1.7879063744444219E-4</c:v>
                </c:pt>
                <c:pt idx="191">
                  <c:v>1.9740086688047002E-4</c:v>
                </c:pt>
                <c:pt idx="192">
                  <c:v>2.2315769468808899E-4</c:v>
                </c:pt>
                <c:pt idx="193">
                  <c:v>2.5373327227639297E-4</c:v>
                </c:pt>
                <c:pt idx="194">
                  <c:v>2.8720321663534034E-4</c:v>
                </c:pt>
                <c:pt idx="195">
                  <c:v>2.9477577476126496E-4</c:v>
                </c:pt>
                <c:pt idx="196">
                  <c:v>2.8874107892492765E-4</c:v>
                </c:pt>
                <c:pt idx="197">
                  <c:v>2.9006370816602611E-4</c:v>
                </c:pt>
                <c:pt idx="198">
                  <c:v>2.8081716207371111E-4</c:v>
                </c:pt>
                <c:pt idx="199">
                  <c:v>2.7852748841123174E-4</c:v>
                </c:pt>
                <c:pt idx="200">
                  <c:v>2.8387939223639046E-4</c:v>
                </c:pt>
                <c:pt idx="201">
                  <c:v>2.7677846011110919E-4</c:v>
                </c:pt>
                <c:pt idx="202">
                  <c:v>2.769929940467768E-4</c:v>
                </c:pt>
                <c:pt idx="203">
                  <c:v>2.6736609224304865E-4</c:v>
                </c:pt>
                <c:pt idx="204">
                  <c:v>2.6459486310045156E-4</c:v>
                </c:pt>
                <c:pt idx="205">
                  <c:v>2.5374506888280185E-4</c:v>
                </c:pt>
                <c:pt idx="206">
                  <c:v>2.49264357008985E-4</c:v>
                </c:pt>
                <c:pt idx="207">
                  <c:v>2.3798056352492325E-4</c:v>
                </c:pt>
                <c:pt idx="208">
                  <c:v>2.3258757206682973E-4</c:v>
                </c:pt>
                <c:pt idx="209">
                  <c:v>2.2135945622987757E-4</c:v>
                </c:pt>
                <c:pt idx="210">
                  <c:v>2.155650966965758E-4</c:v>
                </c:pt>
                <c:pt idx="211">
                  <c:v>2.0469695992408904E-4</c:v>
                </c:pt>
                <c:pt idx="212">
                  <c:v>1.9422439003653121E-4</c:v>
                </c:pt>
                <c:pt idx="213">
                  <c:v>1.8455473225764452E-4</c:v>
                </c:pt>
                <c:pt idx="214">
                  <c:v>1.7523675640945856E-4</c:v>
                </c:pt>
                <c:pt idx="215">
                  <c:v>1.6664611844477881E-4</c:v>
                </c:pt>
                <c:pt idx="216">
                  <c:v>1.5836866091307713E-4</c:v>
                </c:pt>
                <c:pt idx="217">
                  <c:v>1.5075018712230599E-4</c:v>
                </c:pt>
                <c:pt idx="218">
                  <c:v>1.4936464146056316E-4</c:v>
                </c:pt>
                <c:pt idx="219">
                  <c:v>1.5762039421559143E-4</c:v>
                </c:pt>
                <c:pt idx="220">
                  <c:v>1.9296391103793996E-4</c:v>
                </c:pt>
                <c:pt idx="221">
                  <c:v>2.3068657124158495E-4</c:v>
                </c:pt>
                <c:pt idx="222">
                  <c:v>2.3969868147119411E-4</c:v>
                </c:pt>
                <c:pt idx="223">
                  <c:v>2.3482701139591853E-4</c:v>
                </c:pt>
                <c:pt idx="224">
                  <c:v>2.2373078402090329E-4</c:v>
                </c:pt>
                <c:pt idx="225">
                  <c:v>2.1826516414787675E-4</c:v>
                </c:pt>
                <c:pt idx="226">
                  <c:v>2.0741454023940825E-4</c:v>
                </c:pt>
                <c:pt idx="227">
                  <c:v>2.0174775382492114E-4</c:v>
                </c:pt>
                <c:pt idx="228">
                  <c:v>1.9136824784857784E-4</c:v>
                </c:pt>
                <c:pt idx="229">
                  <c:v>1.8575385627189088E-4</c:v>
                </c:pt>
                <c:pt idx="230">
                  <c:v>2.0054089477524573E-4</c:v>
                </c:pt>
                <c:pt idx="231">
                  <c:v>1.9858966582553917E-4</c:v>
                </c:pt>
                <c:pt idx="232">
                  <c:v>2.0533493290350927E-4</c:v>
                </c:pt>
                <c:pt idx="233">
                  <c:v>2.2077691019832947E-4</c:v>
                </c:pt>
                <c:pt idx="234">
                  <c:v>2.4342434016773708E-4</c:v>
                </c:pt>
                <c:pt idx="235">
                  <c:v>2.4532367490628405E-4</c:v>
                </c:pt>
                <c:pt idx="236">
                  <c:v>2.3695320802696347E-4</c:v>
                </c:pt>
                <c:pt idx="237">
                  <c:v>2.3570929375484216E-4</c:v>
                </c:pt>
                <c:pt idx="238">
                  <c:v>2.2606661264700561E-4</c:v>
                </c:pt>
                <c:pt idx="239">
                  <c:v>2.1397564977807877E-4</c:v>
                </c:pt>
                <c:pt idx="240">
                  <c:v>2.051832574104172E-4</c:v>
                </c:pt>
                <c:pt idx="241">
                  <c:v>1.9417626422644195E-4</c:v>
                </c:pt>
                <c:pt idx="242">
                  <c:v>1.8620605542658448E-4</c:v>
                </c:pt>
                <c:pt idx="243">
                  <c:v>1.851601232155486E-4</c:v>
                </c:pt>
                <c:pt idx="244">
                  <c:v>1.766462359752175E-4</c:v>
                </c:pt>
                <c:pt idx="245">
                  <c:v>1.7443018333404979E-4</c:v>
                </c:pt>
                <c:pt idx="246">
                  <c:v>1.6583894216546009E-4</c:v>
                </c:pt>
                <c:pt idx="247">
                  <c:v>1.6298027212438706E-4</c:v>
                </c:pt>
                <c:pt idx="248">
                  <c:v>1.5460024045610876E-4</c:v>
                </c:pt>
                <c:pt idx="249">
                  <c:v>1.5144001403644166E-4</c:v>
                </c:pt>
                <c:pt idx="250">
                  <c:v>1.5739047673075249E-4</c:v>
                </c:pt>
                <c:pt idx="251">
                  <c:v>1.7336083385120554E-4</c:v>
                </c:pt>
                <c:pt idx="252">
                  <c:v>1.9766412149742896E-4</c:v>
                </c:pt>
                <c:pt idx="253">
                  <c:v>2.0008084646826912E-4</c:v>
                </c:pt>
                <c:pt idx="254">
                  <c:v>2.114495342260406E-4</c:v>
                </c:pt>
                <c:pt idx="255">
                  <c:v>2.30888460009422E-4</c:v>
                </c:pt>
                <c:pt idx="256">
                  <c:v>2.5651267176852782E-4</c:v>
                </c:pt>
                <c:pt idx="257">
                  <c:v>2.86334221463478E-4</c:v>
                </c:pt>
                <c:pt idx="258">
                  <c:v>3.1870914058006449E-4</c:v>
                </c:pt>
                <c:pt idx="259">
                  <c:v>3.5241589195185251E-4</c:v>
                </c:pt>
                <c:pt idx="260">
                  <c:v>3.6040856819506814E-4</c:v>
                </c:pt>
                <c:pt idx="261">
                  <c:v>3.7418875077418638E-4</c:v>
                </c:pt>
                <c:pt idx="262">
                  <c:v>3.7103388044887347E-4</c:v>
                </c:pt>
                <c:pt idx="263">
                  <c:v>3.7454240740009679E-4</c:v>
                </c:pt>
                <c:pt idx="264">
                  <c:v>3.8417901867725496E-4</c:v>
                </c:pt>
                <c:pt idx="265">
                  <c:v>3.9902647069557911E-4</c:v>
                </c:pt>
                <c:pt idx="266">
                  <c:v>4.180007988720497E-4</c:v>
                </c:pt>
                <c:pt idx="267">
                  <c:v>4.1760812796097285E-4</c:v>
                </c:pt>
                <c:pt idx="268">
                  <c:v>4.058847955492123E-4</c:v>
                </c:pt>
                <c:pt idx="269">
                  <c:v>4.0058663741943015E-4</c:v>
                </c:pt>
                <c:pt idx="270">
                  <c:v>4.0175856112694666E-4</c:v>
                </c:pt>
                <c:pt idx="271">
                  <c:v>3.9111827176157291E-4</c:v>
                </c:pt>
                <c:pt idx="272">
                  <c:v>3.7407419906501492E-4</c:v>
                </c:pt>
                <c:pt idx="273">
                  <c:v>3.6266216291230878E-4</c:v>
                </c:pt>
                <c:pt idx="274">
                  <c:v>3.5781367664888109E-4</c:v>
                </c:pt>
                <c:pt idx="275">
                  <c:v>3.4438224172042656E-4</c:v>
                </c:pt>
                <c:pt idx="276">
                  <c:v>3.37217142099114E-4</c:v>
                </c:pt>
                <c:pt idx="277">
                  <c:v>3.2293529350096897E-4</c:v>
                </c:pt>
                <c:pt idx="278">
                  <c:v>3.0891339668381472E-4</c:v>
                </c:pt>
                <c:pt idx="279">
                  <c:v>2.9257031272468699E-4</c:v>
                </c:pt>
                <c:pt idx="280">
                  <c:v>2.7751529739529409E-4</c:v>
                </c:pt>
                <c:pt idx="281">
                  <c:v>2.6291209902596789E-4</c:v>
                </c:pt>
                <c:pt idx="282">
                  <c:v>2.4947672503568085E-4</c:v>
                </c:pt>
                <c:pt idx="283">
                  <c:v>2.4054811808105195E-4</c:v>
                </c:pt>
                <c:pt idx="284">
                  <c:v>2.2798790622073162E-4</c:v>
                </c:pt>
                <c:pt idx="285">
                  <c:v>2.1959264814182695E-4</c:v>
                </c:pt>
                <c:pt idx="286">
                  <c:v>2.079573078432058E-4</c:v>
                </c:pt>
                <c:pt idx="287">
                  <c:v>1.980640505580486E-4</c:v>
                </c:pt>
                <c:pt idx="288">
                  <c:v>1.8765783971948317E-4</c:v>
                </c:pt>
                <c:pt idx="289">
                  <c:v>1.7884600227377909E-4</c:v>
                </c:pt>
                <c:pt idx="290">
                  <c:v>1.6955548386031241E-4</c:v>
                </c:pt>
                <c:pt idx="291">
                  <c:v>1.6505869968947315E-4</c:v>
                </c:pt>
                <c:pt idx="292">
                  <c:v>1.6906921494881159E-4</c:v>
                </c:pt>
                <c:pt idx="293">
                  <c:v>1.6269447316409697E-4</c:v>
                </c:pt>
                <c:pt idx="294">
                  <c:v>1.5398714848720941E-4</c:v>
                </c:pt>
                <c:pt idx="295">
                  <c:v>1.482238346361237E-4</c:v>
                </c:pt>
                <c:pt idx="296">
                  <c:v>1.5035210565392582E-4</c:v>
                </c:pt>
                <c:pt idx="297">
                  <c:v>1.4366635185778678E-4</c:v>
                </c:pt>
                <c:pt idx="298">
                  <c:v>1.3643030480498775E-4</c:v>
                </c:pt>
                <c:pt idx="299">
                  <c:v>1.350960605746809E-4</c:v>
                </c:pt>
                <c:pt idx="300">
                  <c:v>1.2802811816540975E-4</c:v>
                </c:pt>
                <c:pt idx="301">
                  <c:v>1.2628777430420015E-4</c:v>
                </c:pt>
                <c:pt idx="302">
                  <c:v>1.3458763484649932E-4</c:v>
                </c:pt>
                <c:pt idx="303">
                  <c:v>1.3018589360418804E-4</c:v>
                </c:pt>
                <c:pt idx="304">
                  <c:v>1.3451050200408743E-4</c:v>
                </c:pt>
                <c:pt idx="305">
                  <c:v>1.4961605168798569E-4</c:v>
                </c:pt>
                <c:pt idx="306">
                  <c:v>1.7395742024134598E-4</c:v>
                </c:pt>
                <c:pt idx="307">
                  <c:v>2.046104042018229E-4</c:v>
                </c:pt>
                <c:pt idx="308">
                  <c:v>2.0999092489769669E-4</c:v>
                </c:pt>
                <c:pt idx="309">
                  <c:v>2.2404512029030896E-4</c:v>
                </c:pt>
                <c:pt idx="310">
                  <c:v>2.217110858679672E-4</c:v>
                </c:pt>
                <c:pt idx="311">
                  <c:v>2.2771225448402164E-4</c:v>
                </c:pt>
                <c:pt idx="312">
                  <c:v>2.1658859114128692E-4</c:v>
                </c:pt>
                <c:pt idx="313">
                  <c:v>2.1079990588473079E-4</c:v>
                </c:pt>
                <c:pt idx="314">
                  <c:v>2.000852472930862E-4</c:v>
                </c:pt>
                <c:pt idx="315">
                  <c:v>2.0290785297975578E-4</c:v>
                </c:pt>
                <c:pt idx="316">
                  <c:v>2.1462546051273252E-4</c:v>
                </c:pt>
                <c:pt idx="317">
                  <c:v>2.3428961129176378E-4</c:v>
                </c:pt>
                <c:pt idx="318">
                  <c:v>2.6001651783942321E-4</c:v>
                </c:pt>
                <c:pt idx="319">
                  <c:v>3.2483291908745805E-4</c:v>
                </c:pt>
                <c:pt idx="320">
                  <c:v>3.4829680907884E-4</c:v>
                </c:pt>
                <c:pt idx="321">
                  <c:v>3.5068409747524628E-4</c:v>
                </c:pt>
                <c:pt idx="322">
                  <c:v>3.719501524555327E-4</c:v>
                </c:pt>
                <c:pt idx="323">
                  <c:v>3.7305499808619875E-4</c:v>
                </c:pt>
                <c:pt idx="324">
                  <c:v>3.6269663107798238E-4</c:v>
                </c:pt>
                <c:pt idx="325">
                  <c:v>3.4634594719040593E-4</c:v>
                </c:pt>
                <c:pt idx="326">
                  <c:v>3.4298912605953139E-4</c:v>
                </c:pt>
                <c:pt idx="327">
                  <c:v>3.2627929444844356E-4</c:v>
                </c:pt>
                <c:pt idx="328">
                  <c:v>3.0877505557083744E-4</c:v>
                </c:pt>
                <c:pt idx="329">
                  <c:v>2.937613549017978E-4</c:v>
                </c:pt>
                <c:pt idx="330">
                  <c:v>2.780076476340108E-4</c:v>
                </c:pt>
                <c:pt idx="331">
                  <c:v>2.6493887045943065E-4</c:v>
                </c:pt>
                <c:pt idx="332">
                  <c:v>2.5732014923732086E-4</c:v>
                </c:pt>
                <c:pt idx="333">
                  <c:v>2.446264088563063E-4</c:v>
                </c:pt>
                <c:pt idx="334">
                  <c:v>2.3164767227890011E-4</c:v>
                </c:pt>
                <c:pt idx="335">
                  <c:v>2.2230735643969849E-4</c:v>
                </c:pt>
                <c:pt idx="336">
                  <c:v>2.104222122699915E-4</c:v>
                </c:pt>
                <c:pt idx="337">
                  <c:v>2.0189201533507231E-4</c:v>
                </c:pt>
                <c:pt idx="338">
                  <c:v>2.0018300325084706E-4</c:v>
                </c:pt>
                <c:pt idx="339">
                  <c:v>1.9108374145749611E-4</c:v>
                </c:pt>
                <c:pt idx="340">
                  <c:v>1.8095504812844749E-4</c:v>
                </c:pt>
                <c:pt idx="341">
                  <c:v>1.7283222388834278E-4</c:v>
                </c:pt>
                <c:pt idx="342">
                  <c:v>1.6376300046039337E-4</c:v>
                </c:pt>
                <c:pt idx="343">
                  <c:v>1.5653138536895789E-4</c:v>
                </c:pt>
                <c:pt idx="344">
                  <c:v>1.5618038867198125E-4</c:v>
                </c:pt>
                <c:pt idx="345">
                  <c:v>1.4862663832555451E-4</c:v>
                </c:pt>
                <c:pt idx="346">
                  <c:v>1.4728192207362297E-4</c:v>
                </c:pt>
                <c:pt idx="347">
                  <c:v>1.3976478133220592E-4</c:v>
                </c:pt>
                <c:pt idx="348">
                  <c:v>1.3260272757771696E-4</c:v>
                </c:pt>
                <c:pt idx="349">
                  <c:v>1.2720687948572311E-4</c:v>
                </c:pt>
                <c:pt idx="350">
                  <c:v>1.2083522558985202E-4</c:v>
                </c:pt>
                <c:pt idx="351">
                  <c:v>1.1607336909515621E-4</c:v>
                </c:pt>
                <c:pt idx="352">
                  <c:v>1.1042526069385755E-4</c:v>
                </c:pt>
                <c:pt idx="353">
                  <c:v>1.1179856817115176E-4</c:v>
                </c:pt>
                <c:pt idx="354">
                  <c:v>1.2450499826057986E-4</c:v>
                </c:pt>
                <c:pt idx="355">
                  <c:v>1.2167217158616296E-4</c:v>
                </c:pt>
                <c:pt idx="356">
                  <c:v>1.2852096858082809E-4</c:v>
                </c:pt>
                <c:pt idx="357">
                  <c:v>1.2370241761819816E-4</c:v>
                </c:pt>
                <c:pt idx="358">
                  <c:v>1.2729712792651331E-4</c:v>
                </c:pt>
                <c:pt idx="359">
                  <c:v>1.2154033401101467E-4</c:v>
                </c:pt>
                <c:pt idx="360">
                  <c:v>1.2319055272171951E-4</c:v>
                </c:pt>
                <c:pt idx="361">
                  <c:v>1.357926630181563E-4</c:v>
                </c:pt>
                <c:pt idx="362">
                  <c:v>1.3292777255621347E-4</c:v>
                </c:pt>
                <c:pt idx="363">
                  <c:v>1.3954885800767202E-4</c:v>
                </c:pt>
                <c:pt idx="364">
                  <c:v>1.3451915326284281E-4</c:v>
                </c:pt>
                <c:pt idx="365">
                  <c:v>1.3780033599206638E-4</c:v>
                </c:pt>
                <c:pt idx="366">
                  <c:v>1.3173001855342961E-4</c:v>
                </c:pt>
                <c:pt idx="367">
                  <c:v>1.3301885922137536E-4</c:v>
                </c:pt>
                <c:pt idx="368">
                  <c:v>1.2653486700789064E-4</c:v>
                </c:pt>
                <c:pt idx="369">
                  <c:v>1.2661333964684743E-4</c:v>
                </c:pt>
                <c:pt idx="370">
                  <c:v>1.2008930979592289E-4</c:v>
                </c:pt>
                <c:pt idx="371">
                  <c:v>1.1577936230804903E-4</c:v>
                </c:pt>
                <c:pt idx="372">
                  <c:v>1.099604688181814E-4</c:v>
                </c:pt>
                <c:pt idx="373">
                  <c:v>1.0615466454294053E-4</c:v>
                </c:pt>
                <c:pt idx="374">
                  <c:v>1.0098871331785006E-4</c:v>
                </c:pt>
                <c:pt idx="375">
                  <c:v>9.7647228858732863E-5</c:v>
                </c:pt>
                <c:pt idx="376">
                  <c:v>9.3083429581200869E-5</c:v>
                </c:pt>
                <c:pt idx="377">
                  <c:v>9.0167018638341419E-5</c:v>
                </c:pt>
                <c:pt idx="378">
                  <c:v>8.6156219142458933E-5</c:v>
                </c:pt>
                <c:pt idx="379">
                  <c:v>8.3626613168532471E-5</c:v>
                </c:pt>
                <c:pt idx="380">
                  <c:v>8.0121344748982441E-5</c:v>
                </c:pt>
                <c:pt idx="381">
                  <c:v>7.7941484894883785E-5</c:v>
                </c:pt>
                <c:pt idx="382">
                  <c:v>7.4895925177131459E-5</c:v>
                </c:pt>
                <c:pt idx="383">
                  <c:v>7.3030113641377094E-5</c:v>
                </c:pt>
                <c:pt idx="384">
                  <c:v>7.0947433318464901E-5</c:v>
                </c:pt>
                <c:pt idx="385">
                  <c:v>6.8711512917211891E-5</c:v>
                </c:pt>
                <c:pt idx="386">
                  <c:v>7.7816796048818906E-5</c:v>
                </c:pt>
                <c:pt idx="387">
                  <c:v>8.3304094807609491E-5</c:v>
                </c:pt>
                <c:pt idx="388">
                  <c:v>8.6449241702074356E-5</c:v>
                </c:pt>
                <c:pt idx="389">
                  <c:v>1.0250416809846674E-4</c:v>
                </c:pt>
                <c:pt idx="390">
                  <c:v>1.0064485428264864E-4</c:v>
                </c:pt>
                <c:pt idx="391">
                  <c:v>9.5376447380913311E-5</c:v>
                </c:pt>
                <c:pt idx="392">
                  <c:v>9.6449616119119317E-5</c:v>
                </c:pt>
                <c:pt idx="393">
                  <c:v>1.0945547647805279E-4</c:v>
                </c:pt>
                <c:pt idx="394">
                  <c:v>1.0669846259811524E-4</c:v>
                </c:pt>
                <c:pt idx="395">
                  <c:v>1.1392526110093255E-4</c:v>
                </c:pt>
                <c:pt idx="396">
                  <c:v>1.0940953699456667E-4</c:v>
                </c:pt>
                <c:pt idx="397">
                  <c:v>1.1346270626732303E-4</c:v>
                </c:pt>
                <c:pt idx="398">
                  <c:v>1.2912111881848123E-4</c:v>
                </c:pt>
                <c:pt idx="399">
                  <c:v>1.5463730283531759E-4</c:v>
                </c:pt>
                <c:pt idx="400">
                  <c:v>1.8660004544157328E-4</c:v>
                </c:pt>
                <c:pt idx="401">
                  <c:v>1.9226192432939638E-4</c:v>
                </c:pt>
                <c:pt idx="402">
                  <c:v>2.0699636641420105E-4</c:v>
                </c:pt>
                <c:pt idx="403">
                  <c:v>2.0501552966965348E-4</c:v>
                </c:pt>
                <c:pt idx="404">
                  <c:v>2.11634515374161E-4</c:v>
                </c:pt>
                <c:pt idx="405">
                  <c:v>2.2681429696269617E-4</c:v>
                </c:pt>
                <c:pt idx="406">
                  <c:v>2.2502136017528605E-4</c:v>
                </c:pt>
                <c:pt idx="407">
                  <c:v>2.3156586490124772E-4</c:v>
                </c:pt>
                <c:pt idx="408">
                  <c:v>2.4624700406346327E-4</c:v>
                </c:pt>
                <c:pt idx="409">
                  <c:v>2.6770428172200235E-4</c:v>
                </c:pt>
                <c:pt idx="410">
                  <c:v>2.6905219660677544E-4</c:v>
                </c:pt>
                <c:pt idx="411">
                  <c:v>2.7814956638570661E-4</c:v>
                </c:pt>
                <c:pt idx="412">
                  <c:v>2.7304594967824552E-4</c:v>
                </c:pt>
                <c:pt idx="413">
                  <c:v>2.7549625186292344E-4</c:v>
                </c:pt>
                <c:pt idx="414">
                  <c:v>2.6700375149044174E-4</c:v>
                </c:pt>
                <c:pt idx="415">
                  <c:v>2.5372696434013684E-4</c:v>
                </c:pt>
                <c:pt idx="416">
                  <c:v>2.4102989498725642E-4</c:v>
                </c:pt>
                <c:pt idx="417">
                  <c:v>2.28331572601198E-4</c:v>
                </c:pt>
                <c:pt idx="418">
                  <c:v>2.1700861438900756E-4</c:v>
                </c:pt>
                <c:pt idx="419">
                  <c:v>2.1083166772140508E-4</c:v>
                </c:pt>
                <c:pt idx="420">
                  <c:v>2.0001172484539911E-4</c:v>
                </c:pt>
                <c:pt idx="421">
                  <c:v>1.9392890729932801E-4</c:v>
                </c:pt>
                <c:pt idx="422">
                  <c:v>1.8374539832446328E-4</c:v>
                </c:pt>
                <c:pt idx="423">
                  <c:v>1.7791577770608771E-4</c:v>
                </c:pt>
                <c:pt idx="424">
                  <c:v>1.8002983924378811E-4</c:v>
                </c:pt>
                <c:pt idx="425">
                  <c:v>1.7275888434077684E-4</c:v>
                </c:pt>
                <c:pt idx="426">
                  <c:v>1.6352473926501402E-4</c:v>
                </c:pt>
                <c:pt idx="427">
                  <c:v>1.5812772586866632E-4</c:v>
                </c:pt>
                <c:pt idx="428">
                  <c:v>1.4964409028336772E-4</c:v>
                </c:pt>
                <c:pt idx="429">
                  <c:v>1.4461149430600428E-4</c:v>
                </c:pt>
                <c:pt idx="430">
                  <c:v>1.4791140748188127E-4</c:v>
                </c:pt>
                <c:pt idx="431">
                  <c:v>1.6150347054045368E-4</c:v>
                </c:pt>
                <c:pt idx="432">
                  <c:v>1.590331002974725E-4</c:v>
                </c:pt>
                <c:pt idx="433">
                  <c:v>1.6576501238049475E-4</c:v>
                </c:pt>
                <c:pt idx="434">
                  <c:v>1.6048385902529261E-4</c:v>
                </c:pt>
                <c:pt idx="435">
                  <c:v>1.6340075645269721E-4</c:v>
                </c:pt>
                <c:pt idx="436">
                  <c:v>1.7614772984968154E-4</c:v>
                </c:pt>
                <c:pt idx="437">
                  <c:v>1.8355933656421928E-4</c:v>
                </c:pt>
                <c:pt idx="438">
                  <c:v>2.0016496984137547E-4</c:v>
                </c:pt>
                <c:pt idx="439">
                  <c:v>2.242578627601728E-4</c:v>
                </c:pt>
                <c:pt idx="440">
                  <c:v>2.5358263607564281E-4</c:v>
                </c:pt>
                <c:pt idx="441">
                  <c:v>2.8616197790712084E-4</c:v>
                </c:pt>
                <c:pt idx="442">
                  <c:v>2.9327437722581292E-4</c:v>
                </c:pt>
                <c:pt idx="443">
                  <c:v>3.0732773476535905E-4</c:v>
                </c:pt>
                <c:pt idx="444">
                  <c:v>3.0468571276337465E-4</c:v>
                </c:pt>
                <c:pt idx="445">
                  <c:v>2.93221528268063E-4</c:v>
                </c:pt>
                <c:pt idx="446">
                  <c:v>2.8170413551498863E-4</c:v>
                </c:pt>
                <c:pt idx="447">
                  <c:v>2.6700010050577226E-4</c:v>
                </c:pt>
                <c:pt idx="448">
                  <c:v>2.5629269771858812E-4</c:v>
                </c:pt>
                <c:pt idx="449">
                  <c:v>2.5203773214759758E-4</c:v>
                </c:pt>
                <c:pt idx="450">
                  <c:v>2.5559676813221167E-4</c:v>
                </c:pt>
                <c:pt idx="451">
                  <c:v>2.6703321805003323E-4</c:v>
                </c:pt>
                <c:pt idx="452">
                  <c:v>2.8533810187228621E-4</c:v>
                </c:pt>
                <c:pt idx="453">
                  <c:v>3.0896780696907582E-4</c:v>
                </c:pt>
                <c:pt idx="454">
                  <c:v>3.228060704958421E-4</c:v>
                </c:pt>
                <c:pt idx="455">
                  <c:v>3.1997021535455834E-4</c:v>
                </c:pt>
                <c:pt idx="456">
                  <c:v>3.2431412178471287E-4</c:v>
                </c:pt>
                <c:pt idx="457">
                  <c:v>3.3539295668938353E-4</c:v>
                </c:pt>
                <c:pt idx="458">
                  <c:v>3.3096126270088156E-4</c:v>
                </c:pt>
                <c:pt idx="459">
                  <c:v>3.1816981790769099E-4</c:v>
                </c:pt>
                <c:pt idx="460">
                  <c:v>3.1166080133282638E-4</c:v>
                </c:pt>
                <c:pt idx="461">
                  <c:v>2.9818133486741262E-4</c:v>
                </c:pt>
                <c:pt idx="462">
                  <c:v>2.9058860568066089E-4</c:v>
                </c:pt>
                <c:pt idx="463">
                  <c:v>2.7706400736153357E-4</c:v>
                </c:pt>
                <c:pt idx="464">
                  <c:v>2.6220256259589658E-4</c:v>
                </c:pt>
                <c:pt idx="465">
                  <c:v>2.4973584061010844E-4</c:v>
                </c:pt>
                <c:pt idx="466">
                  <c:v>2.3773244070687038E-4</c:v>
                </c:pt>
                <c:pt idx="467">
                  <c:v>2.3110623317060272E-4</c:v>
                </c:pt>
                <c:pt idx="468">
                  <c:v>2.1950721064490077E-4</c:v>
                </c:pt>
                <c:pt idx="469">
                  <c:v>2.1189807513526942E-4</c:v>
                </c:pt>
                <c:pt idx="470">
                  <c:v>2.1159703630283633E-4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513088"/>
        <c:axId val="247514624"/>
      </c:lineChart>
      <c:catAx>
        <c:axId val="247513088"/>
        <c:scaling>
          <c:orientation val="minMax"/>
        </c:scaling>
        <c:delete val="0"/>
        <c:axPos val="b"/>
        <c:majorTickMark val="none"/>
        <c:minorTickMark val="none"/>
        <c:tickLblPos val="nextTo"/>
        <c:crossAx val="247514624"/>
        <c:crosses val="autoZero"/>
        <c:auto val="1"/>
        <c:lblAlgn val="ctr"/>
        <c:lblOffset val="100"/>
        <c:tickLblSkip val="50"/>
        <c:tickMarkSkip val="25"/>
        <c:noMultiLvlLbl val="0"/>
      </c:catAx>
      <c:valAx>
        <c:axId val="24751462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ysDash"/>
            </a:ln>
          </c:spPr>
        </c:majorGridlines>
        <c:numFmt formatCode="General" sourceLinked="1"/>
        <c:majorTickMark val="none"/>
        <c:minorTickMark val="none"/>
        <c:tickLblPos val="nextTo"/>
        <c:crossAx val="24751308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hu-HU"/>
              <a:t>Moving averages</a:t>
            </a:r>
            <a:endParaRPr lang="en-GB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Data</c:v>
                </c:pt>
              </c:strCache>
            </c:strRef>
          </c:tx>
          <c:marker>
            <c:symbol val="none"/>
          </c:marker>
          <c:val>
            <c:numRef>
              <c:f>data!$B$31:$B$200</c:f>
              <c:numCache>
                <c:formatCode>General</c:formatCode>
                <c:ptCount val="170"/>
                <c:pt idx="0">
                  <c:v>1.3476999999999999</c:v>
                </c:pt>
                <c:pt idx="1">
                  <c:v>1.3475999999999999</c:v>
                </c:pt>
                <c:pt idx="2">
                  <c:v>1.3474999999999999</c:v>
                </c:pt>
                <c:pt idx="3">
                  <c:v>1.3475999999999999</c:v>
                </c:pt>
                <c:pt idx="4">
                  <c:v>1.3474999999999999</c:v>
                </c:pt>
                <c:pt idx="5">
                  <c:v>1.3473999999999999</c:v>
                </c:pt>
                <c:pt idx="6">
                  <c:v>1.3472999999999999</c:v>
                </c:pt>
                <c:pt idx="7">
                  <c:v>1.3473999999999999</c:v>
                </c:pt>
                <c:pt idx="8">
                  <c:v>1.3474999999999999</c:v>
                </c:pt>
                <c:pt idx="9">
                  <c:v>1.3475999999999999</c:v>
                </c:pt>
                <c:pt idx="10">
                  <c:v>1.3476999999999999</c:v>
                </c:pt>
                <c:pt idx="11">
                  <c:v>1.3475999999999999</c:v>
                </c:pt>
                <c:pt idx="12">
                  <c:v>1.3474999999999999</c:v>
                </c:pt>
                <c:pt idx="13">
                  <c:v>1.3473999999999999</c:v>
                </c:pt>
                <c:pt idx="14">
                  <c:v>1.3472999999999999</c:v>
                </c:pt>
                <c:pt idx="15">
                  <c:v>1.3473999999999999</c:v>
                </c:pt>
                <c:pt idx="16">
                  <c:v>1.3474999999999999</c:v>
                </c:pt>
                <c:pt idx="17">
                  <c:v>1.3475999999999999</c:v>
                </c:pt>
                <c:pt idx="18">
                  <c:v>1.3474999999999999</c:v>
                </c:pt>
                <c:pt idx="19">
                  <c:v>1.3473999999999999</c:v>
                </c:pt>
                <c:pt idx="20">
                  <c:v>1.3474999999999999</c:v>
                </c:pt>
                <c:pt idx="21">
                  <c:v>1.3473999999999999</c:v>
                </c:pt>
                <c:pt idx="22">
                  <c:v>1.3474999999999999</c:v>
                </c:pt>
                <c:pt idx="23">
                  <c:v>1.3475999999999999</c:v>
                </c:pt>
                <c:pt idx="24">
                  <c:v>1.3476999999999999</c:v>
                </c:pt>
                <c:pt idx="25">
                  <c:v>1.3478000000000001</c:v>
                </c:pt>
                <c:pt idx="26">
                  <c:v>1.3479000000000001</c:v>
                </c:pt>
                <c:pt idx="27">
                  <c:v>1.3478000000000001</c:v>
                </c:pt>
                <c:pt idx="28">
                  <c:v>1.3475999999999999</c:v>
                </c:pt>
                <c:pt idx="29">
                  <c:v>1.3476999999999999</c:v>
                </c:pt>
                <c:pt idx="30">
                  <c:v>1.3475999999999999</c:v>
                </c:pt>
                <c:pt idx="31">
                  <c:v>1.3474999999999999</c:v>
                </c:pt>
                <c:pt idx="32">
                  <c:v>1.3475999999999999</c:v>
                </c:pt>
                <c:pt idx="33">
                  <c:v>1.3474999999999999</c:v>
                </c:pt>
                <c:pt idx="34">
                  <c:v>1.3473999999999999</c:v>
                </c:pt>
                <c:pt idx="35">
                  <c:v>1.3472999999999999</c:v>
                </c:pt>
                <c:pt idx="36">
                  <c:v>1.3473999999999999</c:v>
                </c:pt>
                <c:pt idx="37">
                  <c:v>1.3472999999999999</c:v>
                </c:pt>
                <c:pt idx="38">
                  <c:v>1.3473999999999999</c:v>
                </c:pt>
                <c:pt idx="39">
                  <c:v>1.3472999999999999</c:v>
                </c:pt>
                <c:pt idx="40">
                  <c:v>1.3472</c:v>
                </c:pt>
                <c:pt idx="41">
                  <c:v>1.3472999999999999</c:v>
                </c:pt>
                <c:pt idx="42">
                  <c:v>1.3473999999999999</c:v>
                </c:pt>
                <c:pt idx="43">
                  <c:v>1.3472999999999999</c:v>
                </c:pt>
                <c:pt idx="44">
                  <c:v>1.3472</c:v>
                </c:pt>
                <c:pt idx="45">
                  <c:v>1.3471</c:v>
                </c:pt>
                <c:pt idx="46">
                  <c:v>1.3472</c:v>
                </c:pt>
                <c:pt idx="47">
                  <c:v>1.3471</c:v>
                </c:pt>
                <c:pt idx="48">
                  <c:v>1.3472</c:v>
                </c:pt>
                <c:pt idx="49">
                  <c:v>1.3472999999999999</c:v>
                </c:pt>
                <c:pt idx="50">
                  <c:v>1.3472</c:v>
                </c:pt>
                <c:pt idx="51">
                  <c:v>1.3472999999999999</c:v>
                </c:pt>
                <c:pt idx="52">
                  <c:v>1.3473999999999999</c:v>
                </c:pt>
                <c:pt idx="53">
                  <c:v>1.3472999999999999</c:v>
                </c:pt>
                <c:pt idx="54">
                  <c:v>1.3473999999999999</c:v>
                </c:pt>
                <c:pt idx="55">
                  <c:v>1.3472999999999999</c:v>
                </c:pt>
                <c:pt idx="56">
                  <c:v>1.3473999999999999</c:v>
                </c:pt>
                <c:pt idx="57">
                  <c:v>1.3475999999999999</c:v>
                </c:pt>
                <c:pt idx="58">
                  <c:v>1.3474999999999999</c:v>
                </c:pt>
                <c:pt idx="59">
                  <c:v>1.3475999999999999</c:v>
                </c:pt>
                <c:pt idx="60">
                  <c:v>1.3474999999999999</c:v>
                </c:pt>
                <c:pt idx="61">
                  <c:v>1.3473999999999999</c:v>
                </c:pt>
                <c:pt idx="62">
                  <c:v>1.3472999999999999</c:v>
                </c:pt>
                <c:pt idx="63">
                  <c:v>1.3473999999999999</c:v>
                </c:pt>
                <c:pt idx="64">
                  <c:v>1.3474999999999999</c:v>
                </c:pt>
                <c:pt idx="65">
                  <c:v>1.3472999999999999</c:v>
                </c:pt>
                <c:pt idx="66">
                  <c:v>1.3472</c:v>
                </c:pt>
                <c:pt idx="67">
                  <c:v>1.3472999999999999</c:v>
                </c:pt>
                <c:pt idx="68">
                  <c:v>1.3472</c:v>
                </c:pt>
                <c:pt idx="69">
                  <c:v>1.3472999999999999</c:v>
                </c:pt>
                <c:pt idx="70">
                  <c:v>1.3472</c:v>
                </c:pt>
                <c:pt idx="71">
                  <c:v>1.3472999999999999</c:v>
                </c:pt>
                <c:pt idx="72">
                  <c:v>1.3472</c:v>
                </c:pt>
                <c:pt idx="73">
                  <c:v>1.3472999999999999</c:v>
                </c:pt>
                <c:pt idx="74">
                  <c:v>1.3472</c:v>
                </c:pt>
                <c:pt idx="75">
                  <c:v>1.3472999999999999</c:v>
                </c:pt>
                <c:pt idx="76">
                  <c:v>1.3472</c:v>
                </c:pt>
                <c:pt idx="77">
                  <c:v>1.3472999999999999</c:v>
                </c:pt>
                <c:pt idx="78">
                  <c:v>1.3472</c:v>
                </c:pt>
                <c:pt idx="79">
                  <c:v>1.3471</c:v>
                </c:pt>
                <c:pt idx="80">
                  <c:v>1.3472</c:v>
                </c:pt>
                <c:pt idx="81">
                  <c:v>1.3472999999999999</c:v>
                </c:pt>
                <c:pt idx="82">
                  <c:v>1.3473999999999999</c:v>
                </c:pt>
                <c:pt idx="83">
                  <c:v>1.3474999999999999</c:v>
                </c:pt>
                <c:pt idx="84">
                  <c:v>1.3473999999999999</c:v>
                </c:pt>
                <c:pt idx="85">
                  <c:v>1.3472999999999999</c:v>
                </c:pt>
                <c:pt idx="86">
                  <c:v>1.3473999999999999</c:v>
                </c:pt>
                <c:pt idx="87">
                  <c:v>1.3473999999999999</c:v>
                </c:pt>
                <c:pt idx="88">
                  <c:v>1.3475999999999999</c:v>
                </c:pt>
                <c:pt idx="89">
                  <c:v>1.3474999999999999</c:v>
                </c:pt>
                <c:pt idx="90">
                  <c:v>1.3475999999999999</c:v>
                </c:pt>
                <c:pt idx="91">
                  <c:v>1.3476999999999999</c:v>
                </c:pt>
                <c:pt idx="92">
                  <c:v>1.3475999999999999</c:v>
                </c:pt>
                <c:pt idx="93">
                  <c:v>1.3476999999999999</c:v>
                </c:pt>
                <c:pt idx="94">
                  <c:v>1.3478000000000001</c:v>
                </c:pt>
                <c:pt idx="95">
                  <c:v>1.3476999999999999</c:v>
                </c:pt>
                <c:pt idx="96">
                  <c:v>1.3478000000000001</c:v>
                </c:pt>
                <c:pt idx="97">
                  <c:v>1.3479000000000001</c:v>
                </c:pt>
                <c:pt idx="98">
                  <c:v>1.3480000000000001</c:v>
                </c:pt>
                <c:pt idx="99">
                  <c:v>1.3479000000000001</c:v>
                </c:pt>
                <c:pt idx="100">
                  <c:v>1.3479000000000001</c:v>
                </c:pt>
                <c:pt idx="101">
                  <c:v>1.3480000000000001</c:v>
                </c:pt>
                <c:pt idx="102">
                  <c:v>1.3479000000000001</c:v>
                </c:pt>
                <c:pt idx="103">
                  <c:v>1.3480000000000001</c:v>
                </c:pt>
                <c:pt idx="104">
                  <c:v>1.3479000000000001</c:v>
                </c:pt>
                <c:pt idx="105">
                  <c:v>1.3480000000000001</c:v>
                </c:pt>
                <c:pt idx="106">
                  <c:v>1.3479000000000001</c:v>
                </c:pt>
                <c:pt idx="107">
                  <c:v>1.3480000000000001</c:v>
                </c:pt>
                <c:pt idx="108">
                  <c:v>1.3479000000000001</c:v>
                </c:pt>
                <c:pt idx="109">
                  <c:v>1.3480000000000001</c:v>
                </c:pt>
                <c:pt idx="110">
                  <c:v>1.3481000000000001</c:v>
                </c:pt>
                <c:pt idx="111">
                  <c:v>1.3481000000000001</c:v>
                </c:pt>
                <c:pt idx="112">
                  <c:v>1.3482000000000001</c:v>
                </c:pt>
                <c:pt idx="113">
                  <c:v>1.3481000000000001</c:v>
                </c:pt>
                <c:pt idx="114">
                  <c:v>1.3482000000000001</c:v>
                </c:pt>
                <c:pt idx="115">
                  <c:v>1.3481000000000001</c:v>
                </c:pt>
                <c:pt idx="116">
                  <c:v>1.3480000000000001</c:v>
                </c:pt>
                <c:pt idx="117">
                  <c:v>1.3479000000000001</c:v>
                </c:pt>
                <c:pt idx="118">
                  <c:v>1.3478000000000001</c:v>
                </c:pt>
                <c:pt idx="119">
                  <c:v>1.3479000000000001</c:v>
                </c:pt>
                <c:pt idx="120">
                  <c:v>1.3478000000000001</c:v>
                </c:pt>
                <c:pt idx="121">
                  <c:v>1.3476999999999999</c:v>
                </c:pt>
                <c:pt idx="122">
                  <c:v>1.3475999999999999</c:v>
                </c:pt>
                <c:pt idx="123">
                  <c:v>1.3474999999999999</c:v>
                </c:pt>
                <c:pt idx="124">
                  <c:v>1.3473999999999999</c:v>
                </c:pt>
                <c:pt idx="125">
                  <c:v>1.3474999999999999</c:v>
                </c:pt>
                <c:pt idx="126">
                  <c:v>1.3473999999999999</c:v>
                </c:pt>
                <c:pt idx="127">
                  <c:v>1.3474999999999999</c:v>
                </c:pt>
                <c:pt idx="128">
                  <c:v>1.3473999999999999</c:v>
                </c:pt>
                <c:pt idx="129">
                  <c:v>1.3474999999999999</c:v>
                </c:pt>
                <c:pt idx="130">
                  <c:v>1.3473999999999999</c:v>
                </c:pt>
                <c:pt idx="131">
                  <c:v>1.3472999999999999</c:v>
                </c:pt>
                <c:pt idx="132">
                  <c:v>1.3473999999999999</c:v>
                </c:pt>
                <c:pt idx="133">
                  <c:v>1.3472999999999999</c:v>
                </c:pt>
                <c:pt idx="134">
                  <c:v>1.3473999999999999</c:v>
                </c:pt>
                <c:pt idx="135">
                  <c:v>1.3472999999999999</c:v>
                </c:pt>
                <c:pt idx="136">
                  <c:v>1.3473999999999999</c:v>
                </c:pt>
                <c:pt idx="137">
                  <c:v>1.3472999999999999</c:v>
                </c:pt>
                <c:pt idx="138">
                  <c:v>1.3473999999999999</c:v>
                </c:pt>
                <c:pt idx="139">
                  <c:v>1.3474999999999999</c:v>
                </c:pt>
                <c:pt idx="140">
                  <c:v>1.3473999999999999</c:v>
                </c:pt>
                <c:pt idx="141">
                  <c:v>1.3474999999999999</c:v>
                </c:pt>
                <c:pt idx="142">
                  <c:v>1.3473999999999999</c:v>
                </c:pt>
                <c:pt idx="143">
                  <c:v>1.3474999999999999</c:v>
                </c:pt>
                <c:pt idx="144">
                  <c:v>1.3475999999999999</c:v>
                </c:pt>
                <c:pt idx="145">
                  <c:v>1.3474999999999999</c:v>
                </c:pt>
                <c:pt idx="146">
                  <c:v>1.3475999999999999</c:v>
                </c:pt>
                <c:pt idx="147">
                  <c:v>1.3476999999999999</c:v>
                </c:pt>
                <c:pt idx="148">
                  <c:v>1.3475999999999999</c:v>
                </c:pt>
                <c:pt idx="149">
                  <c:v>1.3476999999999999</c:v>
                </c:pt>
                <c:pt idx="150">
                  <c:v>1.3475999999999999</c:v>
                </c:pt>
                <c:pt idx="151">
                  <c:v>1.3474999999999999</c:v>
                </c:pt>
                <c:pt idx="152">
                  <c:v>1.3473999999999999</c:v>
                </c:pt>
                <c:pt idx="153">
                  <c:v>1.3472999999999999</c:v>
                </c:pt>
                <c:pt idx="154">
                  <c:v>1.3472</c:v>
                </c:pt>
                <c:pt idx="155">
                  <c:v>1.3472999999999999</c:v>
                </c:pt>
                <c:pt idx="156">
                  <c:v>1.3472</c:v>
                </c:pt>
                <c:pt idx="157">
                  <c:v>1.3472999999999999</c:v>
                </c:pt>
                <c:pt idx="158">
                  <c:v>1.3472</c:v>
                </c:pt>
                <c:pt idx="159">
                  <c:v>1.3472999999999999</c:v>
                </c:pt>
                <c:pt idx="160">
                  <c:v>1.3472</c:v>
                </c:pt>
                <c:pt idx="161">
                  <c:v>1.3472999999999999</c:v>
                </c:pt>
                <c:pt idx="162">
                  <c:v>1.3472</c:v>
                </c:pt>
                <c:pt idx="163">
                  <c:v>1.3471</c:v>
                </c:pt>
                <c:pt idx="164">
                  <c:v>1.3472</c:v>
                </c:pt>
                <c:pt idx="165">
                  <c:v>1.3472999999999999</c:v>
                </c:pt>
                <c:pt idx="166">
                  <c:v>1.3472</c:v>
                </c:pt>
                <c:pt idx="167">
                  <c:v>1.3472999999999999</c:v>
                </c:pt>
                <c:pt idx="168">
                  <c:v>1.3472</c:v>
                </c:pt>
                <c:pt idx="169">
                  <c:v>1.3472999999999999</c:v>
                </c:pt>
              </c:numCache>
            </c:numRef>
          </c:val>
          <c:smooth val="0"/>
        </c:ser>
        <c:ser>
          <c:idx val="1"/>
          <c:order val="1"/>
          <c:tx>
            <c:v>Average (n=30)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data!$C$31:$C$200</c:f>
              <c:numCache>
                <c:formatCode>General</c:formatCode>
                <c:ptCount val="170"/>
                <c:pt idx="0">
                  <c:v>1.3468800000000001</c:v>
                </c:pt>
                <c:pt idx="1">
                  <c:v>1.3469200000000003</c:v>
                </c:pt>
                <c:pt idx="2">
                  <c:v>1.3469600000000002</c:v>
                </c:pt>
                <c:pt idx="3">
                  <c:v>1.3470066666666667</c:v>
                </c:pt>
                <c:pt idx="4">
                  <c:v>1.3470466666666669</c:v>
                </c:pt>
                <c:pt idx="5">
                  <c:v>1.3470800000000003</c:v>
                </c:pt>
                <c:pt idx="6">
                  <c:v>1.3471066666666665</c:v>
                </c:pt>
                <c:pt idx="7">
                  <c:v>1.3471399999999998</c:v>
                </c:pt>
                <c:pt idx="8">
                  <c:v>1.3471733333333331</c:v>
                </c:pt>
                <c:pt idx="9">
                  <c:v>1.3472066666666664</c:v>
                </c:pt>
                <c:pt idx="10">
                  <c:v>1.3472466666666667</c:v>
                </c:pt>
                <c:pt idx="11">
                  <c:v>1.3472866666666665</c:v>
                </c:pt>
                <c:pt idx="12">
                  <c:v>1.3473199999999999</c:v>
                </c:pt>
                <c:pt idx="13">
                  <c:v>1.3473466666666667</c:v>
                </c:pt>
                <c:pt idx="14">
                  <c:v>1.3473666666666666</c:v>
                </c:pt>
                <c:pt idx="15">
                  <c:v>1.3473866666666667</c:v>
                </c:pt>
                <c:pt idx="16">
                  <c:v>1.3474099999999998</c:v>
                </c:pt>
                <c:pt idx="17">
                  <c:v>1.3474333333333333</c:v>
                </c:pt>
                <c:pt idx="18">
                  <c:v>1.3474499999999996</c:v>
                </c:pt>
                <c:pt idx="19">
                  <c:v>1.3474599999999997</c:v>
                </c:pt>
                <c:pt idx="20">
                  <c:v>1.3474699999999997</c:v>
                </c:pt>
                <c:pt idx="21">
                  <c:v>1.3474733333333331</c:v>
                </c:pt>
                <c:pt idx="22">
                  <c:v>1.3474833333333329</c:v>
                </c:pt>
                <c:pt idx="23">
                  <c:v>1.347493333333333</c:v>
                </c:pt>
                <c:pt idx="24">
                  <c:v>1.3475033333333333</c:v>
                </c:pt>
                <c:pt idx="25">
                  <c:v>1.3475199999999998</c:v>
                </c:pt>
                <c:pt idx="26">
                  <c:v>1.3475366666666668</c:v>
                </c:pt>
                <c:pt idx="27">
                  <c:v>1.3475433333333335</c:v>
                </c:pt>
                <c:pt idx="28">
                  <c:v>1.3475466666666669</c:v>
                </c:pt>
                <c:pt idx="29">
                  <c:v>1.3475500000000005</c:v>
                </c:pt>
                <c:pt idx="30">
                  <c:v>1.3475466666666669</c:v>
                </c:pt>
                <c:pt idx="31">
                  <c:v>1.3475433333333335</c:v>
                </c:pt>
                <c:pt idx="32">
                  <c:v>1.3475466666666667</c:v>
                </c:pt>
                <c:pt idx="33">
                  <c:v>1.3475433333333333</c:v>
                </c:pt>
                <c:pt idx="34">
                  <c:v>1.3475399999999997</c:v>
                </c:pt>
                <c:pt idx="35">
                  <c:v>1.3475366666666664</c:v>
                </c:pt>
                <c:pt idx="36">
                  <c:v>1.3475399999999995</c:v>
                </c:pt>
                <c:pt idx="37">
                  <c:v>1.3475366666666664</c:v>
                </c:pt>
                <c:pt idx="38">
                  <c:v>1.3475333333333332</c:v>
                </c:pt>
                <c:pt idx="39">
                  <c:v>1.3475233333333327</c:v>
                </c:pt>
                <c:pt idx="40">
                  <c:v>1.3475066666666664</c:v>
                </c:pt>
                <c:pt idx="41">
                  <c:v>1.3474966666666666</c:v>
                </c:pt>
                <c:pt idx="42">
                  <c:v>1.347493333333333</c:v>
                </c:pt>
                <c:pt idx="43">
                  <c:v>1.3474899999999999</c:v>
                </c:pt>
                <c:pt idx="44">
                  <c:v>1.3474866666666663</c:v>
                </c:pt>
                <c:pt idx="45">
                  <c:v>1.3474766666666664</c:v>
                </c:pt>
                <c:pt idx="46">
                  <c:v>1.3474666666666664</c:v>
                </c:pt>
                <c:pt idx="47">
                  <c:v>1.3474499999999998</c:v>
                </c:pt>
                <c:pt idx="48">
                  <c:v>1.3474399999999997</c:v>
                </c:pt>
                <c:pt idx="49">
                  <c:v>1.3474366666666666</c:v>
                </c:pt>
                <c:pt idx="50">
                  <c:v>1.3474266666666666</c:v>
                </c:pt>
                <c:pt idx="51">
                  <c:v>1.3474233333333332</c:v>
                </c:pt>
                <c:pt idx="52">
                  <c:v>1.3474200000000001</c:v>
                </c:pt>
                <c:pt idx="53">
                  <c:v>1.34741</c:v>
                </c:pt>
                <c:pt idx="54">
                  <c:v>1.3474000000000002</c:v>
                </c:pt>
                <c:pt idx="55">
                  <c:v>1.3473833333333334</c:v>
                </c:pt>
                <c:pt idx="56">
                  <c:v>1.3473666666666666</c:v>
                </c:pt>
                <c:pt idx="57">
                  <c:v>1.3473600000000003</c:v>
                </c:pt>
                <c:pt idx="58">
                  <c:v>1.3473566666666668</c:v>
                </c:pt>
                <c:pt idx="59">
                  <c:v>1.3473533333333336</c:v>
                </c:pt>
                <c:pt idx="60">
                  <c:v>1.3473499999999998</c:v>
                </c:pt>
                <c:pt idx="61">
                  <c:v>1.3473466666666667</c:v>
                </c:pt>
                <c:pt idx="62">
                  <c:v>1.3473366666666666</c:v>
                </c:pt>
                <c:pt idx="63">
                  <c:v>1.3473333333333335</c:v>
                </c:pt>
                <c:pt idx="64">
                  <c:v>1.3473366666666666</c:v>
                </c:pt>
                <c:pt idx="65">
                  <c:v>1.3473366666666664</c:v>
                </c:pt>
                <c:pt idx="66">
                  <c:v>1.3473299999999997</c:v>
                </c:pt>
                <c:pt idx="67">
                  <c:v>1.3473299999999997</c:v>
                </c:pt>
                <c:pt idx="68">
                  <c:v>1.347323333333333</c:v>
                </c:pt>
                <c:pt idx="69">
                  <c:v>1.347323333333333</c:v>
                </c:pt>
                <c:pt idx="70">
                  <c:v>1.3473233333333332</c:v>
                </c:pt>
                <c:pt idx="71">
                  <c:v>1.3473233333333332</c:v>
                </c:pt>
                <c:pt idx="72">
                  <c:v>1.3473166666666667</c:v>
                </c:pt>
                <c:pt idx="73">
                  <c:v>1.3473166666666667</c:v>
                </c:pt>
                <c:pt idx="74">
                  <c:v>1.3473166666666667</c:v>
                </c:pt>
                <c:pt idx="75">
                  <c:v>1.3473233333333332</c:v>
                </c:pt>
                <c:pt idx="76">
                  <c:v>1.3473233333333332</c:v>
                </c:pt>
                <c:pt idx="77">
                  <c:v>1.3473299999999999</c:v>
                </c:pt>
                <c:pt idx="78">
                  <c:v>1.3473299999999999</c:v>
                </c:pt>
                <c:pt idx="79">
                  <c:v>1.3473233333333332</c:v>
                </c:pt>
                <c:pt idx="80">
                  <c:v>1.3473233333333332</c:v>
                </c:pt>
                <c:pt idx="81">
                  <c:v>1.3473233333333332</c:v>
                </c:pt>
                <c:pt idx="82">
                  <c:v>1.3473233333333332</c:v>
                </c:pt>
                <c:pt idx="83">
                  <c:v>1.3473299999999999</c:v>
                </c:pt>
                <c:pt idx="84">
                  <c:v>1.3473299999999999</c:v>
                </c:pt>
                <c:pt idx="85">
                  <c:v>1.3473299999999999</c:v>
                </c:pt>
                <c:pt idx="86">
                  <c:v>1.3473300000000001</c:v>
                </c:pt>
                <c:pt idx="87">
                  <c:v>1.3473233333333334</c:v>
                </c:pt>
                <c:pt idx="88">
                  <c:v>1.3473266666666668</c:v>
                </c:pt>
                <c:pt idx="89">
                  <c:v>1.3473233333333334</c:v>
                </c:pt>
                <c:pt idx="90">
                  <c:v>1.3473266666666668</c:v>
                </c:pt>
                <c:pt idx="91">
                  <c:v>1.3473366666666671</c:v>
                </c:pt>
                <c:pt idx="92">
                  <c:v>1.3473466666666669</c:v>
                </c:pt>
                <c:pt idx="93">
                  <c:v>1.347356666666667</c:v>
                </c:pt>
                <c:pt idx="94">
                  <c:v>1.347366666666667</c:v>
                </c:pt>
                <c:pt idx="95">
                  <c:v>1.3473800000000005</c:v>
                </c:pt>
                <c:pt idx="96">
                  <c:v>1.3474000000000004</c:v>
                </c:pt>
                <c:pt idx="97">
                  <c:v>1.3474200000000005</c:v>
                </c:pt>
                <c:pt idx="98">
                  <c:v>1.3474466666666669</c:v>
                </c:pt>
                <c:pt idx="99">
                  <c:v>1.3474666666666668</c:v>
                </c:pt>
                <c:pt idx="100">
                  <c:v>1.3474900000000003</c:v>
                </c:pt>
                <c:pt idx="101">
                  <c:v>1.3475133333333333</c:v>
                </c:pt>
                <c:pt idx="102">
                  <c:v>1.347536666666667</c:v>
                </c:pt>
                <c:pt idx="103">
                  <c:v>1.3475600000000003</c:v>
                </c:pt>
                <c:pt idx="104">
                  <c:v>1.3475833333333336</c:v>
                </c:pt>
                <c:pt idx="105">
                  <c:v>1.3476066666666668</c:v>
                </c:pt>
                <c:pt idx="106">
                  <c:v>1.3476300000000001</c:v>
                </c:pt>
                <c:pt idx="107">
                  <c:v>1.3476533333333334</c:v>
                </c:pt>
                <c:pt idx="108">
                  <c:v>1.3476766666666669</c:v>
                </c:pt>
                <c:pt idx="109">
                  <c:v>1.3477066666666668</c:v>
                </c:pt>
                <c:pt idx="110">
                  <c:v>1.3477366666666666</c:v>
                </c:pt>
                <c:pt idx="111">
                  <c:v>1.3477633333333332</c:v>
                </c:pt>
                <c:pt idx="112">
                  <c:v>1.3477899999999998</c:v>
                </c:pt>
                <c:pt idx="113">
                  <c:v>1.34781</c:v>
                </c:pt>
                <c:pt idx="114">
                  <c:v>1.3478366666666663</c:v>
                </c:pt>
                <c:pt idx="115">
                  <c:v>1.3478633333333332</c:v>
                </c:pt>
                <c:pt idx="116">
                  <c:v>1.3478833333333329</c:v>
                </c:pt>
                <c:pt idx="117">
                  <c:v>1.3478999999999997</c:v>
                </c:pt>
                <c:pt idx="118">
                  <c:v>1.3479066666666664</c:v>
                </c:pt>
                <c:pt idx="119">
                  <c:v>1.3479199999999998</c:v>
                </c:pt>
                <c:pt idx="120">
                  <c:v>1.3479266666666665</c:v>
                </c:pt>
                <c:pt idx="121">
                  <c:v>1.3479266666666665</c:v>
                </c:pt>
                <c:pt idx="122">
                  <c:v>1.3479266666666665</c:v>
                </c:pt>
                <c:pt idx="123">
                  <c:v>1.3479199999999996</c:v>
                </c:pt>
                <c:pt idx="124">
                  <c:v>1.3479066666666666</c:v>
                </c:pt>
                <c:pt idx="125">
                  <c:v>1.3478999999999997</c:v>
                </c:pt>
                <c:pt idx="126">
                  <c:v>1.3478866666666665</c:v>
                </c:pt>
                <c:pt idx="127">
                  <c:v>1.3478733333333328</c:v>
                </c:pt>
                <c:pt idx="128">
                  <c:v>1.3478533333333329</c:v>
                </c:pt>
                <c:pt idx="129">
                  <c:v>1.3478399999999993</c:v>
                </c:pt>
                <c:pt idx="130">
                  <c:v>1.3478233333333329</c:v>
                </c:pt>
                <c:pt idx="131">
                  <c:v>1.3477999999999994</c:v>
                </c:pt>
                <c:pt idx="132">
                  <c:v>1.3477833333333329</c:v>
                </c:pt>
                <c:pt idx="133">
                  <c:v>1.3477599999999996</c:v>
                </c:pt>
                <c:pt idx="134">
                  <c:v>1.3477433333333331</c:v>
                </c:pt>
                <c:pt idx="135">
                  <c:v>1.3477199999999998</c:v>
                </c:pt>
                <c:pt idx="136">
                  <c:v>1.347703333333333</c:v>
                </c:pt>
                <c:pt idx="137">
                  <c:v>1.3476799999999998</c:v>
                </c:pt>
                <c:pt idx="138">
                  <c:v>1.3476633333333332</c:v>
                </c:pt>
                <c:pt idx="139">
                  <c:v>1.3476466666666664</c:v>
                </c:pt>
                <c:pt idx="140">
                  <c:v>1.3476233333333332</c:v>
                </c:pt>
                <c:pt idx="141">
                  <c:v>1.347603333333333</c:v>
                </c:pt>
                <c:pt idx="142">
                  <c:v>1.3475766666666664</c:v>
                </c:pt>
                <c:pt idx="143">
                  <c:v>1.3475566666666665</c:v>
                </c:pt>
                <c:pt idx="144">
                  <c:v>1.3475366666666664</c:v>
                </c:pt>
                <c:pt idx="145">
                  <c:v>1.3475166666666665</c:v>
                </c:pt>
                <c:pt idx="146">
                  <c:v>1.3475033333333331</c:v>
                </c:pt>
                <c:pt idx="147">
                  <c:v>1.3474966666666668</c:v>
                </c:pt>
                <c:pt idx="148">
                  <c:v>1.3474900000000001</c:v>
                </c:pt>
                <c:pt idx="149">
                  <c:v>1.3474833333333336</c:v>
                </c:pt>
                <c:pt idx="150">
                  <c:v>1.3474766666666669</c:v>
                </c:pt>
                <c:pt idx="151">
                  <c:v>1.3474700000000004</c:v>
                </c:pt>
                <c:pt idx="152">
                  <c:v>1.3474633333333337</c:v>
                </c:pt>
                <c:pt idx="153">
                  <c:v>1.3474566666666667</c:v>
                </c:pt>
                <c:pt idx="154">
                  <c:v>1.34745</c:v>
                </c:pt>
                <c:pt idx="155">
                  <c:v>1.3474433333333333</c:v>
                </c:pt>
                <c:pt idx="156">
                  <c:v>1.3474366666666666</c:v>
                </c:pt>
                <c:pt idx="157">
                  <c:v>1.3474299999999997</c:v>
                </c:pt>
                <c:pt idx="158">
                  <c:v>1.347423333333333</c:v>
                </c:pt>
                <c:pt idx="159">
                  <c:v>1.3474166666666665</c:v>
                </c:pt>
                <c:pt idx="160">
                  <c:v>1.3474099999999998</c:v>
                </c:pt>
                <c:pt idx="161">
                  <c:v>1.3474099999999998</c:v>
                </c:pt>
                <c:pt idx="162">
                  <c:v>1.3474033333333331</c:v>
                </c:pt>
                <c:pt idx="163">
                  <c:v>1.3473966666666664</c:v>
                </c:pt>
                <c:pt idx="164">
                  <c:v>1.3473900000000001</c:v>
                </c:pt>
                <c:pt idx="165">
                  <c:v>1.3473900000000001</c:v>
                </c:pt>
                <c:pt idx="166">
                  <c:v>1.3473833333333334</c:v>
                </c:pt>
                <c:pt idx="167">
                  <c:v>1.3473833333333334</c:v>
                </c:pt>
                <c:pt idx="168">
                  <c:v>1.3473766666666667</c:v>
                </c:pt>
                <c:pt idx="169">
                  <c:v>1.34737</c:v>
                </c:pt>
              </c:numCache>
            </c:numRef>
          </c:val>
          <c:smooth val="0"/>
        </c:ser>
        <c:ser>
          <c:idx val="2"/>
          <c:order val="2"/>
          <c:tx>
            <c:v>EMA (a=0.1)</c:v>
          </c:tx>
          <c:marker>
            <c:symbol val="none"/>
          </c:marker>
          <c:val>
            <c:numRef>
              <c:f>data!$D$31:$D$200</c:f>
              <c:numCache>
                <c:formatCode>0.00000</c:formatCode>
                <c:ptCount val="170"/>
                <c:pt idx="0">
                  <c:v>1.3471614506545362</c:v>
                </c:pt>
                <c:pt idx="1">
                  <c:v>1.3472004783048628</c:v>
                </c:pt>
                <c:pt idx="2">
                  <c:v>1.3472271335218957</c:v>
                </c:pt>
                <c:pt idx="3">
                  <c:v>1.3472603158825045</c:v>
                </c:pt>
                <c:pt idx="4">
                  <c:v>1.3472816459974009</c:v>
                </c:pt>
                <c:pt idx="5">
                  <c:v>1.3472921786288503</c:v>
                </c:pt>
                <c:pt idx="6">
                  <c:v>1.3472928746730732</c:v>
                </c:pt>
                <c:pt idx="7">
                  <c:v>1.3473024080353815</c:v>
                </c:pt>
                <c:pt idx="8">
                  <c:v>1.3473199922597845</c:v>
                </c:pt>
                <c:pt idx="9">
                  <c:v>1.3473449108790616</c:v>
                </c:pt>
                <c:pt idx="10">
                  <c:v>1.3473765111862792</c:v>
                </c:pt>
                <c:pt idx="11">
                  <c:v>1.3473964000388428</c:v>
                </c:pt>
                <c:pt idx="12">
                  <c:v>1.3474056196696544</c:v>
                </c:pt>
                <c:pt idx="13">
                  <c:v>1.3474051195605914</c:v>
                </c:pt>
                <c:pt idx="14">
                  <c:v>1.3473957646966619</c:v>
                </c:pt>
                <c:pt idx="15">
                  <c:v>1.347396141607355</c:v>
                </c:pt>
                <c:pt idx="16">
                  <c:v>1.3474053842366589</c:v>
                </c:pt>
                <c:pt idx="17">
                  <c:v>1.3474227036011461</c:v>
                </c:pt>
                <c:pt idx="18">
                  <c:v>1.3474295824093285</c:v>
                </c:pt>
                <c:pt idx="19">
                  <c:v>1.3474269497935487</c:v>
                </c:pt>
                <c:pt idx="20">
                  <c:v>1.3474334507219918</c:v>
                </c:pt>
                <c:pt idx="21">
                  <c:v>1.3474304738549767</c:v>
                </c:pt>
                <c:pt idx="22">
                  <c:v>1.347436661168</c:v>
                </c:pt>
                <c:pt idx="23">
                  <c:v>1.3474511971167729</c:v>
                </c:pt>
                <c:pt idx="24">
                  <c:v>1.3474733387344204</c:v>
                </c:pt>
                <c:pt idx="25">
                  <c:v>1.347502409172628</c:v>
                </c:pt>
                <c:pt idx="26">
                  <c:v>1.3475377918175784</c:v>
                </c:pt>
                <c:pt idx="27">
                  <c:v>1.3475611264077727</c:v>
                </c:pt>
                <c:pt idx="28">
                  <c:v>1.3475645858701573</c:v>
                </c:pt>
                <c:pt idx="29">
                  <c:v>1.3475766367268363</c:v>
                </c:pt>
                <c:pt idx="30">
                  <c:v>1.3475787158854644</c:v>
                </c:pt>
                <c:pt idx="31">
                  <c:v>1.3475717107534655</c:v>
                </c:pt>
                <c:pt idx="32">
                  <c:v>1.3475742282873147</c:v>
                </c:pt>
                <c:pt idx="33">
                  <c:v>1.3475676225183821</c:v>
                </c:pt>
                <c:pt idx="34">
                  <c:v>1.3475527053531828</c:v>
                </c:pt>
                <c:pt idx="35">
                  <c:v>1.3475302164445535</c:v>
                </c:pt>
                <c:pt idx="36">
                  <c:v>1.3475186281434484</c:v>
                </c:pt>
                <c:pt idx="37">
                  <c:v>1.3474991718546128</c:v>
                </c:pt>
                <c:pt idx="38">
                  <c:v>1.3474903462925543</c:v>
                </c:pt>
                <c:pt idx="39">
                  <c:v>1.3474734068794105</c:v>
                </c:pt>
                <c:pt idx="40">
                  <c:v>1.3474490756879567</c:v>
                </c:pt>
                <c:pt idx="41">
                  <c:v>1.3474358090535816</c:v>
                </c:pt>
                <c:pt idx="42">
                  <c:v>1.347432622312486</c:v>
                </c:pt>
                <c:pt idx="43">
                  <c:v>1.3474208199069171</c:v>
                </c:pt>
                <c:pt idx="44">
                  <c:v>1.3474011685673326</c:v>
                </c:pt>
                <c:pt idx="45">
                  <c:v>1.3473743667908467</c:v>
                </c:pt>
                <c:pt idx="46">
                  <c:v>1.3473588494352466</c:v>
                </c:pt>
                <c:pt idx="47">
                  <c:v>1.3473358137487259</c:v>
                </c:pt>
                <c:pt idx="48">
                  <c:v>1.3473237273289203</c:v>
                </c:pt>
                <c:pt idx="49">
                  <c:v>1.3473216157720207</c:v>
                </c:pt>
                <c:pt idx="50">
                  <c:v>1.3473107928672012</c:v>
                </c:pt>
                <c:pt idx="51">
                  <c:v>1.3473098323817931</c:v>
                </c:pt>
                <c:pt idx="52">
                  <c:v>1.3473178566333637</c:v>
                </c:pt>
                <c:pt idx="53">
                  <c:v>1.347316267524977</c:v>
                </c:pt>
                <c:pt idx="54">
                  <c:v>1.3473237190963681</c:v>
                </c:pt>
                <c:pt idx="55">
                  <c:v>1.3473216082721047</c:v>
                </c:pt>
                <c:pt idx="56">
                  <c:v>1.3473285845564762</c:v>
                </c:pt>
                <c:pt idx="57">
                  <c:v>1.3473527385248554</c:v>
                </c:pt>
                <c:pt idx="58">
                  <c:v>1.3473658437076996</c:v>
                </c:pt>
                <c:pt idx="59">
                  <c:v>1.3473866818870111</c:v>
                </c:pt>
                <c:pt idx="60">
                  <c:v>1.3473967663615067</c:v>
                </c:pt>
                <c:pt idx="61">
                  <c:v>1.3473970541314322</c:v>
                </c:pt>
                <c:pt idx="62">
                  <c:v>1.3473884170310844</c:v>
                </c:pt>
                <c:pt idx="63">
                  <c:v>1.3473894478297055</c:v>
                </c:pt>
                <c:pt idx="64">
                  <c:v>1.3473992861557451</c:v>
                </c:pt>
                <c:pt idx="65">
                  <c:v>1.3473904504217309</c:v>
                </c:pt>
                <c:pt idx="66">
                  <c:v>1.3473735017418602</c:v>
                </c:pt>
                <c:pt idx="67">
                  <c:v>1.3473669606301033</c:v>
                </c:pt>
                <c:pt idx="68">
                  <c:v>1.3473521023680688</c:v>
                </c:pt>
                <c:pt idx="69">
                  <c:v>1.3473474656424116</c:v>
                </c:pt>
                <c:pt idx="70">
                  <c:v>1.3473343422901898</c:v>
                </c:pt>
                <c:pt idx="71">
                  <c:v>1.3473312860801949</c:v>
                </c:pt>
                <c:pt idx="72">
                  <c:v>1.3473196025894234</c:v>
                </c:pt>
                <c:pt idx="73">
                  <c:v>1.3473178581038521</c:v>
                </c:pt>
                <c:pt idx="74">
                  <c:v>1.3473073696037259</c:v>
                </c:pt>
                <c:pt idx="75">
                  <c:v>1.3473067137634649</c:v>
                </c:pt>
                <c:pt idx="76">
                  <c:v>1.3472972170272628</c:v>
                </c:pt>
                <c:pt idx="77">
                  <c:v>1.347297464691267</c:v>
                </c:pt>
                <c:pt idx="78">
                  <c:v>1.3472887910541285</c:v>
                </c:pt>
                <c:pt idx="79">
                  <c:v>1.3472719900457095</c:v>
                </c:pt>
                <c:pt idx="80">
                  <c:v>1.3472655834637366</c:v>
                </c:pt>
                <c:pt idx="81">
                  <c:v>1.3472686462810837</c:v>
                </c:pt>
                <c:pt idx="82">
                  <c:v>1.3472803357912015</c:v>
                </c:pt>
                <c:pt idx="83">
                  <c:v>1.3472998842821955</c:v>
                </c:pt>
                <c:pt idx="84">
                  <c:v>1.3473087938411017</c:v>
                </c:pt>
                <c:pt idx="85">
                  <c:v>1.347308011254241</c:v>
                </c:pt>
                <c:pt idx="86">
                  <c:v>1.3473161975727037</c:v>
                </c:pt>
                <c:pt idx="87">
                  <c:v>1.3473236553693302</c:v>
                </c:pt>
                <c:pt idx="88">
                  <c:v>1.3473482479989327</c:v>
                </c:pt>
                <c:pt idx="89">
                  <c:v>1.3473617528053936</c:v>
                </c:pt>
                <c:pt idx="90">
                  <c:v>1.3473829550447733</c:v>
                </c:pt>
                <c:pt idx="91">
                  <c:v>1.347411169702436</c:v>
                </c:pt>
                <c:pt idx="92">
                  <c:v>1.3474279742032309</c:v>
                </c:pt>
                <c:pt idx="93">
                  <c:v>1.3474521824885377</c:v>
                </c:pt>
                <c:pt idx="94">
                  <c:v>1.3474831356762582</c:v>
                </c:pt>
                <c:pt idx="95">
                  <c:v>1.3475024349981768</c:v>
                </c:pt>
                <c:pt idx="96">
                  <c:v>1.3475289160839674</c:v>
                </c:pt>
                <c:pt idx="97">
                  <c:v>1.3475619398097274</c:v>
                </c:pt>
                <c:pt idx="98">
                  <c:v>1.3476009239288576</c:v>
                </c:pt>
                <c:pt idx="99">
                  <c:v>1.3476275394886488</c:v>
                </c:pt>
                <c:pt idx="100">
                  <c:v>1.3476517864603403</c:v>
                </c:pt>
                <c:pt idx="101">
                  <c:v>1.3476827748916433</c:v>
                </c:pt>
                <c:pt idx="102">
                  <c:v>1.3477021063207262</c:v>
                </c:pt>
                <c:pt idx="103">
                  <c:v>1.3477286166563807</c:v>
                </c:pt>
                <c:pt idx="104">
                  <c:v>1.3477438685072289</c:v>
                </c:pt>
                <c:pt idx="105">
                  <c:v>1.3477666623169586</c:v>
                </c:pt>
                <c:pt idx="106">
                  <c:v>1.3477785283852197</c:v>
                </c:pt>
                <c:pt idx="107">
                  <c:v>1.3477982377219873</c:v>
                </c:pt>
                <c:pt idx="108">
                  <c:v>1.347807293812582</c:v>
                </c:pt>
                <c:pt idx="109">
                  <c:v>1.3478244432389264</c:v>
                </c:pt>
                <c:pt idx="110">
                  <c:v>1.3478489657539581</c:v>
                </c:pt>
                <c:pt idx="111">
                  <c:v>1.3478713059464038</c:v>
                </c:pt>
                <c:pt idx="112">
                  <c:v>1.3479005572877201</c:v>
                </c:pt>
                <c:pt idx="113">
                  <c:v>1.3479183062149858</c:v>
                </c:pt>
                <c:pt idx="114">
                  <c:v>1.347943374879788</c:v>
                </c:pt>
                <c:pt idx="115">
                  <c:v>1.3479573133578344</c:v>
                </c:pt>
                <c:pt idx="116">
                  <c:v>1.3479611121534805</c:v>
                </c:pt>
                <c:pt idx="117">
                  <c:v>1.347955673623515</c:v>
                </c:pt>
                <c:pt idx="118">
                  <c:v>1.347941819821642</c:v>
                </c:pt>
                <c:pt idx="119">
                  <c:v>1.347938098166616</c:v>
                </c:pt>
                <c:pt idx="120">
                  <c:v>1.3479258084505028</c:v>
                </c:pt>
                <c:pt idx="121">
                  <c:v>1.3479057131674106</c:v>
                </c:pt>
                <c:pt idx="122">
                  <c:v>1.3478785069551078</c:v>
                </c:pt>
                <c:pt idx="123">
                  <c:v>1.3478448226337358</c:v>
                </c:pt>
                <c:pt idx="124">
                  <c:v>1.3478052367071207</c:v>
                </c:pt>
                <c:pt idx="125">
                  <c:v>1.3477780728962621</c:v>
                </c:pt>
                <c:pt idx="126">
                  <c:v>1.3477444272029193</c:v>
                </c:pt>
                <c:pt idx="127">
                  <c:v>1.3477226749884776</c:v>
                </c:pt>
                <c:pt idx="128">
                  <c:v>1.3476939592994688</c:v>
                </c:pt>
                <c:pt idx="129">
                  <c:v>1.347676698355414</c:v>
                </c:pt>
                <c:pt idx="130">
                  <c:v>1.3476520742469238</c:v>
                </c:pt>
                <c:pt idx="131">
                  <c:v>1.3476207422412101</c:v>
                </c:pt>
                <c:pt idx="132">
                  <c:v>1.3476010978132993</c:v>
                </c:pt>
                <c:pt idx="133">
                  <c:v>1.3475743023333995</c:v>
                </c:pt>
                <c:pt idx="134">
                  <c:v>1.3475587907140358</c:v>
                </c:pt>
                <c:pt idx="135">
                  <c:v>1.3475357602532689</c:v>
                </c:pt>
                <c:pt idx="136">
                  <c:v>1.3475236785941633</c:v>
                </c:pt>
                <c:pt idx="137">
                  <c:v>1.3475037728525432</c:v>
                </c:pt>
                <c:pt idx="138">
                  <c:v>1.3474945378356762</c:v>
                </c:pt>
                <c:pt idx="139">
                  <c:v>1.3474950239279289</c:v>
                </c:pt>
                <c:pt idx="140">
                  <c:v>1.3474865675006873</c:v>
                </c:pt>
                <c:pt idx="141">
                  <c:v>1.3474877628938433</c:v>
                </c:pt>
                <c:pt idx="142">
                  <c:v>1.3474799526449672</c:v>
                </c:pt>
                <c:pt idx="143">
                  <c:v>1.3474817367113905</c:v>
                </c:pt>
                <c:pt idx="144">
                  <c:v>1.3474922612699654</c:v>
                </c:pt>
                <c:pt idx="145">
                  <c:v>1.3474929499597397</c:v>
                </c:pt>
                <c:pt idx="146">
                  <c:v>1.3475024766220913</c:v>
                </c:pt>
                <c:pt idx="147">
                  <c:v>1.3475200547427844</c:v>
                </c:pt>
                <c:pt idx="148">
                  <c:v>1.3475271692797828</c:v>
                </c:pt>
                <c:pt idx="149">
                  <c:v>1.3475425499364504</c:v>
                </c:pt>
                <c:pt idx="150">
                  <c:v>1.3475476625674796</c:v>
                </c:pt>
                <c:pt idx="151">
                  <c:v>1.3475434209512589</c:v>
                </c:pt>
                <c:pt idx="152">
                  <c:v>1.3475306575466544</c:v>
                </c:pt>
                <c:pt idx="153">
                  <c:v>1.3475101307298456</c:v>
                </c:pt>
                <c:pt idx="154">
                  <c:v>1.3474825313871375</c:v>
                </c:pt>
                <c:pt idx="155">
                  <c:v>1.347466287442814</c:v>
                </c:pt>
                <c:pt idx="156">
                  <c:v>1.3474425898285958</c:v>
                </c:pt>
                <c:pt idx="157">
                  <c:v>1.3474299003877654</c:v>
                </c:pt>
                <c:pt idx="158">
                  <c:v>1.3474094409525015</c:v>
                </c:pt>
                <c:pt idx="159">
                  <c:v>1.3473997015166324</c:v>
                </c:pt>
                <c:pt idx="160">
                  <c:v>1.3473819295576923</c:v>
                </c:pt>
                <c:pt idx="161">
                  <c:v>1.3473746384326182</c:v>
                </c:pt>
                <c:pt idx="162">
                  <c:v>1.3473590969029083</c:v>
                </c:pt>
                <c:pt idx="163">
                  <c:v>1.3473360391935947</c:v>
                </c:pt>
                <c:pt idx="164">
                  <c:v>1.3473239327108621</c:v>
                </c:pt>
                <c:pt idx="165">
                  <c:v>1.3473218028764877</c:v>
                </c:pt>
                <c:pt idx="166">
                  <c:v>1.3473109633207536</c:v>
                </c:pt>
                <c:pt idx="167">
                  <c:v>1.3473099876662391</c:v>
                </c:pt>
                <c:pt idx="168">
                  <c:v>1.3473001995768883</c:v>
                </c:pt>
                <c:pt idx="169">
                  <c:v>1.3473001818160204</c:v>
                </c:pt>
              </c:numCache>
            </c:numRef>
          </c:val>
          <c:smooth val="0"/>
        </c:ser>
        <c:ser>
          <c:idx val="3"/>
          <c:order val="3"/>
          <c:tx>
            <c:v>EMA (a=0.3)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data!$E$31:$E$200</c:f>
              <c:numCache>
                <c:formatCode>General</c:formatCode>
                <c:ptCount val="170"/>
                <c:pt idx="0">
                  <c:v>1.3475436647068246</c:v>
                </c:pt>
                <c:pt idx="1">
                  <c:v>1.3475605652947773</c:v>
                </c:pt>
                <c:pt idx="2">
                  <c:v>1.3475423957063439</c:v>
                </c:pt>
                <c:pt idx="3">
                  <c:v>1.3475596769944407</c:v>
                </c:pt>
                <c:pt idx="4">
                  <c:v>1.3475417738961084</c:v>
                </c:pt>
                <c:pt idx="5">
                  <c:v>1.3474992417272758</c:v>
                </c:pt>
                <c:pt idx="6">
                  <c:v>1.347439469209093</c:v>
                </c:pt>
                <c:pt idx="7">
                  <c:v>1.3474276284463649</c:v>
                </c:pt>
                <c:pt idx="8">
                  <c:v>1.3474493399124552</c:v>
                </c:pt>
                <c:pt idx="9">
                  <c:v>1.3474945379387187</c:v>
                </c:pt>
                <c:pt idx="10">
                  <c:v>1.3475561765571029</c:v>
                </c:pt>
                <c:pt idx="11">
                  <c:v>1.3475693235899719</c:v>
                </c:pt>
                <c:pt idx="12">
                  <c:v>1.3475485265129803</c:v>
                </c:pt>
                <c:pt idx="13">
                  <c:v>1.3475039685590862</c:v>
                </c:pt>
                <c:pt idx="14">
                  <c:v>1.3474427779913603</c:v>
                </c:pt>
                <c:pt idx="15">
                  <c:v>1.3474299445939522</c:v>
                </c:pt>
                <c:pt idx="16">
                  <c:v>1.3474509612157664</c:v>
                </c:pt>
                <c:pt idx="17">
                  <c:v>1.3474956728510363</c:v>
                </c:pt>
                <c:pt idx="18">
                  <c:v>1.3474969709957254</c:v>
                </c:pt>
                <c:pt idx="19">
                  <c:v>1.3474678796970077</c:v>
                </c:pt>
                <c:pt idx="20">
                  <c:v>1.3474775157879053</c:v>
                </c:pt>
                <c:pt idx="21">
                  <c:v>1.3474542610515337</c:v>
                </c:pt>
                <c:pt idx="22">
                  <c:v>1.3474679827360734</c:v>
                </c:pt>
                <c:pt idx="23">
                  <c:v>1.3475075879152514</c:v>
                </c:pt>
                <c:pt idx="24">
                  <c:v>1.3475653115406758</c:v>
                </c:pt>
                <c:pt idx="25">
                  <c:v>1.347635718078473</c:v>
                </c:pt>
                <c:pt idx="26">
                  <c:v>1.3477150026549309</c:v>
                </c:pt>
                <c:pt idx="27">
                  <c:v>1.3477405018584516</c:v>
                </c:pt>
                <c:pt idx="28">
                  <c:v>1.3476983513009162</c:v>
                </c:pt>
                <c:pt idx="29">
                  <c:v>1.3476988459106414</c:v>
                </c:pt>
                <c:pt idx="30">
                  <c:v>1.3476691921374488</c:v>
                </c:pt>
                <c:pt idx="31">
                  <c:v>1.3476184344962141</c:v>
                </c:pt>
                <c:pt idx="32">
                  <c:v>1.3476129041473497</c:v>
                </c:pt>
                <c:pt idx="33">
                  <c:v>1.3475790329031447</c:v>
                </c:pt>
                <c:pt idx="34">
                  <c:v>1.3475253230322013</c:v>
                </c:pt>
                <c:pt idx="35">
                  <c:v>1.3474577261225409</c:v>
                </c:pt>
                <c:pt idx="36">
                  <c:v>1.3474404082857785</c:v>
                </c:pt>
                <c:pt idx="37">
                  <c:v>1.3473982858000448</c:v>
                </c:pt>
                <c:pt idx="38">
                  <c:v>1.3473988000600312</c:v>
                </c:pt>
                <c:pt idx="39">
                  <c:v>1.3473691600420217</c:v>
                </c:pt>
                <c:pt idx="40">
                  <c:v>1.347318412029415</c:v>
                </c:pt>
                <c:pt idx="41">
                  <c:v>1.3473128884205905</c:v>
                </c:pt>
                <c:pt idx="42">
                  <c:v>1.3473390218944132</c:v>
                </c:pt>
                <c:pt idx="43">
                  <c:v>1.3473273153260892</c:v>
                </c:pt>
                <c:pt idx="44">
                  <c:v>1.3472891207282625</c:v>
                </c:pt>
                <c:pt idx="45">
                  <c:v>1.3472323845097836</c:v>
                </c:pt>
                <c:pt idx="46">
                  <c:v>1.3472226691568485</c:v>
                </c:pt>
                <c:pt idx="47">
                  <c:v>1.3471858684097939</c:v>
                </c:pt>
                <c:pt idx="48">
                  <c:v>1.3471901078868558</c:v>
                </c:pt>
                <c:pt idx="49">
                  <c:v>1.347223075520799</c:v>
                </c:pt>
                <c:pt idx="50">
                  <c:v>1.3472161528645592</c:v>
                </c:pt>
                <c:pt idx="51">
                  <c:v>1.3472413070051914</c:v>
                </c:pt>
                <c:pt idx="52">
                  <c:v>1.3472889149036338</c:v>
                </c:pt>
                <c:pt idx="53">
                  <c:v>1.3472922404325436</c:v>
                </c:pt>
                <c:pt idx="54">
                  <c:v>1.3473245683027804</c:v>
                </c:pt>
                <c:pt idx="55">
                  <c:v>1.3473171978119463</c:v>
                </c:pt>
                <c:pt idx="56">
                  <c:v>1.3473420384683623</c:v>
                </c:pt>
                <c:pt idx="57">
                  <c:v>1.3474194269278534</c:v>
                </c:pt>
                <c:pt idx="58">
                  <c:v>1.3474435988494973</c:v>
                </c:pt>
                <c:pt idx="59">
                  <c:v>1.347490519194648</c:v>
                </c:pt>
                <c:pt idx="60">
                  <c:v>1.3474933634362536</c:v>
                </c:pt>
                <c:pt idx="61">
                  <c:v>1.3474653544053774</c:v>
                </c:pt>
                <c:pt idx="62">
                  <c:v>1.3474157480837641</c:v>
                </c:pt>
                <c:pt idx="63">
                  <c:v>1.3474110236586347</c:v>
                </c:pt>
                <c:pt idx="64">
                  <c:v>1.3474377165610443</c:v>
                </c:pt>
                <c:pt idx="65">
                  <c:v>1.3473964015927309</c:v>
                </c:pt>
                <c:pt idx="66">
                  <c:v>1.3473374811149115</c:v>
                </c:pt>
                <c:pt idx="67">
                  <c:v>1.3473262367804379</c:v>
                </c:pt>
                <c:pt idx="68">
                  <c:v>1.3472883657463064</c:v>
                </c:pt>
                <c:pt idx="69">
                  <c:v>1.3472918560224143</c:v>
                </c:pt>
                <c:pt idx="70">
                  <c:v>1.34726429921569</c:v>
                </c:pt>
                <c:pt idx="71">
                  <c:v>1.3472750094509829</c:v>
                </c:pt>
                <c:pt idx="72">
                  <c:v>1.347252506615688</c:v>
                </c:pt>
                <c:pt idx="73">
                  <c:v>1.3472667546309816</c:v>
                </c:pt>
                <c:pt idx="74">
                  <c:v>1.3472467282416871</c:v>
                </c:pt>
                <c:pt idx="75">
                  <c:v>1.3472627097691809</c:v>
                </c:pt>
                <c:pt idx="76">
                  <c:v>1.3472438968384266</c:v>
                </c:pt>
                <c:pt idx="77">
                  <c:v>1.3472607277868986</c:v>
                </c:pt>
                <c:pt idx="78">
                  <c:v>1.3472425094508289</c:v>
                </c:pt>
                <c:pt idx="79">
                  <c:v>1.3471997566155802</c:v>
                </c:pt>
                <c:pt idx="80">
                  <c:v>1.347199829630906</c:v>
                </c:pt>
                <c:pt idx="81">
                  <c:v>1.3472298807416341</c:v>
                </c:pt>
                <c:pt idx="82">
                  <c:v>1.3472809165191437</c:v>
                </c:pt>
                <c:pt idx="83">
                  <c:v>1.3473466415634006</c:v>
                </c:pt>
                <c:pt idx="84">
                  <c:v>1.3473626490943802</c:v>
                </c:pt>
                <c:pt idx="85">
                  <c:v>1.3473438543660661</c:v>
                </c:pt>
                <c:pt idx="86">
                  <c:v>1.3473606980562463</c:v>
                </c:pt>
                <c:pt idx="87">
                  <c:v>1.3473724886393723</c:v>
                </c:pt>
                <c:pt idx="88">
                  <c:v>1.3474407420475605</c:v>
                </c:pt>
                <c:pt idx="89">
                  <c:v>1.3474585194332922</c:v>
                </c:pt>
                <c:pt idx="90">
                  <c:v>1.3475009636033044</c:v>
                </c:pt>
                <c:pt idx="91">
                  <c:v>1.347560674522313</c:v>
                </c:pt>
                <c:pt idx="92">
                  <c:v>1.347572472165619</c:v>
                </c:pt>
                <c:pt idx="93">
                  <c:v>1.3476107305159331</c:v>
                </c:pt>
                <c:pt idx="94">
                  <c:v>1.3476675113611531</c:v>
                </c:pt>
                <c:pt idx="95">
                  <c:v>1.3476772579528071</c:v>
                </c:pt>
                <c:pt idx="96">
                  <c:v>1.347714080566965</c:v>
                </c:pt>
                <c:pt idx="97">
                  <c:v>1.3477698563968754</c:v>
                </c:pt>
                <c:pt idx="98">
                  <c:v>1.3478388994778128</c:v>
                </c:pt>
                <c:pt idx="99">
                  <c:v>1.3478572296344689</c:v>
                </c:pt>
                <c:pt idx="100">
                  <c:v>1.3478700607441283</c:v>
                </c:pt>
                <c:pt idx="101">
                  <c:v>1.3479090425208897</c:v>
                </c:pt>
                <c:pt idx="102">
                  <c:v>1.3479063297646228</c:v>
                </c:pt>
                <c:pt idx="103">
                  <c:v>1.3479344308352359</c:v>
                </c:pt>
                <c:pt idx="104">
                  <c:v>1.347924101584665</c:v>
                </c:pt>
                <c:pt idx="105">
                  <c:v>1.3479468711092655</c:v>
                </c:pt>
                <c:pt idx="106">
                  <c:v>1.3479328097764858</c:v>
                </c:pt>
                <c:pt idx="107">
                  <c:v>1.3479529668435399</c:v>
                </c:pt>
                <c:pt idx="108">
                  <c:v>1.3479370767904779</c:v>
                </c:pt>
                <c:pt idx="109">
                  <c:v>1.3479559537533345</c:v>
                </c:pt>
                <c:pt idx="110">
                  <c:v>1.3479991676273342</c:v>
                </c:pt>
                <c:pt idx="111">
                  <c:v>1.3480294173391338</c:v>
                </c:pt>
                <c:pt idx="112">
                  <c:v>1.3480805921373935</c:v>
                </c:pt>
                <c:pt idx="113">
                  <c:v>1.3480864144961755</c:v>
                </c:pt>
                <c:pt idx="114">
                  <c:v>1.3481204901473227</c:v>
                </c:pt>
                <c:pt idx="115">
                  <c:v>1.3481143431031259</c:v>
                </c:pt>
                <c:pt idx="116">
                  <c:v>1.3480800401721882</c:v>
                </c:pt>
                <c:pt idx="117">
                  <c:v>1.3480260281205316</c:v>
                </c:pt>
                <c:pt idx="118">
                  <c:v>1.3479582196843722</c:v>
                </c:pt>
                <c:pt idx="119">
                  <c:v>1.3479407537790604</c:v>
                </c:pt>
                <c:pt idx="120">
                  <c:v>1.3478985276453423</c:v>
                </c:pt>
                <c:pt idx="121">
                  <c:v>1.3478389693517396</c:v>
                </c:pt>
                <c:pt idx="122">
                  <c:v>1.3477672785462178</c:v>
                </c:pt>
                <c:pt idx="123">
                  <c:v>1.3476870949823523</c:v>
                </c:pt>
                <c:pt idx="124">
                  <c:v>1.3476009664876465</c:v>
                </c:pt>
                <c:pt idx="125">
                  <c:v>1.3475706765413524</c:v>
                </c:pt>
                <c:pt idx="126">
                  <c:v>1.3475194735789466</c:v>
                </c:pt>
                <c:pt idx="127">
                  <c:v>1.3475136315052625</c:v>
                </c:pt>
                <c:pt idx="128">
                  <c:v>1.3474795420536836</c:v>
                </c:pt>
                <c:pt idx="129">
                  <c:v>1.3474856794375785</c:v>
                </c:pt>
                <c:pt idx="130">
                  <c:v>1.3474599756063048</c:v>
                </c:pt>
                <c:pt idx="131">
                  <c:v>1.3474119829244133</c:v>
                </c:pt>
                <c:pt idx="132">
                  <c:v>1.3474083880470893</c:v>
                </c:pt>
                <c:pt idx="133">
                  <c:v>1.3473758716329625</c:v>
                </c:pt>
                <c:pt idx="134">
                  <c:v>1.3473831101430735</c:v>
                </c:pt>
                <c:pt idx="135">
                  <c:v>1.3473581771001515</c:v>
                </c:pt>
                <c:pt idx="136">
                  <c:v>1.347370723970106</c:v>
                </c:pt>
                <c:pt idx="137">
                  <c:v>1.3473495067790742</c:v>
                </c:pt>
                <c:pt idx="138">
                  <c:v>1.3473646547453517</c:v>
                </c:pt>
                <c:pt idx="139">
                  <c:v>1.3474052583217462</c:v>
                </c:pt>
                <c:pt idx="140">
                  <c:v>1.3474036808252223</c:v>
                </c:pt>
                <c:pt idx="141">
                  <c:v>1.3474325765776556</c:v>
                </c:pt>
                <c:pt idx="142">
                  <c:v>1.3474228036043587</c:v>
                </c:pt>
                <c:pt idx="143">
                  <c:v>1.347445962523051</c:v>
                </c:pt>
                <c:pt idx="144">
                  <c:v>1.3474921737661356</c:v>
                </c:pt>
                <c:pt idx="145">
                  <c:v>1.3474945216362948</c:v>
                </c:pt>
                <c:pt idx="146">
                  <c:v>1.3475261651454062</c:v>
                </c:pt>
                <c:pt idx="147">
                  <c:v>1.3475783156017842</c:v>
                </c:pt>
                <c:pt idx="148">
                  <c:v>1.3475848209212489</c:v>
                </c:pt>
                <c:pt idx="149">
                  <c:v>1.3476193746448741</c:v>
                </c:pt>
                <c:pt idx="150">
                  <c:v>1.3476135622514118</c:v>
                </c:pt>
                <c:pt idx="151">
                  <c:v>1.3475794935759882</c:v>
                </c:pt>
                <c:pt idx="152">
                  <c:v>1.3475256455031916</c:v>
                </c:pt>
                <c:pt idx="153">
                  <c:v>1.347457951852234</c:v>
                </c:pt>
                <c:pt idx="154">
                  <c:v>1.3473805662965637</c:v>
                </c:pt>
                <c:pt idx="155">
                  <c:v>1.3473563964075945</c:v>
                </c:pt>
                <c:pt idx="156">
                  <c:v>1.347309477485316</c:v>
                </c:pt>
                <c:pt idx="157">
                  <c:v>1.3473066342397211</c:v>
                </c:pt>
                <c:pt idx="158">
                  <c:v>1.3472746439678045</c:v>
                </c:pt>
                <c:pt idx="159">
                  <c:v>1.3472822507774631</c:v>
                </c:pt>
                <c:pt idx="160">
                  <c:v>1.3472575755442242</c:v>
                </c:pt>
                <c:pt idx="161">
                  <c:v>1.3472703028809569</c:v>
                </c:pt>
                <c:pt idx="162">
                  <c:v>1.3472492120166697</c:v>
                </c:pt>
                <c:pt idx="163">
                  <c:v>1.3472044484116688</c:v>
                </c:pt>
                <c:pt idx="164">
                  <c:v>1.3472031138881682</c:v>
                </c:pt>
                <c:pt idx="165">
                  <c:v>1.3472321797217177</c:v>
                </c:pt>
                <c:pt idx="166">
                  <c:v>1.3472225258052024</c:v>
                </c:pt>
                <c:pt idx="167">
                  <c:v>1.3472457680636416</c:v>
                </c:pt>
                <c:pt idx="168">
                  <c:v>1.347232037644549</c:v>
                </c:pt>
                <c:pt idx="169">
                  <c:v>1.3472524263511843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254528"/>
        <c:axId val="235256448"/>
      </c:lineChart>
      <c:catAx>
        <c:axId val="235254528"/>
        <c:scaling>
          <c:orientation val="minMax"/>
        </c:scaling>
        <c:delete val="0"/>
        <c:axPos val="b"/>
        <c:majorTickMark val="none"/>
        <c:minorTickMark val="none"/>
        <c:tickLblPos val="nextTo"/>
        <c:crossAx val="235256448"/>
        <c:crosses val="autoZero"/>
        <c:auto val="1"/>
        <c:lblAlgn val="ctr"/>
        <c:lblOffset val="100"/>
        <c:tickLblSkip val="25"/>
        <c:tickMarkSkip val="25"/>
        <c:noMultiLvlLbl val="0"/>
      </c:catAx>
      <c:valAx>
        <c:axId val="235256448"/>
        <c:scaling>
          <c:orientation val="minMax"/>
          <c:max val="1.3483000000000001"/>
          <c:min val="1.3468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ysDash"/>
            </a:ln>
          </c:spPr>
        </c:majorGridlines>
        <c:numFmt formatCode="General" sourceLinked="1"/>
        <c:majorTickMark val="none"/>
        <c:minorTickMark val="none"/>
        <c:tickLblPos val="nextTo"/>
        <c:crossAx val="23525452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552450</xdr:colOff>
      <xdr:row>6</xdr:row>
      <xdr:rowOff>85725</xdr:rowOff>
    </xdr:from>
    <xdr:to>
      <xdr:col>19</xdr:col>
      <xdr:colOff>361950</xdr:colOff>
      <xdr:row>23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26</xdr:row>
      <xdr:rowOff>0</xdr:rowOff>
    </xdr:from>
    <xdr:to>
      <xdr:col>19</xdr:col>
      <xdr:colOff>85725</xdr:colOff>
      <xdr:row>44</xdr:row>
      <xdr:rowOff>19050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2"/>
  <sheetViews>
    <sheetView tabSelected="1" topLeftCell="A16" workbookViewId="0">
      <selection activeCell="U31" sqref="U31"/>
    </sheetView>
  </sheetViews>
  <sheetFormatPr defaultRowHeight="15" x14ac:dyDescent="0.25"/>
  <cols>
    <col min="7" max="8" width="12" bestFit="1" customWidth="1"/>
    <col min="10" max="10" width="12" bestFit="1" customWidth="1"/>
  </cols>
  <sheetData>
    <row r="1" spans="1:12" x14ac:dyDescent="0.25">
      <c r="A1" t="s">
        <v>0</v>
      </c>
      <c r="B1" t="s">
        <v>8</v>
      </c>
      <c r="C1" t="s">
        <v>6</v>
      </c>
      <c r="D1" t="s">
        <v>4</v>
      </c>
      <c r="E1" t="s">
        <v>5</v>
      </c>
      <c r="K1" s="2" t="s">
        <v>1</v>
      </c>
      <c r="L1" s="2">
        <v>8.8992608768488968E-2</v>
      </c>
    </row>
    <row r="2" spans="1:12" x14ac:dyDescent="0.25">
      <c r="A2">
        <v>0</v>
      </c>
      <c r="B2">
        <v>1.3464</v>
      </c>
      <c r="D2">
        <f>B2</f>
        <v>1.3464</v>
      </c>
      <c r="E2">
        <f>B2</f>
        <v>1.3464</v>
      </c>
      <c r="G2">
        <v>0</v>
      </c>
      <c r="K2" s="2" t="s">
        <v>2</v>
      </c>
      <c r="L2" s="2">
        <v>0.10442383412135087</v>
      </c>
    </row>
    <row r="3" spans="1:12" x14ac:dyDescent="0.25">
      <c r="A3">
        <v>1</v>
      </c>
      <c r="B3">
        <v>1.3463000000000001</v>
      </c>
      <c r="D3">
        <f>alpha*B3+(1-alpha)*D2</f>
        <v>1.3463911007391232</v>
      </c>
      <c r="E3">
        <f>0.3*B3+(1-0.3)*E2</f>
        <v>1.3463700000000001</v>
      </c>
      <c r="G3">
        <f>SQRT(alpha2*(B3-D3)^2+(1-alpha2)*G2^2)</f>
        <v>2.943890947382763E-5</v>
      </c>
    </row>
    <row r="4" spans="1:12" x14ac:dyDescent="0.25">
      <c r="A4">
        <v>17</v>
      </c>
      <c r="B4">
        <v>1.3462000000000001</v>
      </c>
      <c r="D4" s="1">
        <f>alpha*B4+(1-alpha)*D3</f>
        <v>1.3463740941858111</v>
      </c>
      <c r="E4">
        <f t="shared" ref="E4:E67" si="0">0.3*B4+(1-0.3)*E3</f>
        <v>1.3463189999999998</v>
      </c>
      <c r="G4">
        <f>SQRT(alpha2*(B4-D4)^2+(1-alpha2)*G3^2)</f>
        <v>6.2778261617377231E-5</v>
      </c>
      <c r="K4" t="s">
        <v>3</v>
      </c>
    </row>
    <row r="5" spans="1:12" x14ac:dyDescent="0.25">
      <c r="A5">
        <v>23</v>
      </c>
      <c r="B5">
        <v>1.3463000000000001</v>
      </c>
      <c r="D5" s="1">
        <f>alpha*B5+(1-alpha)*D4</f>
        <v>1.3463675003509212</v>
      </c>
      <c r="E5">
        <f t="shared" si="0"/>
        <v>1.3463132999999998</v>
      </c>
      <c r="G5">
        <f>SQRT(alpha2*(B5-D5)^2+(1-alpha2)*G4^2)</f>
        <v>6.3287837238238339E-5</v>
      </c>
      <c r="K5" s="2">
        <f>SUM(H31:H502)</f>
        <v>5.4699240128941642E-7</v>
      </c>
    </row>
    <row r="6" spans="1:12" x14ac:dyDescent="0.25">
      <c r="A6">
        <v>46</v>
      </c>
      <c r="B6">
        <v>1.3464</v>
      </c>
      <c r="D6" s="1">
        <f>alpha*B6+(1-alpha)*D5</f>
        <v>1.346370392579477</v>
      </c>
      <c r="E6">
        <f t="shared" si="0"/>
        <v>1.3463393099999998</v>
      </c>
      <c r="G6">
        <f>SQRT(alpha2*(B6-D6)^2+(1-alpha2)*G5^2)</f>
        <v>6.0651744968058744E-5</v>
      </c>
    </row>
    <row r="7" spans="1:12" x14ac:dyDescent="0.25">
      <c r="A7">
        <v>51</v>
      </c>
      <c r="B7">
        <v>1.3465</v>
      </c>
      <c r="D7" s="1">
        <f>alpha*B7+(1-alpha)*D6</f>
        <v>1.3463819266819452</v>
      </c>
      <c r="E7">
        <f t="shared" si="0"/>
        <v>1.3463875169999997</v>
      </c>
      <c r="G7">
        <f>SQRT(alpha2*(B7-D7)^2+(1-alpha2)*G6^2)</f>
        <v>6.8922434396624752E-5</v>
      </c>
    </row>
    <row r="8" spans="1:12" x14ac:dyDescent="0.25">
      <c r="A8">
        <v>68</v>
      </c>
      <c r="B8">
        <v>1.3464</v>
      </c>
      <c r="D8" s="1">
        <f>alpha*B8+(1-alpha)*D7</f>
        <v>1.3463835350736681</v>
      </c>
      <c r="E8">
        <f t="shared" si="0"/>
        <v>1.3463912618999998</v>
      </c>
      <c r="G8">
        <f>SQRT(alpha2*(B8-D8)^2+(1-alpha2)*G7^2)</f>
        <v>6.5441316252349977E-5</v>
      </c>
    </row>
    <row r="9" spans="1:12" x14ac:dyDescent="0.25">
      <c r="A9">
        <v>74</v>
      </c>
      <c r="B9">
        <v>1.3465</v>
      </c>
      <c r="D9" s="1">
        <f>alpha*B9+(1-alpha)*D8</f>
        <v>1.3463938995912925</v>
      </c>
      <c r="E9">
        <f t="shared" si="0"/>
        <v>1.3464238833299997</v>
      </c>
      <c r="G9">
        <f>SQRT(alpha2*(B9-D9)^2+(1-alpha2)*G8^2)</f>
        <v>7.0787668493106924E-5</v>
      </c>
    </row>
    <row r="10" spans="1:12" x14ac:dyDescent="0.25">
      <c r="A10">
        <v>84</v>
      </c>
      <c r="B10">
        <v>1.3466</v>
      </c>
      <c r="D10" s="1">
        <f>alpha*B10+(1-alpha)*D9</f>
        <v>1.3464122410043318</v>
      </c>
      <c r="E10">
        <f t="shared" si="0"/>
        <v>1.3464767183309998</v>
      </c>
      <c r="G10">
        <f>SQRT(alpha2*(B10-D10)^2+(1-alpha2)*G9^2)</f>
        <v>9.0382170055437861E-5</v>
      </c>
    </row>
    <row r="11" spans="1:12" x14ac:dyDescent="0.25">
      <c r="A11">
        <v>104</v>
      </c>
      <c r="B11">
        <v>1.3465</v>
      </c>
      <c r="D11" s="1">
        <f>alpha*B11+(1-alpha)*D10</f>
        <v>1.3464200509062993</v>
      </c>
      <c r="E11">
        <f t="shared" si="0"/>
        <v>1.3464837028316998</v>
      </c>
      <c r="G11">
        <f>SQRT(alpha2*(B11-D11)^2+(1-alpha2)*G10^2)</f>
        <v>8.9349690837859332E-5</v>
      </c>
    </row>
    <row r="12" spans="1:12" x14ac:dyDescent="0.25">
      <c r="A12">
        <v>156</v>
      </c>
      <c r="B12">
        <v>1.3464</v>
      </c>
      <c r="D12" s="1">
        <f>alpha*B12+(1-alpha)*D11</f>
        <v>1.3464182665238398</v>
      </c>
      <c r="E12">
        <f t="shared" si="0"/>
        <v>1.3464585919821899</v>
      </c>
      <c r="G12">
        <f>SQRT(alpha2*(B12-D12)^2+(1-alpha2)*G11^2)</f>
        <v>8.4761760876971072E-5</v>
      </c>
    </row>
    <row r="13" spans="1:12" x14ac:dyDescent="0.25">
      <c r="A13">
        <v>198</v>
      </c>
      <c r="B13">
        <v>1.3465</v>
      </c>
      <c r="D13" s="1">
        <f>alpha*B13+(1-alpha)*D12</f>
        <v>1.3464255401991072</v>
      </c>
      <c r="E13">
        <f t="shared" si="0"/>
        <v>1.3464710143875329</v>
      </c>
      <c r="G13">
        <f>SQRT(alpha2*(B13-D13)^2+(1-alpha2)*G12^2)</f>
        <v>8.3745270325572222E-5</v>
      </c>
    </row>
    <row r="14" spans="1:12" x14ac:dyDescent="0.25">
      <c r="A14">
        <v>202</v>
      </c>
      <c r="B14">
        <v>1.3466</v>
      </c>
      <c r="D14" s="1">
        <f>alpha*B14+(1-alpha)*D13</f>
        <v>1.3464410658319139</v>
      </c>
      <c r="E14">
        <f t="shared" si="0"/>
        <v>1.3465097100712731</v>
      </c>
      <c r="G14">
        <f>SQRT(alpha2*(B14-D14)^2+(1-alpha2)*G13^2)</f>
        <v>9.4438715918815149E-5</v>
      </c>
    </row>
    <row r="15" spans="1:12" x14ac:dyDescent="0.25">
      <c r="A15">
        <v>250</v>
      </c>
      <c r="B15">
        <v>1.3467</v>
      </c>
      <c r="D15" s="1">
        <f>alpha*B15+(1-alpha)*D14</f>
        <v>1.3464641090590315</v>
      </c>
      <c r="E15">
        <f t="shared" si="0"/>
        <v>1.3465667970498911</v>
      </c>
      <c r="G15">
        <f>SQRT(alpha2*(B15-D15)^2+(1-alpha2)*G14^2)</f>
        <v>1.174647395470088E-4</v>
      </c>
    </row>
    <row r="16" spans="1:12" x14ac:dyDescent="0.25">
      <c r="A16">
        <v>279</v>
      </c>
      <c r="B16">
        <v>1.3468</v>
      </c>
      <c r="D16" s="1">
        <f>alpha*B16+(1-alpha)*D15</f>
        <v>1.34649400087013</v>
      </c>
      <c r="E16">
        <f t="shared" si="0"/>
        <v>1.3466367579349237</v>
      </c>
      <c r="G16">
        <f>SQRT(alpha2*(B16-D16)^2+(1-alpha2)*G15^2)</f>
        <v>1.4877803315259676E-4</v>
      </c>
    </row>
    <row r="17" spans="1:8" x14ac:dyDescent="0.25">
      <c r="A17">
        <v>281</v>
      </c>
      <c r="B17">
        <v>1.3468</v>
      </c>
      <c r="D17" s="1">
        <f>alpha*B17+(1-alpha)*D16</f>
        <v>1.3465212325309781</v>
      </c>
      <c r="E17">
        <f t="shared" si="0"/>
        <v>1.3466857305544464</v>
      </c>
      <c r="G17">
        <f>SQRT(alpha2*(B17-D17)^2+(1-alpha2)*G16^2)</f>
        <v>1.6714785006393274E-4</v>
      </c>
    </row>
    <row r="18" spans="1:8" x14ac:dyDescent="0.25">
      <c r="A18">
        <v>285</v>
      </c>
      <c r="B18">
        <v>1.3469</v>
      </c>
      <c r="D18" s="1">
        <f>alpha*B18+(1-alpha)*D17</f>
        <v>1.3465549400361629</v>
      </c>
      <c r="E18">
        <f t="shared" si="0"/>
        <v>1.3467500113881123</v>
      </c>
      <c r="G18">
        <f>SQRT(alpha2*(B18-D18)^2+(1-alpha2)*G17^2)</f>
        <v>1.9353122825999677E-4</v>
      </c>
    </row>
    <row r="19" spans="1:8" x14ac:dyDescent="0.25">
      <c r="A19">
        <v>302</v>
      </c>
      <c r="B19">
        <v>1.347</v>
      </c>
      <c r="D19" s="1">
        <f>alpha*B19+(1-alpha)*D18</f>
        <v>1.3465945470834033</v>
      </c>
      <c r="E19">
        <f t="shared" si="0"/>
        <v>1.3468250079716786</v>
      </c>
      <c r="G19">
        <f>SQRT(alpha2*(B19-D19)^2+(1-alpha2)*G18^2)</f>
        <v>2.2518805675517321E-4</v>
      </c>
    </row>
    <row r="20" spans="1:8" x14ac:dyDescent="0.25">
      <c r="A20">
        <v>310</v>
      </c>
      <c r="B20">
        <v>1.3471</v>
      </c>
      <c r="D20" s="1">
        <f>alpha*B20+(1-alpha)*D19</f>
        <v>1.3466395286570609</v>
      </c>
      <c r="E20">
        <f t="shared" si="0"/>
        <v>1.3469075055801749</v>
      </c>
      <c r="G20">
        <f>SQRT(alpha2*(B20-D20)^2+(1-alpha2)*G19^2)</f>
        <v>2.5991489389355985E-4</v>
      </c>
    </row>
    <row r="21" spans="1:8" x14ac:dyDescent="0.25">
      <c r="A21">
        <v>320</v>
      </c>
      <c r="B21">
        <v>1.3472</v>
      </c>
      <c r="D21" s="1">
        <f>alpha*B21+(1-alpha)*D20</f>
        <v>1.3466894064640091</v>
      </c>
      <c r="E21">
        <f t="shared" si="0"/>
        <v>1.3469952539061223</v>
      </c>
      <c r="G21">
        <f>SQRT(alpha2*(B21-D21)^2+(1-alpha2)*G20^2)</f>
        <v>2.9618442962397123E-4</v>
      </c>
    </row>
    <row r="22" spans="1:8" x14ac:dyDescent="0.25">
      <c r="A22">
        <v>327</v>
      </c>
      <c r="B22">
        <v>1.3472999999999999</v>
      </c>
      <c r="D22" s="1">
        <f>alpha*B22+(1-alpha)*D21</f>
        <v>1.3467437447756743</v>
      </c>
      <c r="E22">
        <f t="shared" si="0"/>
        <v>1.3470866777342856</v>
      </c>
      <c r="G22">
        <f>SQRT(alpha2*(B22-D22)^2+(1-alpha2)*G21^2)</f>
        <v>3.3297961284304526E-4</v>
      </c>
    </row>
    <row r="23" spans="1:8" x14ac:dyDescent="0.25">
      <c r="A23">
        <v>328</v>
      </c>
      <c r="B23">
        <v>1.3472</v>
      </c>
      <c r="D23" s="1">
        <f>alpha*B23+(1-alpha)*D22</f>
        <v>1.3467843481183515</v>
      </c>
      <c r="E23">
        <f t="shared" si="0"/>
        <v>1.3471206744139999</v>
      </c>
      <c r="G23">
        <f>SQRT(alpha2*(B23-D23)^2+(1-alpha2)*G22^2)</f>
        <v>3.4254682130385549E-4</v>
      </c>
    </row>
    <row r="24" spans="1:8" x14ac:dyDescent="0.25">
      <c r="A24">
        <v>329</v>
      </c>
      <c r="B24">
        <v>1.3472999999999999</v>
      </c>
      <c r="D24" s="1">
        <f>alpha*B24+(1-alpha)*D23</f>
        <v>1.3468302373245158</v>
      </c>
      <c r="E24">
        <f t="shared" si="0"/>
        <v>1.3471744720897998</v>
      </c>
      <c r="G24">
        <f>SQRT(alpha2*(B24-D24)^2+(1-alpha2)*G23^2)</f>
        <v>3.5795159234881102E-4</v>
      </c>
    </row>
    <row r="25" spans="1:8" x14ac:dyDescent="0.25">
      <c r="A25">
        <v>330</v>
      </c>
      <c r="B25">
        <v>1.3473999999999999</v>
      </c>
      <c r="D25" s="1">
        <f>alpha*B25+(1-alpha)*D24</f>
        <v>1.3468809419913863</v>
      </c>
      <c r="E25">
        <f t="shared" si="0"/>
        <v>1.3472421304628597</v>
      </c>
      <c r="G25">
        <f>SQRT(alpha2*(B25-D25)^2+(1-alpha2)*G24^2)</f>
        <v>3.7799944664206292E-4</v>
      </c>
    </row>
    <row r="26" spans="1:8" x14ac:dyDescent="0.25">
      <c r="A26">
        <v>334</v>
      </c>
      <c r="B26">
        <v>1.3472999999999999</v>
      </c>
      <c r="D26" s="1">
        <f>alpha*B26+(1-alpha)*D25</f>
        <v>1.3469182350567983</v>
      </c>
      <c r="E26">
        <f t="shared" si="0"/>
        <v>1.3472594913240017</v>
      </c>
      <c r="G26">
        <f>SQRT(alpha2*(B26-D26)^2+(1-alpha2)*G25^2)</f>
        <v>3.7839440638700862E-4</v>
      </c>
    </row>
    <row r="27" spans="1:8" x14ac:dyDescent="0.25">
      <c r="A27">
        <v>336</v>
      </c>
      <c r="B27">
        <v>1.3473999999999999</v>
      </c>
      <c r="D27" s="1">
        <f>alpha*B27+(1-alpha)*D26</f>
        <v>1.3469611085759072</v>
      </c>
      <c r="E27">
        <f t="shared" si="0"/>
        <v>1.3473016439268011</v>
      </c>
      <c r="G27">
        <f>SQRT(alpha2*(B27-D27)^2+(1-alpha2)*G26^2)</f>
        <v>3.8515632089217231E-4</v>
      </c>
    </row>
    <row r="28" spans="1:8" x14ac:dyDescent="0.25">
      <c r="A28">
        <v>345</v>
      </c>
      <c r="B28">
        <v>1.3475999999999999</v>
      </c>
      <c r="D28" s="1">
        <f>alpha*B28+(1-alpha)*D27</f>
        <v>1.347017965190457</v>
      </c>
      <c r="E28">
        <f t="shared" si="0"/>
        <v>1.3473911507487606</v>
      </c>
      <c r="G28">
        <f>SQRT(alpha2*(B28-D28)^2+(1-alpha2)*G27^2)</f>
        <v>4.1015812433575598E-4</v>
      </c>
    </row>
    <row r="29" spans="1:8" x14ac:dyDescent="0.25">
      <c r="A29">
        <v>368</v>
      </c>
      <c r="B29">
        <v>1.3474999999999999</v>
      </c>
      <c r="D29" s="1">
        <f>alpha*B29+(1-alpha)*D28</f>
        <v>1.3470608627256755</v>
      </c>
      <c r="E29">
        <f t="shared" si="0"/>
        <v>1.3474238055241323</v>
      </c>
      <c r="G29">
        <f>SQRT(alpha2*(B29-D29)^2+(1-alpha2)*G28^2)</f>
        <v>4.1327926588853532E-4</v>
      </c>
    </row>
    <row r="30" spans="1:8" x14ac:dyDescent="0.25">
      <c r="A30">
        <v>371</v>
      </c>
      <c r="B30">
        <v>1.3475999999999999</v>
      </c>
      <c r="D30" s="1">
        <f>alpha*B30+(1-alpha)*D29</f>
        <v>1.347108841958202</v>
      </c>
      <c r="E30">
        <f t="shared" si="0"/>
        <v>1.3474766638668925</v>
      </c>
      <c r="F30" t="s">
        <v>7</v>
      </c>
      <c r="G30">
        <f>SQRT(alpha2*(B30-D30)^2+(1-alpha2)*G29^2)</f>
        <v>4.2208411237037611E-4</v>
      </c>
    </row>
    <row r="31" spans="1:8" x14ac:dyDescent="0.25">
      <c r="A31">
        <v>381</v>
      </c>
      <c r="B31">
        <v>1.3476999999999999</v>
      </c>
      <c r="C31">
        <f>AVERAGE(B2:B31)</f>
        <v>1.3468800000000001</v>
      </c>
      <c r="D31" s="1">
        <f>alpha*B31+(1-alpha)*D30</f>
        <v>1.3471614506545362</v>
      </c>
      <c r="E31">
        <f t="shared" si="0"/>
        <v>1.3475436647068246</v>
      </c>
      <c r="F31">
        <f>STDEV(B2:B31)</f>
        <v>4.6490636802955834E-4</v>
      </c>
      <c r="G31">
        <f>SQRT(alpha2*(B31-D31)^2+(1-alpha2)*G30^2)</f>
        <v>4.3570400296883712E-4</v>
      </c>
      <c r="H31">
        <f>(F31-G31)^2</f>
        <v>8.5277812513963134E-10</v>
      </c>
    </row>
    <row r="32" spans="1:8" x14ac:dyDescent="0.25">
      <c r="A32">
        <v>388</v>
      </c>
      <c r="B32">
        <v>1.3475999999999999</v>
      </c>
      <c r="C32">
        <f t="shared" ref="C32:C95" si="1">AVERAGE(B3:B32)</f>
        <v>1.3469200000000003</v>
      </c>
      <c r="D32" s="1">
        <f>alpha*B32+(1-alpha)*D31</f>
        <v>1.3472004783048628</v>
      </c>
      <c r="E32">
        <f t="shared" si="0"/>
        <v>1.3475605652947773</v>
      </c>
      <c r="F32">
        <f>STDEV(B3:B32)</f>
        <v>4.7372332970141846E-4</v>
      </c>
      <c r="G32">
        <f>SQRT(alpha2*(B32-D32)^2+(1-alpha2)*G31^2)</f>
        <v>4.3206741240709882E-4</v>
      </c>
      <c r="H32">
        <f t="shared" ref="H32:H95" si="2">(F32-G32)^2</f>
        <v>1.735215445631198E-9</v>
      </c>
    </row>
    <row r="33" spans="1:8" x14ac:dyDescent="0.25">
      <c r="A33">
        <v>392</v>
      </c>
      <c r="B33">
        <v>1.3474999999999999</v>
      </c>
      <c r="C33">
        <f t="shared" si="1"/>
        <v>1.3469600000000002</v>
      </c>
      <c r="D33" s="1">
        <f>alpha*B33+(1-alpha)*D32</f>
        <v>1.3472271335218957</v>
      </c>
      <c r="E33">
        <f t="shared" si="0"/>
        <v>1.3475423957063439</v>
      </c>
      <c r="F33">
        <f>STDEV(B4:B33)</f>
        <v>4.7021638452505397E-4</v>
      </c>
      <c r="G33">
        <f>SQRT(alpha2*(B33-D33)^2+(1-alpha2)*G32^2)</f>
        <v>4.1828598549818909E-4</v>
      </c>
      <c r="H33">
        <f t="shared" si="2"/>
        <v>2.696766343089409E-9</v>
      </c>
    </row>
    <row r="34" spans="1:8" x14ac:dyDescent="0.25">
      <c r="A34">
        <v>402</v>
      </c>
      <c r="B34">
        <v>1.3475999999999999</v>
      </c>
      <c r="C34">
        <f t="shared" si="1"/>
        <v>1.3470066666666667</v>
      </c>
      <c r="D34" s="1">
        <f>alpha*B34+(1-alpha)*D33</f>
        <v>1.3472603158825045</v>
      </c>
      <c r="E34">
        <f t="shared" si="0"/>
        <v>1.3475596769944407</v>
      </c>
      <c r="F34">
        <f>STDEV(B5:B34)</f>
        <v>4.6158148929990785E-4</v>
      </c>
      <c r="G34">
        <f>SQRT(alpha2*(B34-D34)^2+(1-alpha2)*G33^2)</f>
        <v>4.1078195733163772E-4</v>
      </c>
      <c r="H34">
        <f t="shared" si="2"/>
        <v>2.5805924481952991E-9</v>
      </c>
    </row>
    <row r="35" spans="1:8" x14ac:dyDescent="0.25">
      <c r="A35">
        <v>403</v>
      </c>
      <c r="B35">
        <v>1.3474999999999999</v>
      </c>
      <c r="C35">
        <f t="shared" si="1"/>
        <v>1.3470466666666669</v>
      </c>
      <c r="D35" s="1">
        <f>alpha*B35+(1-alpha)*D34</f>
        <v>1.3472816459974009</v>
      </c>
      <c r="E35">
        <f t="shared" si="0"/>
        <v>1.3475417738961084</v>
      </c>
      <c r="F35">
        <f>STDEV(B6:B35)</f>
        <v>4.5008300639285797E-4</v>
      </c>
      <c r="G35">
        <f>SQRT(alpha2*(B35-D35)^2+(1-alpha2)*G34^2)</f>
        <v>3.9509482115871039E-4</v>
      </c>
      <c r="H35">
        <f t="shared" si="2"/>
        <v>3.0237005153449262E-9</v>
      </c>
    </row>
    <row r="36" spans="1:8" x14ac:dyDescent="0.25">
      <c r="A36">
        <v>407</v>
      </c>
      <c r="B36">
        <v>1.3473999999999999</v>
      </c>
      <c r="C36">
        <f t="shared" si="1"/>
        <v>1.3470800000000003</v>
      </c>
      <c r="D36" s="1">
        <f>alpha*B36+(1-alpha)*D35</f>
        <v>1.3472921786288503</v>
      </c>
      <c r="E36">
        <f t="shared" si="0"/>
        <v>1.3474992417272758</v>
      </c>
      <c r="F36">
        <f>STDEV(B7:B36)</f>
        <v>4.3739038035551722E-4</v>
      </c>
      <c r="G36">
        <f>SQRT(alpha2*(B36-D36)^2+(1-alpha2)*G35^2)</f>
        <v>3.7551742922937119E-4</v>
      </c>
      <c r="H36">
        <f t="shared" si="2"/>
        <v>3.8282620810584553E-9</v>
      </c>
    </row>
    <row r="37" spans="1:8" x14ac:dyDescent="0.25">
      <c r="A37">
        <v>413</v>
      </c>
      <c r="B37">
        <v>1.3472999999999999</v>
      </c>
      <c r="C37">
        <f t="shared" si="1"/>
        <v>1.3471066666666665</v>
      </c>
      <c r="D37" s="1">
        <f>alpha*B37+(1-alpha)*D36</f>
        <v>1.3472928746730732</v>
      </c>
      <c r="E37">
        <f t="shared" si="0"/>
        <v>1.347439469209093</v>
      </c>
      <c r="F37">
        <f>STDEV(B8:B37)</f>
        <v>4.2502197373886415E-4</v>
      </c>
      <c r="G37">
        <f>SQRT(alpha2*(B37-D37)^2+(1-alpha2)*G36^2)</f>
        <v>3.5537795048890664E-4</v>
      </c>
      <c r="H37">
        <f t="shared" si="2"/>
        <v>4.850289974440623E-9</v>
      </c>
    </row>
    <row r="38" spans="1:8" x14ac:dyDescent="0.25">
      <c r="A38">
        <v>415</v>
      </c>
      <c r="B38">
        <v>1.3473999999999999</v>
      </c>
      <c r="C38">
        <f t="shared" si="1"/>
        <v>1.3471399999999998</v>
      </c>
      <c r="D38" s="1">
        <f>alpha*B38+(1-alpha)*D37</f>
        <v>1.3473024080353815</v>
      </c>
      <c r="E38">
        <f t="shared" si="0"/>
        <v>1.3474276284463649</v>
      </c>
      <c r="F38">
        <f>STDEV(B9:B38)</f>
        <v>4.0649892903955897E-4</v>
      </c>
      <c r="G38">
        <f>SQRT(alpha2*(B38-D38)^2+(1-alpha2)*G37^2)</f>
        <v>3.3778690040255299E-4</v>
      </c>
      <c r="H38">
        <f t="shared" si="2"/>
        <v>4.7213428794127292E-9</v>
      </c>
    </row>
    <row r="39" spans="1:8" x14ac:dyDescent="0.25">
      <c r="A39">
        <v>483</v>
      </c>
      <c r="B39">
        <v>1.3474999999999999</v>
      </c>
      <c r="C39">
        <f t="shared" si="1"/>
        <v>1.3471733333333331</v>
      </c>
      <c r="D39" s="1">
        <f>alpha*B39+(1-alpha)*D38</f>
        <v>1.3473199922597845</v>
      </c>
      <c r="E39">
        <f t="shared" si="0"/>
        <v>1.3474493399124552</v>
      </c>
      <c r="F39">
        <f>STDEV(B10:B39)</f>
        <v>3.9298445466603559E-4</v>
      </c>
      <c r="G39">
        <f>SQRT(alpha2*(B39-D39)^2+(1-alpha2)*G38^2)</f>
        <v>3.2491361136814217E-4</v>
      </c>
      <c r="H39">
        <f t="shared" si="2"/>
        <v>4.6336397072863615E-9</v>
      </c>
    </row>
    <row r="40" spans="1:8" x14ac:dyDescent="0.25">
      <c r="A40">
        <v>484</v>
      </c>
      <c r="B40">
        <v>1.3475999999999999</v>
      </c>
      <c r="C40">
        <f t="shared" si="1"/>
        <v>1.3472066666666664</v>
      </c>
      <c r="D40" s="1">
        <f>alpha*B40+(1-alpha)*D39</f>
        <v>1.3473449108790616</v>
      </c>
      <c r="E40">
        <f t="shared" si="0"/>
        <v>1.3474945379387187</v>
      </c>
      <c r="F40">
        <f>STDEV(B11:B40)</f>
        <v>3.850063441781689E-4</v>
      </c>
      <c r="G40">
        <f>SQRT(alpha2*(B40-D40)^2+(1-alpha2)*G39^2)</f>
        <v>3.1833921710414982E-4</v>
      </c>
      <c r="H40">
        <f t="shared" si="2"/>
        <v>4.4445058323034071E-9</v>
      </c>
    </row>
    <row r="41" spans="1:8" x14ac:dyDescent="0.25">
      <c r="A41">
        <v>488</v>
      </c>
      <c r="B41">
        <v>1.3476999999999999</v>
      </c>
      <c r="C41">
        <f t="shared" si="1"/>
        <v>1.3472466666666667</v>
      </c>
      <c r="D41" s="1">
        <f>alpha*B41+(1-alpha)*D40</f>
        <v>1.3473765111862792</v>
      </c>
      <c r="E41">
        <f t="shared" si="0"/>
        <v>1.3475561765571029</v>
      </c>
      <c r="F41">
        <f>STDEV(B12:B41)</f>
        <v>3.711429999834986E-4</v>
      </c>
      <c r="G41">
        <f>SQRT(alpha2*(B41-D41)^2+(1-alpha2)*G40^2)</f>
        <v>3.1888084632282113E-4</v>
      </c>
      <c r="H41">
        <f t="shared" si="2"/>
        <v>2.7313327052522631E-9</v>
      </c>
    </row>
    <row r="42" spans="1:8" x14ac:dyDescent="0.25">
      <c r="A42">
        <v>489</v>
      </c>
      <c r="B42">
        <v>1.3475999999999999</v>
      </c>
      <c r="C42">
        <f t="shared" si="1"/>
        <v>1.3472866666666665</v>
      </c>
      <c r="D42" s="1">
        <f>alpha*B42+(1-alpha)*D41</f>
        <v>1.3473964000388428</v>
      </c>
      <c r="E42">
        <f t="shared" si="0"/>
        <v>1.3475693235899719</v>
      </c>
      <c r="F42">
        <f>STDEV(B13:B42)</f>
        <v>3.401149231061683E-4</v>
      </c>
      <c r="G42">
        <f>SQRT(alpha2*(B42-D42)^2+(1-alpha2)*G41^2)</f>
        <v>3.0886134843465484E-4</v>
      </c>
      <c r="H42">
        <f t="shared" si="2"/>
        <v>9.7678592974786807E-10</v>
      </c>
    </row>
    <row r="43" spans="1:8" x14ac:dyDescent="0.25">
      <c r="A43">
        <v>526</v>
      </c>
      <c r="B43">
        <v>1.3474999999999999</v>
      </c>
      <c r="C43">
        <f t="shared" si="1"/>
        <v>1.3473199999999999</v>
      </c>
      <c r="D43" s="1">
        <f>alpha*B43+(1-alpha)*D42</f>
        <v>1.3474056196696544</v>
      </c>
      <c r="E43">
        <f t="shared" si="0"/>
        <v>1.3475485265129803</v>
      </c>
      <c r="F43">
        <f>STDEV(B14:B43)</f>
        <v>3.0782888215636028E-4</v>
      </c>
      <c r="G43">
        <f>SQRT(alpha2*(B43-D43)^2+(1-alpha2)*G42^2)</f>
        <v>2.9387745201235848E-4</v>
      </c>
      <c r="H43">
        <f t="shared" si="2"/>
        <v>1.9464240306296208E-10</v>
      </c>
    </row>
    <row r="44" spans="1:8" x14ac:dyDescent="0.25">
      <c r="A44">
        <v>533</v>
      </c>
      <c r="B44">
        <v>1.3473999999999999</v>
      </c>
      <c r="C44">
        <f t="shared" si="1"/>
        <v>1.3473466666666667</v>
      </c>
      <c r="D44" s="1">
        <f>alpha*B44+(1-alpha)*D43</f>
        <v>1.3474051195605914</v>
      </c>
      <c r="E44">
        <f t="shared" si="0"/>
        <v>1.3475039685590862</v>
      </c>
      <c r="F44">
        <f>STDEV(B15:B44)</f>
        <v>2.7634727444275116E-4</v>
      </c>
      <c r="G44">
        <f>SQRT(alpha2*(B44-D44)^2+(1-alpha2)*G43^2)</f>
        <v>2.7811551240539226E-4</v>
      </c>
      <c r="H44">
        <f t="shared" si="2"/>
        <v>3.1266654925251552E-12</v>
      </c>
    </row>
    <row r="45" spans="1:8" x14ac:dyDescent="0.25">
      <c r="A45">
        <v>539</v>
      </c>
      <c r="B45">
        <v>1.3472999999999999</v>
      </c>
      <c r="C45">
        <f t="shared" si="1"/>
        <v>1.3473666666666666</v>
      </c>
      <c r="D45" s="1">
        <f>alpha*B45+(1-alpha)*D44</f>
        <v>1.3473957646966619</v>
      </c>
      <c r="E45">
        <f t="shared" si="0"/>
        <v>1.3474427779913603</v>
      </c>
      <c r="F45">
        <f>STDEV(B16:B45)</f>
        <v>2.4821199689435897E-4</v>
      </c>
      <c r="G45">
        <f>SQRT(alpha2*(B45-D45)^2+(1-alpha2)*G44^2)</f>
        <v>2.6500735233713667E-4</v>
      </c>
      <c r="H45">
        <f t="shared" si="2"/>
        <v>2.8208396444924252E-10</v>
      </c>
    </row>
    <row r="46" spans="1:8" x14ac:dyDescent="0.25">
      <c r="A46">
        <v>542</v>
      </c>
      <c r="B46">
        <v>1.3473999999999999</v>
      </c>
      <c r="C46">
        <f t="shared" si="1"/>
        <v>1.3473866666666667</v>
      </c>
      <c r="D46" s="1">
        <f>alpha*B46+(1-alpha)*D45</f>
        <v>1.347396141607355</v>
      </c>
      <c r="E46">
        <f t="shared" si="0"/>
        <v>1.3474299445939522</v>
      </c>
      <c r="F46">
        <f>STDEV(B17:B46)</f>
        <v>2.2396633572976737E-4</v>
      </c>
      <c r="G46">
        <f>SQRT(alpha2*(B46-D46)^2+(1-alpha2)*G45^2)</f>
        <v>2.5079250527355277E-4</v>
      </c>
      <c r="H46">
        <f t="shared" si="2"/>
        <v>7.1964337239191943E-10</v>
      </c>
    </row>
    <row r="47" spans="1:8" x14ac:dyDescent="0.25">
      <c r="A47">
        <v>549</v>
      </c>
      <c r="B47">
        <v>1.3474999999999999</v>
      </c>
      <c r="C47">
        <f t="shared" si="1"/>
        <v>1.3474099999999998</v>
      </c>
      <c r="D47" s="1">
        <f>alpha*B47+(1-alpha)*D46</f>
        <v>1.3474053842366589</v>
      </c>
      <c r="E47">
        <f t="shared" si="0"/>
        <v>1.3474509612157664</v>
      </c>
      <c r="F47">
        <f>STDEV(B18:B47)</f>
        <v>1.953776184548656E-4</v>
      </c>
      <c r="G47">
        <f>SQRT(alpha2*(B47-D47)^2+(1-alpha2)*G46^2)</f>
        <v>2.3929848375146021E-4</v>
      </c>
      <c r="H47">
        <f t="shared" si="2"/>
        <v>1.9290424084016083E-9</v>
      </c>
    </row>
    <row r="48" spans="1:8" x14ac:dyDescent="0.25">
      <c r="A48">
        <v>558</v>
      </c>
      <c r="B48">
        <v>1.3475999999999999</v>
      </c>
      <c r="C48">
        <f t="shared" si="1"/>
        <v>1.3474333333333333</v>
      </c>
      <c r="D48" s="1">
        <f>alpha*B48+(1-alpha)*D47</f>
        <v>1.3474227036011461</v>
      </c>
      <c r="E48">
        <f t="shared" si="0"/>
        <v>1.3474956728510363</v>
      </c>
      <c r="F48">
        <f>STDEV(B19:B48)</f>
        <v>1.7287295182086114E-4</v>
      </c>
      <c r="G48">
        <f>SQRT(alpha2*(B48-D48)^2+(1-alpha2)*G47^2)</f>
        <v>2.3359478303842699E-4</v>
      </c>
      <c r="H48">
        <f t="shared" si="2"/>
        <v>3.6871407864145548E-9</v>
      </c>
    </row>
    <row r="49" spans="1:8" x14ac:dyDescent="0.25">
      <c r="A49">
        <v>570</v>
      </c>
      <c r="B49">
        <v>1.3474999999999999</v>
      </c>
      <c r="C49">
        <f t="shared" si="1"/>
        <v>1.3474499999999996</v>
      </c>
      <c r="D49" s="1">
        <f>alpha*B49+(1-alpha)*D48</f>
        <v>1.3474295824093285</v>
      </c>
      <c r="E49">
        <f t="shared" si="0"/>
        <v>1.3474969709957254</v>
      </c>
      <c r="F49">
        <f>STDEV(B20:B49)</f>
        <v>1.5256428831466554E-4</v>
      </c>
      <c r="G49">
        <f>SQRT(alpha2*(B49-D49)^2+(1-alpha2)*G48^2)</f>
        <v>2.2223023432274504E-4</v>
      </c>
      <c r="H49">
        <f t="shared" si="2"/>
        <v>4.8533440332006468E-9</v>
      </c>
    </row>
    <row r="50" spans="1:8" x14ac:dyDescent="0.25">
      <c r="A50">
        <v>574</v>
      </c>
      <c r="B50">
        <v>1.3473999999999999</v>
      </c>
      <c r="C50">
        <f t="shared" si="1"/>
        <v>1.3474599999999997</v>
      </c>
      <c r="D50" s="1">
        <f>alpha*B50+(1-alpha)*D49</f>
        <v>1.3474269497935487</v>
      </c>
      <c r="E50">
        <f t="shared" si="0"/>
        <v>1.3474678796970077</v>
      </c>
      <c r="F50">
        <f>STDEV(B21:B50)</f>
        <v>1.3796551293209655E-4</v>
      </c>
      <c r="G50">
        <f>SQRT(alpha2*(B50-D50)^2+(1-alpha2)*G49^2)</f>
        <v>2.1048756441815613E-4</v>
      </c>
      <c r="H50">
        <f t="shared" si="2"/>
        <v>5.2594479517466761E-9</v>
      </c>
    </row>
    <row r="51" spans="1:8" x14ac:dyDescent="0.25">
      <c r="A51">
        <v>584</v>
      </c>
      <c r="B51">
        <v>1.3474999999999999</v>
      </c>
      <c r="C51">
        <f t="shared" si="1"/>
        <v>1.3474699999999997</v>
      </c>
      <c r="D51" s="1">
        <f>alpha*B51+(1-alpha)*D50</f>
        <v>1.3474334507219918</v>
      </c>
      <c r="E51">
        <f t="shared" si="0"/>
        <v>1.3474775157879053</v>
      </c>
      <c r="F51">
        <f>STDEV(B22:B51)</f>
        <v>1.2905492014560866E-4</v>
      </c>
      <c r="G51">
        <f>SQRT(alpha2*(B51-D51)^2+(1-alpha2)*G50^2)</f>
        <v>2.0035216047334115E-4</v>
      </c>
      <c r="H51">
        <f t="shared" si="2"/>
        <v>5.0832964783504443E-9</v>
      </c>
    </row>
    <row r="52" spans="1:8" x14ac:dyDescent="0.25">
      <c r="A52">
        <v>601</v>
      </c>
      <c r="B52">
        <v>1.3473999999999999</v>
      </c>
      <c r="C52">
        <f t="shared" si="1"/>
        <v>1.3474733333333331</v>
      </c>
      <c r="D52" s="1">
        <f>alpha*B52+(1-alpha)*D51</f>
        <v>1.3474304738549767</v>
      </c>
      <c r="E52">
        <f t="shared" si="0"/>
        <v>1.3474542610515337</v>
      </c>
      <c r="F52">
        <f>STDEV(B23:B52)</f>
        <v>1.2576204496595741E-4</v>
      </c>
      <c r="G52">
        <f>SQRT(alpha2*(B52-D52)^2+(1-alpha2)*G51^2)</f>
        <v>1.8985859505301296E-4</v>
      </c>
      <c r="H52">
        <f t="shared" si="2"/>
        <v>4.1083677330624215E-9</v>
      </c>
    </row>
    <row r="53" spans="1:8" x14ac:dyDescent="0.25">
      <c r="A53">
        <v>617</v>
      </c>
      <c r="B53">
        <v>1.3474999999999999</v>
      </c>
      <c r="C53">
        <f t="shared" si="1"/>
        <v>1.3474833333333329</v>
      </c>
      <c r="D53" s="1">
        <f>alpha*B53+(1-alpha)*D52</f>
        <v>1.347436661168</v>
      </c>
      <c r="E53">
        <f t="shared" si="0"/>
        <v>1.3474679827360734</v>
      </c>
      <c r="F53">
        <f>STDEV(B24:B53)</f>
        <v>1.1472105098989892E-4</v>
      </c>
      <c r="G53">
        <f>SQRT(alpha2*(B53-D53)^2+(1-alpha2)*G52^2)</f>
        <v>1.80834518410954E-4</v>
      </c>
      <c r="H53">
        <f t="shared" si="2"/>
        <v>4.3709905744349114E-9</v>
      </c>
    </row>
    <row r="54" spans="1:8" x14ac:dyDescent="0.25">
      <c r="A54">
        <v>624</v>
      </c>
      <c r="B54">
        <v>1.3475999999999999</v>
      </c>
      <c r="C54">
        <f t="shared" si="1"/>
        <v>1.347493333333333</v>
      </c>
      <c r="D54" s="1">
        <f>alpha*B54+(1-alpha)*D53</f>
        <v>1.3474511971167729</v>
      </c>
      <c r="E54">
        <f t="shared" si="0"/>
        <v>1.3475075879152514</v>
      </c>
      <c r="F54">
        <f>STDEV(B25:B54)</f>
        <v>1.1121068335349487E-4</v>
      </c>
      <c r="G54">
        <f>SQRT(alpha2*(B54-D54)^2+(1-alpha2)*G53^2)</f>
        <v>1.7775975376731312E-4</v>
      </c>
      <c r="H54">
        <f t="shared" si="2"/>
        <v>4.42877877294334E-9</v>
      </c>
    </row>
    <row r="55" spans="1:8" x14ac:dyDescent="0.25">
      <c r="A55">
        <v>638</v>
      </c>
      <c r="B55">
        <v>1.3476999999999999</v>
      </c>
      <c r="C55">
        <f t="shared" si="1"/>
        <v>1.3475033333333333</v>
      </c>
      <c r="D55" s="1">
        <f>alpha*B55+(1-alpha)*D54</f>
        <v>1.3474733387344204</v>
      </c>
      <c r="E55">
        <f t="shared" si="0"/>
        <v>1.3475653115406758</v>
      </c>
      <c r="F55">
        <f>STDEV(B26:B55)</f>
        <v>1.1591713250935967E-4</v>
      </c>
      <c r="G55">
        <f>SQRT(alpha2*(B55-D55)^2+(1-alpha2)*G54^2)</f>
        <v>1.8347669951314409E-4</v>
      </c>
      <c r="H55">
        <f t="shared" si="2"/>
        <v>4.5642950937388376E-9</v>
      </c>
    </row>
    <row r="56" spans="1:8" x14ac:dyDescent="0.25">
      <c r="A56">
        <v>649</v>
      </c>
      <c r="B56">
        <v>1.3478000000000001</v>
      </c>
      <c r="C56">
        <f t="shared" si="1"/>
        <v>1.3475199999999998</v>
      </c>
      <c r="D56" s="1">
        <f>alpha*B56+(1-alpha)*D55</f>
        <v>1.347502409172628</v>
      </c>
      <c r="E56">
        <f t="shared" si="0"/>
        <v>1.347635718078473</v>
      </c>
      <c r="F56">
        <f>STDEV(B27:B56)</f>
        <v>1.214850636484017E-4</v>
      </c>
      <c r="G56">
        <f>SQRT(alpha2*(B56-D56)^2+(1-alpha2)*G55^2)</f>
        <v>1.9848479248866428E-4</v>
      </c>
      <c r="H56">
        <f t="shared" si="2"/>
        <v>5.9289582414739653E-9</v>
      </c>
    </row>
    <row r="57" spans="1:8" x14ac:dyDescent="0.25">
      <c r="A57">
        <v>676</v>
      </c>
      <c r="B57">
        <v>1.3479000000000001</v>
      </c>
      <c r="C57">
        <f t="shared" si="1"/>
        <v>1.3475366666666668</v>
      </c>
      <c r="D57" s="1">
        <f>alpha*B57+(1-alpha)*D56</f>
        <v>1.3475377918175784</v>
      </c>
      <c r="E57">
        <f t="shared" si="0"/>
        <v>1.3477150026549309</v>
      </c>
      <c r="F57">
        <f>STDEV(B28:B57)</f>
        <v>1.3767361035620139E-4</v>
      </c>
      <c r="G57">
        <f>SQRT(alpha2*(B57-D57)^2+(1-alpha2)*G56^2)</f>
        <v>2.2131915841977324E-4</v>
      </c>
      <c r="H57">
        <f t="shared" si="2"/>
        <v>6.9965777108553087E-9</v>
      </c>
    </row>
    <row r="58" spans="1:8" x14ac:dyDescent="0.25">
      <c r="A58">
        <v>677</v>
      </c>
      <c r="B58">
        <v>1.3478000000000001</v>
      </c>
      <c r="C58">
        <f t="shared" si="1"/>
        <v>1.3475433333333335</v>
      </c>
      <c r="D58" s="1">
        <f>alpha*B58+(1-alpha)*D57</f>
        <v>1.3475611264077727</v>
      </c>
      <c r="E58">
        <f t="shared" si="0"/>
        <v>1.3477405018584516</v>
      </c>
      <c r="F58">
        <f>STDEV(B29:B58)</f>
        <v>1.4546793303074924E-4</v>
      </c>
      <c r="G58">
        <f>SQRT(alpha2*(B58-D58)^2+(1-alpha2)*G57^2)</f>
        <v>2.2321682240759969E-4</v>
      </c>
      <c r="H58">
        <f t="shared" si="2"/>
        <v>6.0448897993337285E-9</v>
      </c>
    </row>
    <row r="59" spans="1:8" x14ac:dyDescent="0.25">
      <c r="A59">
        <v>722</v>
      </c>
      <c r="B59">
        <v>1.3475999999999999</v>
      </c>
      <c r="C59">
        <f t="shared" si="1"/>
        <v>1.3475466666666669</v>
      </c>
      <c r="D59" s="1">
        <f>alpha*B59+(1-alpha)*D58</f>
        <v>1.3475645858701573</v>
      </c>
      <c r="E59">
        <f t="shared" si="0"/>
        <v>1.3476983513009162</v>
      </c>
      <c r="F59">
        <f>STDEV(B30:B59)</f>
        <v>1.4558640835895043E-4</v>
      </c>
      <c r="G59">
        <f>SQRT(alpha2*(B59-D59)^2+(1-alpha2)*G58^2)</f>
        <v>2.1155074623062134E-4</v>
      </c>
      <c r="H59">
        <f t="shared" si="2"/>
        <v>4.351293870847958E-9</v>
      </c>
    </row>
    <row r="60" spans="1:8" x14ac:dyDescent="0.25">
      <c r="A60">
        <v>726</v>
      </c>
      <c r="B60">
        <v>1.3476999999999999</v>
      </c>
      <c r="C60">
        <f t="shared" si="1"/>
        <v>1.3475500000000005</v>
      </c>
      <c r="D60" s="1">
        <f>alpha*B60+(1-alpha)*D59</f>
        <v>1.3475766367268363</v>
      </c>
      <c r="E60">
        <f t="shared" si="0"/>
        <v>1.3476988459106414</v>
      </c>
      <c r="F60">
        <f>STDEV(B31:B60)</f>
        <v>1.4797483476640925E-4</v>
      </c>
      <c r="G60">
        <f>SQRT(alpha2*(B60-D60)^2+(1-alpha2)*G59^2)</f>
        <v>2.0413117646624914E-4</v>
      </c>
      <c r="H60">
        <f t="shared" si="2"/>
        <v>3.1535347131091759E-9</v>
      </c>
    </row>
    <row r="61" spans="1:8" x14ac:dyDescent="0.25">
      <c r="A61">
        <v>727</v>
      </c>
      <c r="B61">
        <v>1.3475999999999999</v>
      </c>
      <c r="C61">
        <f t="shared" si="1"/>
        <v>1.3475466666666669</v>
      </c>
      <c r="D61" s="1">
        <f>alpha*B61+(1-alpha)*D60</f>
        <v>1.3475787158854644</v>
      </c>
      <c r="E61">
        <f t="shared" si="0"/>
        <v>1.3476691921374488</v>
      </c>
      <c r="F61">
        <f>STDEV(B32:B61)</f>
        <v>1.4558640835895043E-4</v>
      </c>
      <c r="G61">
        <f>SQRT(alpha2*(B61-D61)^2+(1-alpha2)*G60^2)</f>
        <v>1.9330170659957784E-4</v>
      </c>
      <c r="H61">
        <f t="shared" si="2"/>
        <v>2.2767496861920212E-9</v>
      </c>
    </row>
    <row r="62" spans="1:8" x14ac:dyDescent="0.25">
      <c r="A62">
        <v>749</v>
      </c>
      <c r="B62">
        <v>1.3474999999999999</v>
      </c>
      <c r="C62">
        <f t="shared" si="1"/>
        <v>1.3475433333333335</v>
      </c>
      <c r="D62" s="1">
        <f>alpha*B62+(1-alpha)*D61</f>
        <v>1.3475717107534655</v>
      </c>
      <c r="E62">
        <f t="shared" si="0"/>
        <v>1.3476184344962141</v>
      </c>
      <c r="F62">
        <f>STDEV(B33:B62)</f>
        <v>1.4546793303074924E-4</v>
      </c>
      <c r="G62">
        <f>SQRT(alpha2*(B62-D62)^2+(1-alpha2)*G61^2)</f>
        <v>1.8439275551374395E-4</v>
      </c>
      <c r="H62">
        <f t="shared" si="2"/>
        <v>1.5151418053326506E-9</v>
      </c>
    </row>
    <row r="63" spans="1:8" x14ac:dyDescent="0.25">
      <c r="A63">
        <v>765</v>
      </c>
      <c r="B63">
        <v>1.3475999999999999</v>
      </c>
      <c r="C63">
        <f t="shared" si="1"/>
        <v>1.3475466666666667</v>
      </c>
      <c r="D63" s="1">
        <f>alpha*B63+(1-alpha)*D62</f>
        <v>1.3475742282873147</v>
      </c>
      <c r="E63">
        <f t="shared" si="0"/>
        <v>1.3476129041473497</v>
      </c>
      <c r="F63">
        <f>STDEV(B34:B63)</f>
        <v>1.4558640835895043E-4</v>
      </c>
      <c r="G63">
        <f>SQRT(alpha2*(B63-D63)^2+(1-alpha2)*G62^2)</f>
        <v>1.7469848996824232E-4</v>
      </c>
      <c r="H63">
        <f t="shared" si="2"/>
        <v>8.4751329562607108E-10</v>
      </c>
    </row>
    <row r="64" spans="1:8" x14ac:dyDescent="0.25">
      <c r="A64">
        <v>772</v>
      </c>
      <c r="B64">
        <v>1.3474999999999999</v>
      </c>
      <c r="C64">
        <f t="shared" si="1"/>
        <v>1.3475433333333333</v>
      </c>
      <c r="D64" s="1">
        <f>alpha*B64+(1-alpha)*D63</f>
        <v>1.3475676225183821</v>
      </c>
      <c r="E64">
        <f t="shared" si="0"/>
        <v>1.3475790329031447</v>
      </c>
      <c r="F64">
        <f>STDEV(B35:B64)</f>
        <v>1.4546793303074924E-4</v>
      </c>
      <c r="G64">
        <f>SQRT(alpha2*(B64-D64)^2+(1-alpha2)*G63^2)</f>
        <v>1.6676361265562421E-4</v>
      </c>
      <c r="H64">
        <f t="shared" si="2"/>
        <v>4.535059706853147E-10</v>
      </c>
    </row>
    <row r="65" spans="1:8" x14ac:dyDescent="0.25">
      <c r="A65">
        <v>775</v>
      </c>
      <c r="B65">
        <v>1.3473999999999999</v>
      </c>
      <c r="C65">
        <f t="shared" si="1"/>
        <v>1.3475399999999997</v>
      </c>
      <c r="D65" s="1">
        <f>alpha*B65+(1-alpha)*D64</f>
        <v>1.3475527053531828</v>
      </c>
      <c r="E65">
        <f t="shared" si="0"/>
        <v>1.3475253230322013</v>
      </c>
      <c r="F65">
        <f>STDEV(B36:B65)</f>
        <v>1.4762487408389054E-4</v>
      </c>
      <c r="G65">
        <f>SQRT(alpha2*(B65-D65)^2+(1-alpha2)*G64^2)</f>
        <v>1.6535149385370462E-4</v>
      </c>
      <c r="H65">
        <f t="shared" si="2"/>
        <v>3.1423304846356345E-10</v>
      </c>
    </row>
    <row r="66" spans="1:8" x14ac:dyDescent="0.25">
      <c r="A66">
        <v>782</v>
      </c>
      <c r="B66">
        <v>1.3472999999999999</v>
      </c>
      <c r="C66">
        <f t="shared" si="1"/>
        <v>1.3475366666666664</v>
      </c>
      <c r="D66" s="1">
        <f>alpha*B66+(1-alpha)*D65</f>
        <v>1.3475302164445535</v>
      </c>
      <c r="E66">
        <f t="shared" si="0"/>
        <v>1.3474577261225409</v>
      </c>
      <c r="F66">
        <f>STDEV(B37:B66)</f>
        <v>1.5196036990938475E-4</v>
      </c>
      <c r="G66">
        <f>SQRT(alpha2*(B66-D66)^2+(1-alpha2)*G65^2)</f>
        <v>1.7326417669811779E-4</v>
      </c>
      <c r="H66">
        <f t="shared" si="2"/>
        <v>4.5385218369166792E-10</v>
      </c>
    </row>
    <row r="67" spans="1:8" x14ac:dyDescent="0.25">
      <c r="A67">
        <v>783</v>
      </c>
      <c r="B67">
        <v>1.3473999999999999</v>
      </c>
      <c r="C67">
        <f t="shared" si="1"/>
        <v>1.3475399999999995</v>
      </c>
      <c r="D67" s="1">
        <f>alpha*B67+(1-alpha)*D66</f>
        <v>1.3475186281434484</v>
      </c>
      <c r="E67">
        <f t="shared" si="0"/>
        <v>1.3474404082857785</v>
      </c>
      <c r="F67">
        <f>STDEV(B38:B67)</f>
        <v>1.4762487408389054E-4</v>
      </c>
      <c r="G67">
        <f>SQRT(alpha2*(B67-D67)^2+(1-alpha2)*G66^2)</f>
        <v>1.6838984673617875E-4</v>
      </c>
      <c r="H67">
        <f t="shared" si="2"/>
        <v>4.3118408925027738E-10</v>
      </c>
    </row>
    <row r="68" spans="1:8" x14ac:dyDescent="0.25">
      <c r="A68">
        <v>790</v>
      </c>
      <c r="B68">
        <v>1.3472999999999999</v>
      </c>
      <c r="C68">
        <f t="shared" si="1"/>
        <v>1.3475366666666664</v>
      </c>
      <c r="D68" s="1">
        <f>alpha*B68+(1-alpha)*D67</f>
        <v>1.3474991718546128</v>
      </c>
      <c r="E68">
        <f t="shared" ref="E68:E131" si="3">0.3*B68+(1-0.3)*E67</f>
        <v>1.3473982858000448</v>
      </c>
      <c r="F68">
        <f>STDEV(B39:B68)</f>
        <v>1.5196036990938475E-4</v>
      </c>
      <c r="G68">
        <f>SQRT(alpha2*(B68-D68)^2+(1-alpha2)*G67^2)</f>
        <v>1.7186221729092777E-4</v>
      </c>
      <c r="H68">
        <f t="shared" si="2"/>
        <v>3.9608352919823043E-10</v>
      </c>
    </row>
    <row r="69" spans="1:8" x14ac:dyDescent="0.25">
      <c r="A69">
        <v>793</v>
      </c>
      <c r="B69">
        <v>1.3473999999999999</v>
      </c>
      <c r="C69">
        <f t="shared" si="1"/>
        <v>1.3475333333333332</v>
      </c>
      <c r="D69" s="1">
        <f>alpha*B69+(1-alpha)*D68</f>
        <v>1.3474903462925543</v>
      </c>
      <c r="E69">
        <f t="shared" si="3"/>
        <v>1.3473988000600312</v>
      </c>
      <c r="F69">
        <f>STDEV(B40:B69)</f>
        <v>1.5387709679984477E-4</v>
      </c>
      <c r="G69">
        <f>SQRT(alpha2*(B69-D69)^2+(1-alpha2)*G68^2)</f>
        <v>1.6524118444852571E-4</v>
      </c>
      <c r="H69">
        <f t="shared" si="2"/>
        <v>1.2914248808690263E-10</v>
      </c>
    </row>
    <row r="70" spans="1:8" x14ac:dyDescent="0.25">
      <c r="A70">
        <v>797</v>
      </c>
      <c r="B70">
        <v>1.3472999999999999</v>
      </c>
      <c r="C70">
        <f t="shared" si="1"/>
        <v>1.3475233333333327</v>
      </c>
      <c r="D70" s="1">
        <f>alpha*B70+(1-alpha)*D69</f>
        <v>1.3474734068794105</v>
      </c>
      <c r="E70">
        <f t="shared" si="3"/>
        <v>1.3473691600420217</v>
      </c>
      <c r="F70">
        <f>STDEV(B41:B70)</f>
        <v>1.5905612397742287E-4</v>
      </c>
      <c r="G70">
        <f>SQRT(alpha2*(B70-D70)^2+(1-alpha2)*G69^2)</f>
        <v>1.6611264831775755E-4</v>
      </c>
      <c r="H70">
        <f t="shared" si="2"/>
        <v>4.9794535765735818E-11</v>
      </c>
    </row>
    <row r="71" spans="1:8" x14ac:dyDescent="0.25">
      <c r="A71">
        <v>808</v>
      </c>
      <c r="B71">
        <v>1.3472</v>
      </c>
      <c r="C71">
        <f t="shared" si="1"/>
        <v>1.3475066666666664</v>
      </c>
      <c r="D71" s="1">
        <f>alpha*B71+(1-alpha)*D70</f>
        <v>1.3474490756879567</v>
      </c>
      <c r="E71">
        <f t="shared" si="3"/>
        <v>1.347318412029415</v>
      </c>
      <c r="F71">
        <f>STDEV(B42:B71)</f>
        <v>1.6595249285583633E-4</v>
      </c>
      <c r="G71">
        <f>SQRT(alpha2*(B71-D71)^2+(1-alpha2)*G70^2)</f>
        <v>1.7660781637411494E-4</v>
      </c>
      <c r="H71">
        <f t="shared" si="2"/>
        <v>1.1353591927918131E-10</v>
      </c>
    </row>
    <row r="72" spans="1:8" x14ac:dyDescent="0.25">
      <c r="A72">
        <v>819</v>
      </c>
      <c r="B72">
        <v>1.3472999999999999</v>
      </c>
      <c r="C72">
        <f t="shared" si="1"/>
        <v>1.3474966666666666</v>
      </c>
      <c r="D72" s="1">
        <f>alpha*B72+(1-alpha)*D71</f>
        <v>1.3474358090535816</v>
      </c>
      <c r="E72">
        <f t="shared" si="3"/>
        <v>1.3473128884205905</v>
      </c>
      <c r="F72">
        <f>STDEV(B43:B72)</f>
        <v>1.6914252984482643E-4</v>
      </c>
      <c r="G72">
        <f>SQRT(alpha2*(B72-D72)^2+(1-alpha2)*G71^2)</f>
        <v>1.7279847064335368E-4</v>
      </c>
      <c r="H72">
        <f t="shared" si="2"/>
        <v>1.3365903122336061E-11</v>
      </c>
    </row>
    <row r="73" spans="1:8" x14ac:dyDescent="0.25">
      <c r="A73">
        <v>822</v>
      </c>
      <c r="B73">
        <v>1.3473999999999999</v>
      </c>
      <c r="C73">
        <f t="shared" si="1"/>
        <v>1.347493333333333</v>
      </c>
      <c r="D73" s="1">
        <f>alpha*B73+(1-alpha)*D72</f>
        <v>1.347432622312486</v>
      </c>
      <c r="E73">
        <f t="shared" si="3"/>
        <v>1.3473390218944132</v>
      </c>
      <c r="F73">
        <f>STDEV(B44:B73)</f>
        <v>1.7005746155313004E-4</v>
      </c>
      <c r="G73">
        <f>SQRT(alpha2*(B73-D73)^2+(1-alpha2)*G72^2)</f>
        <v>1.6386707146091815E-4</v>
      </c>
      <c r="H73">
        <f t="shared" si="2"/>
        <v>3.8320929493755129E-11</v>
      </c>
    </row>
    <row r="74" spans="1:8" x14ac:dyDescent="0.25">
      <c r="A74">
        <v>823</v>
      </c>
      <c r="B74">
        <v>1.3472999999999999</v>
      </c>
      <c r="C74">
        <f t="shared" si="1"/>
        <v>1.3474899999999999</v>
      </c>
      <c r="D74" s="1">
        <f>alpha*B74+(1-alpha)*D73</f>
        <v>1.3474208199069171</v>
      </c>
      <c r="E74">
        <f t="shared" si="3"/>
        <v>1.3473273153260892</v>
      </c>
      <c r="F74">
        <f>STDEV(B45:B74)</f>
        <v>1.7290619342333319E-4</v>
      </c>
      <c r="G74">
        <f>SQRT(alpha2*(B74-D74)^2+(1-alpha2)*G73^2)</f>
        <v>1.5991468490086748E-4</v>
      </c>
      <c r="H74">
        <f t="shared" si="2"/>
        <v>1.6877929368929923E-10</v>
      </c>
    </row>
    <row r="75" spans="1:8" x14ac:dyDescent="0.25">
      <c r="A75">
        <v>937</v>
      </c>
      <c r="B75">
        <v>1.3472</v>
      </c>
      <c r="C75">
        <f t="shared" si="1"/>
        <v>1.3474866666666663</v>
      </c>
      <c r="D75" s="1">
        <f>alpha*B75+(1-alpha)*D74</f>
        <v>1.3474011685673326</v>
      </c>
      <c r="E75">
        <f t="shared" si="3"/>
        <v>1.3472891207282625</v>
      </c>
      <c r="F75">
        <f>STDEV(B46:B75)</f>
        <v>1.7759569219174894E-4</v>
      </c>
      <c r="G75">
        <f>SQRT(alpha2*(B75-D75)^2+(1-alpha2)*G74^2)</f>
        <v>1.6470644451324932E-4</v>
      </c>
      <c r="H75">
        <f t="shared" si="2"/>
        <v>1.6613270571770789E-10</v>
      </c>
    </row>
    <row r="76" spans="1:8" x14ac:dyDescent="0.25">
      <c r="A76">
        <v>948</v>
      </c>
      <c r="B76">
        <v>1.3471</v>
      </c>
      <c r="C76">
        <f t="shared" si="1"/>
        <v>1.3474766666666664</v>
      </c>
      <c r="D76" s="1">
        <f>alpha*B76+(1-alpha)*D75</f>
        <v>1.3473743667908467</v>
      </c>
      <c r="E76">
        <f t="shared" si="3"/>
        <v>1.3472323845097836</v>
      </c>
      <c r="F76">
        <f>STDEV(B47:B76)</f>
        <v>1.9061304607329927E-4</v>
      </c>
      <c r="G76">
        <f>SQRT(alpha2*(B76-D76)^2+(1-alpha2)*G75^2)</f>
        <v>1.7932124251868797E-4</v>
      </c>
      <c r="H76">
        <f t="shared" si="2"/>
        <v>1.2750482751593245E-10</v>
      </c>
    </row>
    <row r="77" spans="1:8" x14ac:dyDescent="0.25">
      <c r="A77">
        <v>956</v>
      </c>
      <c r="B77">
        <v>1.3472</v>
      </c>
      <c r="C77">
        <f t="shared" si="1"/>
        <v>1.3474666666666664</v>
      </c>
      <c r="D77" s="1">
        <f>alpha*B77+(1-alpha)*D76</f>
        <v>1.3473588494352466</v>
      </c>
      <c r="E77">
        <f t="shared" si="3"/>
        <v>1.3472226691568485</v>
      </c>
      <c r="F77">
        <f>STDEV(B48:B77)</f>
        <v>1.9710549133053587E-4</v>
      </c>
      <c r="G77">
        <f>SQRT(alpha2*(B77-D77)^2+(1-alpha2)*G76^2)</f>
        <v>1.7729406497651596E-4</v>
      </c>
      <c r="H77">
        <f t="shared" si="2"/>
        <v>3.9249261418075461E-10</v>
      </c>
    </row>
    <row r="78" spans="1:8" x14ac:dyDescent="0.25">
      <c r="A78">
        <v>965</v>
      </c>
      <c r="B78">
        <v>1.3471</v>
      </c>
      <c r="C78">
        <f t="shared" si="1"/>
        <v>1.3474499999999998</v>
      </c>
      <c r="D78" s="1">
        <f>alpha*B78+(1-alpha)*D77</f>
        <v>1.3473358137487259</v>
      </c>
      <c r="E78">
        <f t="shared" si="3"/>
        <v>1.3471858684097939</v>
      </c>
      <c r="F78">
        <f>STDEV(B49:B78)</f>
        <v>2.0636425779809828E-4</v>
      </c>
      <c r="G78">
        <f>SQRT(alpha2*(B78-D78)^2+(1-alpha2)*G77^2)</f>
        <v>1.8427594866243452E-4</v>
      </c>
      <c r="H78">
        <f t="shared" si="2"/>
        <v>4.8789340047264708E-10</v>
      </c>
    </row>
    <row r="79" spans="1:8" x14ac:dyDescent="0.25">
      <c r="A79">
        <v>966</v>
      </c>
      <c r="B79">
        <v>1.3472</v>
      </c>
      <c r="C79">
        <f t="shared" si="1"/>
        <v>1.3474399999999997</v>
      </c>
      <c r="D79" s="1">
        <f>alpha*B79+(1-alpha)*D78</f>
        <v>1.3473237273289203</v>
      </c>
      <c r="E79">
        <f t="shared" si="3"/>
        <v>1.3471901078868558</v>
      </c>
      <c r="F79">
        <f>STDEV(B50:B79)</f>
        <v>2.1107279345746878E-4</v>
      </c>
      <c r="G79">
        <f>SQRT(alpha2*(B79-D79)^2+(1-alpha2)*G78^2)</f>
        <v>1.7891396556094435E-4</v>
      </c>
      <c r="H79">
        <f t="shared" si="2"/>
        <v>1.0341902116782781E-9</v>
      </c>
    </row>
    <row r="80" spans="1:8" x14ac:dyDescent="0.25">
      <c r="A80">
        <v>990</v>
      </c>
      <c r="B80">
        <v>1.3472999999999999</v>
      </c>
      <c r="C80">
        <f t="shared" si="1"/>
        <v>1.3474366666666666</v>
      </c>
      <c r="D80" s="1">
        <f>alpha*B80+(1-alpha)*D79</f>
        <v>1.3473216157720207</v>
      </c>
      <c r="E80">
        <f t="shared" si="3"/>
        <v>1.347223075520799</v>
      </c>
      <c r="F80">
        <f>STDEV(B51:B80)</f>
        <v>2.1251098686947498E-4</v>
      </c>
      <c r="G80">
        <f>SQRT(alpha2*(B80-D80)^2+(1-alpha2)*G79^2)</f>
        <v>1.6945905015232192E-4</v>
      </c>
      <c r="H80">
        <f t="shared" si="2"/>
        <v>1.8534692550977524E-9</v>
      </c>
    </row>
    <row r="81" spans="1:8" x14ac:dyDescent="0.25">
      <c r="A81">
        <v>992</v>
      </c>
      <c r="B81">
        <v>1.3472</v>
      </c>
      <c r="C81">
        <f t="shared" si="1"/>
        <v>1.3474266666666666</v>
      </c>
      <c r="D81" s="1">
        <f>alpha*B81+(1-alpha)*D80</f>
        <v>1.3473107928672012</v>
      </c>
      <c r="E81">
        <f t="shared" si="3"/>
        <v>1.3472161528645592</v>
      </c>
      <c r="F81">
        <f>STDEV(B52:B81)</f>
        <v>2.1644993581115249E-4</v>
      </c>
      <c r="G81">
        <f>SQRT(alpha2*(B81-D81)^2+(1-alpha2)*G80^2)</f>
        <v>1.643152610795266E-4</v>
      </c>
      <c r="H81">
        <f t="shared" si="2"/>
        <v>2.7180243093724309E-9</v>
      </c>
    </row>
    <row r="82" spans="1:8" x14ac:dyDescent="0.25">
      <c r="A82">
        <v>993</v>
      </c>
      <c r="B82">
        <v>1.3472999999999999</v>
      </c>
      <c r="C82">
        <f t="shared" si="1"/>
        <v>1.3474233333333332</v>
      </c>
      <c r="D82" s="1">
        <f>alpha*B82+(1-alpha)*D81</f>
        <v>1.3473098323817931</v>
      </c>
      <c r="E82">
        <f t="shared" si="3"/>
        <v>1.3472413070051914</v>
      </c>
      <c r="F82">
        <f>STDEV(B53:B82)</f>
        <v>2.1764148522733994E-4</v>
      </c>
      <c r="G82">
        <f>SQRT(alpha2*(B82-D82)^2+(1-alpha2)*G81^2)</f>
        <v>1.5553201741204284E-4</v>
      </c>
      <c r="H82">
        <f t="shared" si="2"/>
        <v>3.8575859922994267E-9</v>
      </c>
    </row>
    <row r="83" spans="1:8" x14ac:dyDescent="0.25">
      <c r="A83">
        <v>994</v>
      </c>
      <c r="B83">
        <v>1.3473999999999999</v>
      </c>
      <c r="C83">
        <f t="shared" si="1"/>
        <v>1.3474200000000001</v>
      </c>
      <c r="D83" s="1">
        <f>alpha*B83+(1-alpha)*D82</f>
        <v>1.3473178566333637</v>
      </c>
      <c r="E83">
        <f t="shared" si="3"/>
        <v>1.3472889149036338</v>
      </c>
      <c r="F83">
        <f>STDEV(B54:B83)</f>
        <v>2.1719211264019706E-4</v>
      </c>
      <c r="G83">
        <f>SQRT(alpha2*(B83-D83)^2+(1-alpha2)*G82^2)</f>
        <v>1.495619515795454E-4</v>
      </c>
      <c r="H83">
        <f t="shared" si="2"/>
        <v>4.573838685089684E-9</v>
      </c>
    </row>
    <row r="84" spans="1:8" x14ac:dyDescent="0.25">
      <c r="A84">
        <v>1000</v>
      </c>
      <c r="B84">
        <v>1.3472999999999999</v>
      </c>
      <c r="C84">
        <f t="shared" si="1"/>
        <v>1.34741</v>
      </c>
      <c r="D84" s="1">
        <f>alpha*B84+(1-alpha)*D83</f>
        <v>1.347316267524977</v>
      </c>
      <c r="E84">
        <f t="shared" si="3"/>
        <v>1.3472922404325436</v>
      </c>
      <c r="F84">
        <f>STDEV(B55:B84)</f>
        <v>2.1551862068526281E-4</v>
      </c>
      <c r="G84">
        <f>SQRT(alpha2*(B84-D84)^2+(1-alpha2)*G83^2)</f>
        <v>1.4163536913605225E-4</v>
      </c>
      <c r="H84">
        <f t="shared" si="2"/>
        <v>5.4587348594839253E-9</v>
      </c>
    </row>
    <row r="85" spans="1:8" x14ac:dyDescent="0.25">
      <c r="A85">
        <v>1007</v>
      </c>
      <c r="B85">
        <v>1.3473999999999999</v>
      </c>
      <c r="C85">
        <f t="shared" si="1"/>
        <v>1.3474000000000002</v>
      </c>
      <c r="D85" s="1">
        <f>alpha*B85+(1-alpha)*D84</f>
        <v>1.3473237190963681</v>
      </c>
      <c r="E85">
        <f t="shared" si="3"/>
        <v>1.3473245683027804</v>
      </c>
      <c r="F85">
        <f>STDEV(B56:B85)</f>
        <v>2.0844250013392023E-4</v>
      </c>
      <c r="G85">
        <f>SQRT(alpha2*(B85-D85)^2+(1-alpha2)*G84^2)</f>
        <v>1.3628424072357226E-4</v>
      </c>
      <c r="H85">
        <f t="shared" si="2"/>
        <v>5.2068144011310722E-9</v>
      </c>
    </row>
    <row r="86" spans="1:8" x14ac:dyDescent="0.25">
      <c r="A86">
        <v>1010</v>
      </c>
      <c r="B86">
        <v>1.3472999999999999</v>
      </c>
      <c r="C86">
        <f t="shared" si="1"/>
        <v>1.3473833333333334</v>
      </c>
      <c r="D86" s="1">
        <f>alpha*B86+(1-alpha)*D85</f>
        <v>1.3473216082721047</v>
      </c>
      <c r="E86">
        <f t="shared" si="3"/>
        <v>1.3473171978119463</v>
      </c>
      <c r="F86">
        <f>STDEV(B57:B86)</f>
        <v>1.9490640252986139E-4</v>
      </c>
      <c r="G86">
        <f>SQRT(alpha2*(B86-D86)^2+(1-alpha2)*G85^2)</f>
        <v>1.2916131980932166E-4</v>
      </c>
      <c r="H86">
        <f t="shared" si="2"/>
        <v>4.3224159019306114E-9</v>
      </c>
    </row>
    <row r="87" spans="1:8" x14ac:dyDescent="0.25">
      <c r="A87">
        <v>1016</v>
      </c>
      <c r="B87">
        <v>1.3473999999999999</v>
      </c>
      <c r="C87">
        <f t="shared" si="1"/>
        <v>1.3473666666666666</v>
      </c>
      <c r="D87" s="1">
        <f>alpha*B87+(1-alpha)*D86</f>
        <v>1.3473285845564762</v>
      </c>
      <c r="E87">
        <f t="shared" si="3"/>
        <v>1.3473420384683623</v>
      </c>
      <c r="F87">
        <f>STDEV(B58:B87)</f>
        <v>1.6883645082279219E-4</v>
      </c>
      <c r="G87">
        <f>SQRT(alpha2*(B87-D87)^2+(1-alpha2)*G86^2)</f>
        <v>1.2439115508861739E-4</v>
      </c>
      <c r="H87">
        <f t="shared" si="2"/>
        <v>1.9753843128982571E-9</v>
      </c>
    </row>
    <row r="88" spans="1:8" x14ac:dyDescent="0.25">
      <c r="A88">
        <v>1019</v>
      </c>
      <c r="B88">
        <v>1.3475999999999999</v>
      </c>
      <c r="C88">
        <f t="shared" si="1"/>
        <v>1.3473600000000003</v>
      </c>
      <c r="D88" s="1">
        <f>alpha*B88+(1-alpha)*D87</f>
        <v>1.3473527385248554</v>
      </c>
      <c r="E88">
        <f t="shared" si="3"/>
        <v>1.3474194269278534</v>
      </c>
      <c r="F88">
        <f>STDEV(B59:B88)</f>
        <v>1.5447352189133256E-4</v>
      </c>
      <c r="G88">
        <f>SQRT(alpha2*(B88-D88)^2+(1-alpha2)*G87^2)</f>
        <v>1.422732650763142E-4</v>
      </c>
      <c r="H88">
        <f t="shared" si="2"/>
        <v>1.4884626635240193E-10</v>
      </c>
    </row>
    <row r="89" spans="1:8" x14ac:dyDescent="0.25">
      <c r="A89">
        <v>1020</v>
      </c>
      <c r="B89">
        <v>1.3474999999999999</v>
      </c>
      <c r="C89">
        <f t="shared" si="1"/>
        <v>1.3473566666666668</v>
      </c>
      <c r="D89" s="1">
        <f>alpha*B89+(1-alpha)*D88</f>
        <v>1.3473658437076996</v>
      </c>
      <c r="E89">
        <f t="shared" si="3"/>
        <v>1.3474435988494973</v>
      </c>
      <c r="F89">
        <f>STDEV(B60:B89)</f>
        <v>1.5013403972801275E-4</v>
      </c>
      <c r="G89">
        <f>SQRT(alpha2*(B89-D89)^2+(1-alpha2)*G88^2)</f>
        <v>1.4144744170449097E-4</v>
      </c>
      <c r="H89">
        <f t="shared" si="2"/>
        <v>7.5456985222252498E-11</v>
      </c>
    </row>
    <row r="90" spans="1:8" x14ac:dyDescent="0.25">
      <c r="A90">
        <v>1022</v>
      </c>
      <c r="B90">
        <v>1.3475999999999999</v>
      </c>
      <c r="C90">
        <f t="shared" si="1"/>
        <v>1.3473533333333336</v>
      </c>
      <c r="D90" s="1">
        <f>alpha*B90+(1-alpha)*D89</f>
        <v>1.3473866818870111</v>
      </c>
      <c r="E90">
        <f t="shared" si="3"/>
        <v>1.347490519194648</v>
      </c>
      <c r="F90">
        <f>STDEV(B61:B90)</f>
        <v>1.4319827906239749E-4</v>
      </c>
      <c r="G90">
        <f>SQRT(alpha2*(B90-D90)^2+(1-alpha2)*G89^2)</f>
        <v>1.5056526217937824E-4</v>
      </c>
      <c r="H90">
        <f t="shared" si="2"/>
        <v>5.4272440245879428E-11</v>
      </c>
    </row>
    <row r="91" spans="1:8" x14ac:dyDescent="0.25">
      <c r="A91">
        <v>1023</v>
      </c>
      <c r="B91">
        <v>1.3474999999999999</v>
      </c>
      <c r="C91">
        <f t="shared" si="1"/>
        <v>1.3473499999999998</v>
      </c>
      <c r="D91" s="1">
        <f>alpha*B91+(1-alpha)*D90</f>
        <v>1.3473967663615067</v>
      </c>
      <c r="E91">
        <f t="shared" si="3"/>
        <v>1.3474933634362536</v>
      </c>
      <c r="F91">
        <f>STDEV(B62:B91)</f>
        <v>1.3833991121320899E-4</v>
      </c>
      <c r="G91">
        <f>SQRT(alpha2*(B91-D91)^2+(1-alpha2)*G90^2)</f>
        <v>1.4634030379544132E-4</v>
      </c>
      <c r="H91">
        <f t="shared" si="2"/>
        <v>6.4006281469838005E-11</v>
      </c>
    </row>
    <row r="92" spans="1:8" x14ac:dyDescent="0.25">
      <c r="A92">
        <v>1048</v>
      </c>
      <c r="B92">
        <v>1.3473999999999999</v>
      </c>
      <c r="C92">
        <f t="shared" si="1"/>
        <v>1.3473466666666667</v>
      </c>
      <c r="D92" s="1">
        <f>alpha*B92+(1-alpha)*D91</f>
        <v>1.3473970541314322</v>
      </c>
      <c r="E92">
        <f t="shared" si="3"/>
        <v>1.3474653544053774</v>
      </c>
      <c r="F92">
        <f>STDEV(B63:B92)</f>
        <v>1.3578211078485759E-4</v>
      </c>
      <c r="G92">
        <f>SQRT(alpha2*(B92-D92)^2+(1-alpha2)*G91^2)</f>
        <v>1.384922514696986E-4</v>
      </c>
      <c r="H92">
        <f t="shared" si="2"/>
        <v>7.3448625316304848E-12</v>
      </c>
    </row>
    <row r="93" spans="1:8" x14ac:dyDescent="0.25">
      <c r="A93">
        <v>1050</v>
      </c>
      <c r="B93">
        <v>1.3472999999999999</v>
      </c>
      <c r="C93">
        <f t="shared" si="1"/>
        <v>1.3473366666666666</v>
      </c>
      <c r="D93" s="1">
        <f>alpha*B93+(1-alpha)*D92</f>
        <v>1.3473884170310844</v>
      </c>
      <c r="E93">
        <f t="shared" si="3"/>
        <v>1.3474157480837641</v>
      </c>
      <c r="F93">
        <f>STDEV(B64:B93)</f>
        <v>1.2726115785598923E-4</v>
      </c>
      <c r="G93">
        <f>SQRT(alpha2*(B93-D93)^2+(1-alpha2)*G92^2)</f>
        <v>1.3414016745843694E-4</v>
      </c>
      <c r="H93">
        <f t="shared" si="2"/>
        <v>4.732077311056788E-11</v>
      </c>
    </row>
    <row r="94" spans="1:8" x14ac:dyDescent="0.25">
      <c r="A94">
        <v>1058</v>
      </c>
      <c r="B94">
        <v>1.3473999999999999</v>
      </c>
      <c r="C94">
        <f t="shared" si="1"/>
        <v>1.3473333333333335</v>
      </c>
      <c r="D94" s="1">
        <f>alpha*B94+(1-alpha)*D93</f>
        <v>1.3473894478297055</v>
      </c>
      <c r="E94">
        <f t="shared" si="3"/>
        <v>1.3474110236586347</v>
      </c>
      <c r="F94">
        <f>STDEV(B65:B94)</f>
        <v>1.2410599844717949E-4</v>
      </c>
      <c r="G94">
        <f>SQRT(alpha2*(B94-D94)^2+(1-alpha2)*G93^2)</f>
        <v>1.2698918401265994E-4</v>
      </c>
      <c r="H94">
        <f t="shared" si="2"/>
        <v>8.312759004994849E-12</v>
      </c>
    </row>
    <row r="95" spans="1:8" x14ac:dyDescent="0.25">
      <c r="A95">
        <v>1059</v>
      </c>
      <c r="B95">
        <v>1.3474999999999999</v>
      </c>
      <c r="C95">
        <f t="shared" si="1"/>
        <v>1.3473366666666666</v>
      </c>
      <c r="D95" s="1">
        <f>alpha*B95+(1-alpha)*D94</f>
        <v>1.3473992861557451</v>
      </c>
      <c r="E95">
        <f t="shared" si="3"/>
        <v>1.3474377165610443</v>
      </c>
      <c r="F95">
        <f>STDEV(B66:B95)</f>
        <v>1.2726115785598923E-4</v>
      </c>
      <c r="G95">
        <f>SQRT(alpha2*(B95-D95)^2+(1-alpha2)*G94^2)</f>
        <v>1.2450497069033619E-4</v>
      </c>
      <c r="H95">
        <f t="shared" si="2"/>
        <v>7.5965676921105251E-12</v>
      </c>
    </row>
    <row r="96" spans="1:8" x14ac:dyDescent="0.25">
      <c r="A96">
        <v>1060</v>
      </c>
      <c r="B96">
        <v>1.3472999999999999</v>
      </c>
      <c r="C96">
        <f t="shared" ref="C96:C159" si="4">AVERAGE(B67:B96)</f>
        <v>1.3473366666666664</v>
      </c>
      <c r="D96" s="1">
        <f>alpha*B96+(1-alpha)*D95</f>
        <v>1.3473904504217309</v>
      </c>
      <c r="E96">
        <f t="shared" si="3"/>
        <v>1.3473964015927309</v>
      </c>
      <c r="F96">
        <f>STDEV(B67:B96)</f>
        <v>1.2726115785598923E-4</v>
      </c>
      <c r="G96">
        <f>SQRT(alpha2*(B96-D96)^2+(1-alpha2)*G95^2)</f>
        <v>1.2139638974454133E-4</v>
      </c>
      <c r="H96">
        <f t="shared" ref="H96:H159" si="5">(F96-G96)^2</f>
        <v>3.4395505001056131E-11</v>
      </c>
    </row>
    <row r="97" spans="1:8" x14ac:dyDescent="0.25">
      <c r="A97">
        <v>1065</v>
      </c>
      <c r="B97">
        <v>1.3472</v>
      </c>
      <c r="C97">
        <f t="shared" si="4"/>
        <v>1.3473299999999997</v>
      </c>
      <c r="D97" s="1">
        <f>alpha*B97+(1-alpha)*D96</f>
        <v>1.3473735017418602</v>
      </c>
      <c r="E97">
        <f t="shared" si="3"/>
        <v>1.3473374811149115</v>
      </c>
      <c r="F97">
        <f>STDEV(B68:B97)</f>
        <v>1.2905492014560869E-4</v>
      </c>
      <c r="G97">
        <f>SQRT(alpha2*(B97-D97)^2+(1-alpha2)*G96^2)</f>
        <v>1.2783440915320427E-4</v>
      </c>
      <c r="H97">
        <f t="shared" si="5"/>
        <v>1.4896470825800092E-12</v>
      </c>
    </row>
    <row r="98" spans="1:8" x14ac:dyDescent="0.25">
      <c r="A98">
        <v>1071</v>
      </c>
      <c r="B98">
        <v>1.3472999999999999</v>
      </c>
      <c r="C98">
        <f t="shared" si="4"/>
        <v>1.3473299999999997</v>
      </c>
      <c r="D98" s="1">
        <f>alpha*B98+(1-alpha)*D97</f>
        <v>1.3473669606301033</v>
      </c>
      <c r="E98">
        <f t="shared" si="3"/>
        <v>1.3473262367804379</v>
      </c>
      <c r="F98">
        <f>STDEV(B69:B98)</f>
        <v>1.2905492014560869E-4</v>
      </c>
      <c r="G98">
        <f>SQRT(alpha2*(B98-D98)^2+(1-alpha2)*G97^2)</f>
        <v>1.228958409301022E-4</v>
      </c>
      <c r="H98">
        <f t="shared" si="5"/>
        <v>3.7934256782884031E-11</v>
      </c>
    </row>
    <row r="99" spans="1:8" x14ac:dyDescent="0.25">
      <c r="A99">
        <v>1079</v>
      </c>
      <c r="B99">
        <v>1.3472</v>
      </c>
      <c r="C99">
        <f t="shared" si="4"/>
        <v>1.347323333333333</v>
      </c>
      <c r="D99" s="1">
        <f>alpha*B99+(1-alpha)*D98</f>
        <v>1.3473521023680688</v>
      </c>
      <c r="E99">
        <f t="shared" si="3"/>
        <v>1.3472883657463064</v>
      </c>
      <c r="F99">
        <f>STDEV(B70:B99)</f>
        <v>1.3047217521657017E-4</v>
      </c>
      <c r="G99">
        <f>SQRT(alpha2*(B99-D99)^2+(1-alpha2)*G98^2)</f>
        <v>1.262620017287382E-4</v>
      </c>
      <c r="H99">
        <f t="shared" si="5"/>
        <v>1.7725560797643229E-11</v>
      </c>
    </row>
    <row r="100" spans="1:8" x14ac:dyDescent="0.25">
      <c r="A100">
        <v>1082</v>
      </c>
      <c r="B100">
        <v>1.3472999999999999</v>
      </c>
      <c r="C100">
        <f t="shared" si="4"/>
        <v>1.347323333333333</v>
      </c>
      <c r="D100" s="1">
        <f>alpha*B100+(1-alpha)*D99</f>
        <v>1.3473474656424116</v>
      </c>
      <c r="E100">
        <f t="shared" si="3"/>
        <v>1.3472918560224143</v>
      </c>
      <c r="F100">
        <f>STDEV(B71:B100)</f>
        <v>1.3047217521657017E-4</v>
      </c>
      <c r="G100">
        <f>SQRT(alpha2*(B100-D100)^2+(1-alpha2)*G99^2)</f>
        <v>1.204683533539213E-4</v>
      </c>
      <c r="H100">
        <f t="shared" si="5"/>
        <v>1.0007645185961141E-10</v>
      </c>
    </row>
    <row r="101" spans="1:8" x14ac:dyDescent="0.25">
      <c r="A101">
        <v>1084</v>
      </c>
      <c r="B101">
        <v>1.3472</v>
      </c>
      <c r="C101">
        <f t="shared" si="4"/>
        <v>1.3473233333333332</v>
      </c>
      <c r="D101" s="1">
        <f>alpha*B101+(1-alpha)*D100</f>
        <v>1.3473343422901898</v>
      </c>
      <c r="E101">
        <f t="shared" si="3"/>
        <v>1.34726429921569</v>
      </c>
      <c r="F101">
        <f>STDEV(B72:B101)</f>
        <v>1.3047217521657011E-4</v>
      </c>
      <c r="G101">
        <f>SQRT(alpha2*(B101-D101)^2+(1-alpha2)*G100^2)</f>
        <v>1.2199092627731546E-4</v>
      </c>
      <c r="H101">
        <f t="shared" si="5"/>
        <v>7.1931583569608234E-11</v>
      </c>
    </row>
    <row r="102" spans="1:8" x14ac:dyDescent="0.25">
      <c r="A102">
        <v>1089</v>
      </c>
      <c r="B102">
        <v>1.3472999999999999</v>
      </c>
      <c r="C102">
        <f t="shared" si="4"/>
        <v>1.3473233333333332</v>
      </c>
      <c r="D102" s="1">
        <f>alpha*B102+(1-alpha)*D101</f>
        <v>1.3473312860801949</v>
      </c>
      <c r="E102">
        <f t="shared" si="3"/>
        <v>1.3472750094509829</v>
      </c>
      <c r="F102">
        <f>STDEV(B73:B102)</f>
        <v>1.3047217521657014E-4</v>
      </c>
      <c r="G102">
        <f>SQRT(alpha2*(B102-D102)^2+(1-alpha2)*G101^2)</f>
        <v>1.1588781189129825E-4</v>
      </c>
      <c r="H102">
        <f t="shared" si="5"/>
        <v>2.1270365360353588E-10</v>
      </c>
    </row>
    <row r="103" spans="1:8" x14ac:dyDescent="0.25">
      <c r="A103">
        <v>1093</v>
      </c>
      <c r="B103">
        <v>1.3472</v>
      </c>
      <c r="C103">
        <f t="shared" si="4"/>
        <v>1.3473166666666667</v>
      </c>
      <c r="D103" s="1">
        <f>alpha*B103+(1-alpha)*D102</f>
        <v>1.3473196025894234</v>
      </c>
      <c r="E103">
        <f t="shared" si="3"/>
        <v>1.347252506615688</v>
      </c>
      <c r="F103">
        <f>STDEV(B74:B103)</f>
        <v>1.3152509484774696E-4</v>
      </c>
      <c r="G103">
        <f>SQRT(alpha2*(B103-D103)^2+(1-alpha2)*G102^2)</f>
        <v>1.1628127250629104E-4</v>
      </c>
      <c r="H103">
        <f t="shared" si="5"/>
        <v>2.3237411957787065E-10</v>
      </c>
    </row>
    <row r="104" spans="1:8" x14ac:dyDescent="0.25">
      <c r="A104">
        <v>1095</v>
      </c>
      <c r="B104">
        <v>1.3472999999999999</v>
      </c>
      <c r="C104">
        <f t="shared" si="4"/>
        <v>1.3473166666666667</v>
      </c>
      <c r="D104" s="1">
        <f>alpha*B104+(1-alpha)*D103</f>
        <v>1.3473178581038521</v>
      </c>
      <c r="E104">
        <f t="shared" si="3"/>
        <v>1.3472667546309816</v>
      </c>
      <c r="F104">
        <f>STDEV(B75:B104)</f>
        <v>1.3152509484774696E-4</v>
      </c>
      <c r="G104">
        <f>SQRT(alpha2*(B104-D104)^2+(1-alpha2)*G103^2)</f>
        <v>1.1019385991269835E-4</v>
      </c>
      <c r="H104">
        <f t="shared" si="5"/>
        <v>4.5502158385423861E-10</v>
      </c>
    </row>
    <row r="105" spans="1:8" x14ac:dyDescent="0.25">
      <c r="A105">
        <v>1097</v>
      </c>
      <c r="B105">
        <v>1.3472</v>
      </c>
      <c r="C105">
        <f t="shared" si="4"/>
        <v>1.3473166666666667</v>
      </c>
      <c r="D105" s="1">
        <f>alpha*B105+(1-alpha)*D104</f>
        <v>1.3473073696037259</v>
      </c>
      <c r="E105">
        <f t="shared" si="3"/>
        <v>1.3472467282416871</v>
      </c>
      <c r="F105">
        <f>STDEV(B76:B105)</f>
        <v>1.3152509484774699E-4</v>
      </c>
      <c r="G105">
        <f>SQRT(alpha2*(B105-D105)^2+(1-alpha2)*G104^2)</f>
        <v>1.0990233400537767E-4</v>
      </c>
      <c r="H105">
        <f t="shared" si="5"/>
        <v>4.675437864463001E-10</v>
      </c>
    </row>
    <row r="106" spans="1:8" x14ac:dyDescent="0.25">
      <c r="A106">
        <v>1099</v>
      </c>
      <c r="B106">
        <v>1.3472999999999999</v>
      </c>
      <c r="C106">
        <f t="shared" si="4"/>
        <v>1.3473233333333332</v>
      </c>
      <c r="D106" s="1">
        <f>alpha*B106+(1-alpha)*D105</f>
        <v>1.3473067137634649</v>
      </c>
      <c r="E106">
        <f t="shared" si="3"/>
        <v>1.3472627097691809</v>
      </c>
      <c r="F106">
        <f>STDEV(B77:B106)</f>
        <v>1.2507469032908337E-4</v>
      </c>
      <c r="G106">
        <f>SQRT(alpha2*(B106-D106)^2+(1-alpha2)*G105^2)</f>
        <v>1.0402857396025228E-4</v>
      </c>
      <c r="H106">
        <f t="shared" si="5"/>
        <v>4.4293901421037993E-10</v>
      </c>
    </row>
    <row r="107" spans="1:8" x14ac:dyDescent="0.25">
      <c r="A107">
        <v>1102</v>
      </c>
      <c r="B107">
        <v>1.3472</v>
      </c>
      <c r="C107">
        <f t="shared" si="4"/>
        <v>1.3473233333333332</v>
      </c>
      <c r="D107" s="1">
        <f>alpha*B107+(1-alpha)*D106</f>
        <v>1.3472972170272628</v>
      </c>
      <c r="E107">
        <f t="shared" si="3"/>
        <v>1.3472438968384266</v>
      </c>
      <c r="F107">
        <f>STDEV(B78:B107)</f>
        <v>1.2507469032908337E-4</v>
      </c>
      <c r="G107">
        <f>SQRT(alpha2*(B107-D107)^2+(1-alpha2)*G106^2)</f>
        <v>1.0333828261943403E-4</v>
      </c>
      <c r="H107">
        <f t="shared" si="5"/>
        <v>4.7247142012010305E-10</v>
      </c>
    </row>
    <row r="108" spans="1:8" x14ac:dyDescent="0.25">
      <c r="A108">
        <v>1109</v>
      </c>
      <c r="B108">
        <v>1.3472999999999999</v>
      </c>
      <c r="C108">
        <f t="shared" si="4"/>
        <v>1.3473299999999999</v>
      </c>
      <c r="D108" s="1">
        <f>alpha*B108+(1-alpha)*D107</f>
        <v>1.347297464691267</v>
      </c>
      <c r="E108">
        <f t="shared" si="3"/>
        <v>1.3472607277868986</v>
      </c>
      <c r="F108">
        <f>STDEV(B79:B108)</f>
        <v>1.1788363637135935E-4</v>
      </c>
      <c r="G108">
        <f>SQRT(alpha2*(B108-D108)^2+(1-alpha2)*G107^2)</f>
        <v>9.7797497723942884E-5</v>
      </c>
      <c r="H108">
        <f t="shared" si="5"/>
        <v>4.0345296576323719E-10</v>
      </c>
    </row>
    <row r="109" spans="1:8" x14ac:dyDescent="0.25">
      <c r="A109">
        <v>1136</v>
      </c>
      <c r="B109">
        <v>1.3472</v>
      </c>
      <c r="C109">
        <f t="shared" si="4"/>
        <v>1.3473299999999999</v>
      </c>
      <c r="D109" s="1">
        <f>alpha*B109+(1-alpha)*D108</f>
        <v>1.3472887910541285</v>
      </c>
      <c r="E109">
        <f t="shared" si="3"/>
        <v>1.3472425094508289</v>
      </c>
      <c r="F109">
        <f>STDEV(B80:B109)</f>
        <v>1.1788363637135935E-4</v>
      </c>
      <c r="G109">
        <f>SQRT(alpha2*(B109-D109)^2+(1-alpha2)*G108^2)</f>
        <v>9.6896162897617028E-5</v>
      </c>
      <c r="H109">
        <f t="shared" si="5"/>
        <v>4.4047404281103738E-10</v>
      </c>
    </row>
    <row r="110" spans="1:8" x14ac:dyDescent="0.25">
      <c r="A110">
        <v>1140</v>
      </c>
      <c r="B110">
        <v>1.3471</v>
      </c>
      <c r="C110">
        <f t="shared" si="4"/>
        <v>1.3473233333333332</v>
      </c>
      <c r="D110" s="1">
        <f>alpha*B110+(1-alpha)*D109</f>
        <v>1.3472719900457095</v>
      </c>
      <c r="E110">
        <f t="shared" si="3"/>
        <v>1.3471997566155802</v>
      </c>
      <c r="F110">
        <f>STDEV(B81:B110)</f>
        <v>1.2507469032908334E-4</v>
      </c>
      <c r="G110">
        <f>SQRT(alpha2*(B110-D110)^2+(1-alpha2)*G109^2)</f>
        <v>1.0722575297639626E-4</v>
      </c>
      <c r="H110">
        <f t="shared" si="5"/>
        <v>3.1858456462014819E-10</v>
      </c>
    </row>
    <row r="111" spans="1:8" x14ac:dyDescent="0.25">
      <c r="A111">
        <v>1148</v>
      </c>
      <c r="B111">
        <v>1.3472</v>
      </c>
      <c r="C111">
        <f t="shared" si="4"/>
        <v>1.3473233333333332</v>
      </c>
      <c r="D111" s="1">
        <f>alpha*B111+(1-alpha)*D110</f>
        <v>1.3472655834637366</v>
      </c>
      <c r="E111">
        <f t="shared" si="3"/>
        <v>1.347199829630906</v>
      </c>
      <c r="F111">
        <f>STDEV(B82:B111)</f>
        <v>1.2507469032908334E-4</v>
      </c>
      <c r="G111">
        <f>SQRT(alpha2*(B111-D111)^2+(1-alpha2)*G110^2)</f>
        <v>1.036624825781738E-4</v>
      </c>
      <c r="H111">
        <f t="shared" si="5"/>
        <v>4.5848264076811048E-10</v>
      </c>
    </row>
    <row r="112" spans="1:8" x14ac:dyDescent="0.25">
      <c r="A112">
        <v>1152</v>
      </c>
      <c r="B112">
        <v>1.3472999999999999</v>
      </c>
      <c r="C112">
        <f t="shared" si="4"/>
        <v>1.3473233333333332</v>
      </c>
      <c r="D112" s="1">
        <f>alpha*B112+(1-alpha)*D111</f>
        <v>1.3472686462810837</v>
      </c>
      <c r="E112">
        <f t="shared" si="3"/>
        <v>1.3472298807416341</v>
      </c>
      <c r="F112">
        <f>STDEV(B83:B112)</f>
        <v>1.2507469032908334E-4</v>
      </c>
      <c r="G112">
        <f>SQRT(alpha2*(B112-D112)^2+(1-alpha2)*G111^2)</f>
        <v>9.8622693050385424E-5</v>
      </c>
      <c r="H112">
        <f t="shared" si="5"/>
        <v>6.9970816003224208E-10</v>
      </c>
    </row>
    <row r="113" spans="1:8" x14ac:dyDescent="0.25">
      <c r="A113">
        <v>1170</v>
      </c>
      <c r="B113">
        <v>1.3473999999999999</v>
      </c>
      <c r="C113">
        <f t="shared" si="4"/>
        <v>1.3473233333333332</v>
      </c>
      <c r="D113" s="1">
        <f>alpha*B113+(1-alpha)*D112</f>
        <v>1.3472803357912015</v>
      </c>
      <c r="E113">
        <f t="shared" si="3"/>
        <v>1.3472809165191437</v>
      </c>
      <c r="F113">
        <f>STDEV(B84:B113)</f>
        <v>1.2507469032908334E-4</v>
      </c>
      <c r="G113">
        <f>SQRT(alpha2*(B113-D113)^2+(1-alpha2)*G112^2)</f>
        <v>1.0102506307366515E-4</v>
      </c>
      <c r="H113">
        <f t="shared" si="5"/>
        <v>5.7838457112455361E-10</v>
      </c>
    </row>
    <row r="114" spans="1:8" x14ac:dyDescent="0.25">
      <c r="A114">
        <v>1181</v>
      </c>
      <c r="B114">
        <v>1.3474999999999999</v>
      </c>
      <c r="C114">
        <f t="shared" si="4"/>
        <v>1.3473299999999999</v>
      </c>
      <c r="D114" s="1">
        <f>alpha*B114+(1-alpha)*D113</f>
        <v>1.3472998842821955</v>
      </c>
      <c r="E114">
        <f t="shared" si="3"/>
        <v>1.3473466415634006</v>
      </c>
      <c r="F114">
        <f>STDEV(B85:B114)</f>
        <v>1.2905492014560872E-4</v>
      </c>
      <c r="G114">
        <f>SQRT(alpha2*(B114-D114)^2+(1-alpha2)*G113^2)</f>
        <v>1.1542138165277818E-4</v>
      </c>
      <c r="H114">
        <f t="shared" si="5"/>
        <v>1.8587337183549193E-10</v>
      </c>
    </row>
    <row r="115" spans="1:8" x14ac:dyDescent="0.25">
      <c r="A115">
        <v>1201</v>
      </c>
      <c r="B115">
        <v>1.3473999999999999</v>
      </c>
      <c r="C115">
        <f t="shared" si="4"/>
        <v>1.3473299999999999</v>
      </c>
      <c r="D115" s="1">
        <f>alpha*B115+(1-alpha)*D114</f>
        <v>1.3473087938411017</v>
      </c>
      <c r="E115">
        <f t="shared" si="3"/>
        <v>1.3473626490943802</v>
      </c>
      <c r="F115">
        <f>STDEV(B86:B115)</f>
        <v>1.2905492014560872E-4</v>
      </c>
      <c r="G115">
        <f>SQRT(alpha2*(B115-D115)^2+(1-alpha2)*G114^2)</f>
        <v>1.1313534971540676E-4</v>
      </c>
      <c r="H115">
        <f t="shared" si="5"/>
        <v>2.5343272268216048E-10</v>
      </c>
    </row>
    <row r="116" spans="1:8" x14ac:dyDescent="0.25">
      <c r="A116">
        <v>1203</v>
      </c>
      <c r="B116">
        <v>1.3472999999999999</v>
      </c>
      <c r="C116">
        <f t="shared" si="4"/>
        <v>1.3473299999999999</v>
      </c>
      <c r="D116" s="1">
        <f>alpha*B116+(1-alpha)*D115</f>
        <v>1.347308011254241</v>
      </c>
      <c r="E116">
        <f t="shared" si="3"/>
        <v>1.3473438543660661</v>
      </c>
      <c r="F116">
        <f>STDEV(B87:B116)</f>
        <v>1.2905492014560872E-4</v>
      </c>
      <c r="G116">
        <f>SQRT(alpha2*(B116-D116)^2+(1-alpha2)*G115^2)</f>
        <v>1.0709680304254031E-4</v>
      </c>
      <c r="H116">
        <f t="shared" si="5"/>
        <v>4.8215890671206534E-10</v>
      </c>
    </row>
    <row r="117" spans="1:8" x14ac:dyDescent="0.25">
      <c r="A117">
        <v>1204</v>
      </c>
      <c r="B117">
        <v>1.3473999999999999</v>
      </c>
      <c r="C117">
        <f t="shared" si="4"/>
        <v>1.3473300000000001</v>
      </c>
      <c r="D117" s="1">
        <f>alpha*B117+(1-alpha)*D116</f>
        <v>1.3473161975727037</v>
      </c>
      <c r="E117">
        <f t="shared" si="3"/>
        <v>1.3473606980562463</v>
      </c>
      <c r="F117">
        <f>STDEV(B88:B117)</f>
        <v>1.2905492014560866E-4</v>
      </c>
      <c r="G117">
        <f>SQRT(alpha2*(B117-D117)^2+(1-alpha2)*G116^2)</f>
        <v>1.0490645894990702E-4</v>
      </c>
      <c r="H117">
        <f t="shared" si="5"/>
        <v>5.831481781203077E-10</v>
      </c>
    </row>
    <row r="118" spans="1:8" x14ac:dyDescent="0.25">
      <c r="A118">
        <v>1212</v>
      </c>
      <c r="B118">
        <v>1.3473999999999999</v>
      </c>
      <c r="C118">
        <f t="shared" si="4"/>
        <v>1.3473233333333334</v>
      </c>
      <c r="D118" s="1">
        <f>alpha*B118+(1-alpha)*D117</f>
        <v>1.3473236553693302</v>
      </c>
      <c r="E118">
        <f t="shared" si="3"/>
        <v>1.3473724886393723</v>
      </c>
      <c r="F118">
        <f>STDEV(B89:B118)</f>
        <v>1.1943352886057089E-4</v>
      </c>
      <c r="G118">
        <f>SQRT(alpha2*(B118-D118)^2+(1-alpha2)*G117^2)</f>
        <v>1.0229749409795194E-4</v>
      </c>
      <c r="H118">
        <f t="shared" si="5"/>
        <v>2.9364368738568516E-10</v>
      </c>
    </row>
    <row r="119" spans="1:8" x14ac:dyDescent="0.25">
      <c r="A119">
        <v>1213</v>
      </c>
      <c r="B119">
        <v>1.3475999999999999</v>
      </c>
      <c r="C119">
        <f t="shared" si="4"/>
        <v>1.3473266666666668</v>
      </c>
      <c r="D119" s="1">
        <f>alpha*B119+(1-alpha)*D118</f>
        <v>1.3473482479989327</v>
      </c>
      <c r="E119">
        <f t="shared" si="3"/>
        <v>1.3474407420475605</v>
      </c>
      <c r="F119">
        <f>STDEV(B90:B119)</f>
        <v>1.2576204496595744E-4</v>
      </c>
      <c r="G119">
        <f>SQRT(alpha2*(B119-D119)^2+(1-alpha2)*G118^2)</f>
        <v>1.2645272091467284E-4</v>
      </c>
      <c r="H119">
        <f t="shared" si="5"/>
        <v>4.7703326613391581E-13</v>
      </c>
    </row>
    <row r="120" spans="1:8" x14ac:dyDescent="0.25">
      <c r="A120">
        <v>1215</v>
      </c>
      <c r="B120">
        <v>1.3474999999999999</v>
      </c>
      <c r="C120">
        <f t="shared" si="4"/>
        <v>1.3473233333333334</v>
      </c>
      <c r="D120" s="1">
        <f>alpha*B120+(1-alpha)*D119</f>
        <v>1.3473617528053936</v>
      </c>
      <c r="E120">
        <f t="shared" si="3"/>
        <v>1.3474585194332922</v>
      </c>
      <c r="F120">
        <f>STDEV(B91:B120)</f>
        <v>1.1943352886057088E-4</v>
      </c>
      <c r="G120">
        <f>SQRT(alpha2*(B120-D120)^2+(1-alpha2)*G119^2)</f>
        <v>1.2773527875639673E-4</v>
      </c>
      <c r="H120">
        <f t="shared" si="5"/>
        <v>6.8919051332844613E-11</v>
      </c>
    </row>
    <row r="121" spans="1:8" x14ac:dyDescent="0.25">
      <c r="A121">
        <v>1226</v>
      </c>
      <c r="B121">
        <v>1.3475999999999999</v>
      </c>
      <c r="C121">
        <f t="shared" si="4"/>
        <v>1.3473266666666668</v>
      </c>
      <c r="D121" s="1">
        <f>alpha*B121+(1-alpha)*D120</f>
        <v>1.3473829550447733</v>
      </c>
      <c r="E121">
        <f t="shared" si="3"/>
        <v>1.3475009636033044</v>
      </c>
      <c r="F121">
        <f>STDEV(B92:B121)</f>
        <v>1.2576204496595744E-4</v>
      </c>
      <c r="G121">
        <f>SQRT(alpha2*(B121-D121)^2+(1-alpha2)*G120^2)</f>
        <v>1.3975600948927283E-4</v>
      </c>
      <c r="H121">
        <f t="shared" si="5"/>
        <v>1.958310430798099E-10</v>
      </c>
    </row>
    <row r="122" spans="1:8" x14ac:dyDescent="0.25">
      <c r="A122">
        <v>1234</v>
      </c>
      <c r="B122">
        <v>1.3476999999999999</v>
      </c>
      <c r="C122">
        <f t="shared" si="4"/>
        <v>1.3473366666666671</v>
      </c>
      <c r="D122" s="1">
        <f>alpha*B122+(1-alpha)*D121</f>
        <v>1.347411169702436</v>
      </c>
      <c r="E122">
        <f t="shared" si="3"/>
        <v>1.347560674522313</v>
      </c>
      <c r="F122">
        <f>STDEV(B93:B122)</f>
        <v>1.4259499757470054E-4</v>
      </c>
      <c r="G122">
        <f>SQRT(alpha2*(B122-D122)^2+(1-alpha2)*G121^2)</f>
        <v>1.6187497061944051E-4</v>
      </c>
      <c r="H122">
        <f t="shared" si="5"/>
        <v>3.7171736060589994E-10</v>
      </c>
    </row>
    <row r="123" spans="1:8" x14ac:dyDescent="0.25">
      <c r="A123">
        <v>1236</v>
      </c>
      <c r="B123">
        <v>1.3475999999999999</v>
      </c>
      <c r="C123">
        <f t="shared" si="4"/>
        <v>1.3473466666666669</v>
      </c>
      <c r="D123" s="1">
        <f>alpha*B123+(1-alpha)*D122</f>
        <v>1.3474279742032309</v>
      </c>
      <c r="E123">
        <f t="shared" si="3"/>
        <v>1.347572472165619</v>
      </c>
      <c r="F123">
        <f>STDEV(B94:B123)</f>
        <v>1.5024883574814543E-4</v>
      </c>
      <c r="G123">
        <f>SQRT(alpha2*(B123-D123)^2+(1-alpha2)*G122^2)</f>
        <v>1.6296452675900074E-4</v>
      </c>
      <c r="H123">
        <f t="shared" si="5"/>
        <v>1.6168879788354652E-10</v>
      </c>
    </row>
    <row r="124" spans="1:8" x14ac:dyDescent="0.25">
      <c r="A124">
        <v>1245</v>
      </c>
      <c r="B124">
        <v>1.3476999999999999</v>
      </c>
      <c r="C124">
        <f t="shared" si="4"/>
        <v>1.347356666666667</v>
      </c>
      <c r="D124" s="1">
        <f>alpha*B124+(1-alpha)*D123</f>
        <v>1.3474521824885377</v>
      </c>
      <c r="E124">
        <f t="shared" si="3"/>
        <v>1.3476107305159331</v>
      </c>
      <c r="F124">
        <f>STDEV(B95:B124)</f>
        <v>1.6333450621205047E-4</v>
      </c>
      <c r="G124">
        <f>SQRT(alpha2*(B124-D124)^2+(1-alpha2)*G123^2)</f>
        <v>1.7377353857031988E-4</v>
      </c>
      <c r="H124">
        <f t="shared" si="5"/>
        <v>1.0897339657699581E-10</v>
      </c>
    </row>
    <row r="125" spans="1:8" x14ac:dyDescent="0.25">
      <c r="A125">
        <v>1250</v>
      </c>
      <c r="B125">
        <v>1.3478000000000001</v>
      </c>
      <c r="C125">
        <f t="shared" si="4"/>
        <v>1.347366666666667</v>
      </c>
      <c r="D125" s="1">
        <f>alpha*B125+(1-alpha)*D124</f>
        <v>1.3474831356762582</v>
      </c>
      <c r="E125">
        <f t="shared" si="3"/>
        <v>1.3476675113611531</v>
      </c>
      <c r="F125">
        <f>STDEV(B96:B125)</f>
        <v>1.8067561584485877E-4</v>
      </c>
      <c r="G125">
        <f>SQRT(alpha2*(B125-D125)^2+(1-alpha2)*G124^2)</f>
        <v>1.937224742400604E-4</v>
      </c>
      <c r="H125">
        <f t="shared" si="5"/>
        <v>1.7022051398444343E-10</v>
      </c>
    </row>
    <row r="126" spans="1:8" x14ac:dyDescent="0.25">
      <c r="A126">
        <v>1251</v>
      </c>
      <c r="B126">
        <v>1.3476999999999999</v>
      </c>
      <c r="C126">
        <f t="shared" si="4"/>
        <v>1.3473800000000005</v>
      </c>
      <c r="D126" s="1">
        <f>alpha*B126+(1-alpha)*D125</f>
        <v>1.3475024349981768</v>
      </c>
      <c r="E126">
        <f t="shared" si="3"/>
        <v>1.3476772579528071</v>
      </c>
      <c r="F126">
        <f>STDEV(B97:B126)</f>
        <v>1.9009979230520278E-4</v>
      </c>
      <c r="G126">
        <f>SQRT(alpha2*(B126-D126)^2+(1-alpha2)*G125^2)</f>
        <v>1.9412728220909826E-4</v>
      </c>
      <c r="H126">
        <f t="shared" si="5"/>
        <v>1.6220674925980023E-11</v>
      </c>
    </row>
    <row r="127" spans="1:8" x14ac:dyDescent="0.25">
      <c r="A127">
        <v>1252</v>
      </c>
      <c r="B127">
        <v>1.3478000000000001</v>
      </c>
      <c r="C127">
        <f t="shared" si="4"/>
        <v>1.3474000000000004</v>
      </c>
      <c r="D127" s="1">
        <f>alpha*B127+(1-alpha)*D126</f>
        <v>1.3475289160839674</v>
      </c>
      <c r="E127">
        <f t="shared" si="3"/>
        <v>1.347714080566965</v>
      </c>
      <c r="F127">
        <f>STDEV(B98:B127)</f>
        <v>2.0171676968565872E-4</v>
      </c>
      <c r="G127">
        <f>SQRT(alpha2*(B127-D127)^2+(1-alpha2)*G126^2)</f>
        <v>2.0352859394985389E-4</v>
      </c>
      <c r="H127">
        <f t="shared" si="5"/>
        <v>3.2827071643263847E-12</v>
      </c>
    </row>
    <row r="128" spans="1:8" x14ac:dyDescent="0.25">
      <c r="A128">
        <v>1253</v>
      </c>
      <c r="B128">
        <v>1.3479000000000001</v>
      </c>
      <c r="C128">
        <f t="shared" si="4"/>
        <v>1.3474200000000005</v>
      </c>
      <c r="D128" s="1">
        <f>alpha*B128+(1-alpha)*D127</f>
        <v>1.3475619398097274</v>
      </c>
      <c r="E128">
        <f t="shared" si="3"/>
        <v>1.3477698563968754</v>
      </c>
      <c r="F128">
        <f>STDEV(B99:B128)</f>
        <v>2.2034455776791798E-4</v>
      </c>
      <c r="G128">
        <f>SQRT(alpha2*(B128-D128)^2+(1-alpha2)*G127^2)</f>
        <v>2.2143236672602385E-4</v>
      </c>
      <c r="H128">
        <f t="shared" si="5"/>
        <v>1.1833283293353643E-12</v>
      </c>
    </row>
    <row r="129" spans="1:8" x14ac:dyDescent="0.25">
      <c r="A129">
        <v>1258</v>
      </c>
      <c r="B129">
        <v>1.3480000000000001</v>
      </c>
      <c r="C129">
        <f t="shared" si="4"/>
        <v>1.3474466666666669</v>
      </c>
      <c r="D129" s="1">
        <f>alpha*B129+(1-alpha)*D128</f>
        <v>1.3476009239288576</v>
      </c>
      <c r="E129">
        <f t="shared" si="3"/>
        <v>1.3478388994778128</v>
      </c>
      <c r="F129">
        <f>STDEV(B100:B129)</f>
        <v>2.4030631792941928E-4</v>
      </c>
      <c r="G129">
        <f>SQRT(alpha2*(B129-D129)^2+(1-alpha2)*G128^2)</f>
        <v>2.4605461069603611E-4</v>
      </c>
      <c r="H129">
        <f t="shared" si="5"/>
        <v>3.3042869730739378E-11</v>
      </c>
    </row>
    <row r="130" spans="1:8" x14ac:dyDescent="0.25">
      <c r="A130">
        <v>1267</v>
      </c>
      <c r="B130">
        <v>1.3479000000000001</v>
      </c>
      <c r="C130">
        <f t="shared" si="4"/>
        <v>1.3474666666666668</v>
      </c>
      <c r="D130" s="1">
        <f>alpha*B130+(1-alpha)*D129</f>
        <v>1.3476275394886488</v>
      </c>
      <c r="E130">
        <f t="shared" si="3"/>
        <v>1.3478572296344689</v>
      </c>
      <c r="F130">
        <f>STDEV(B101:B130)</f>
        <v>2.5234532077999356E-4</v>
      </c>
      <c r="G130">
        <f>SQRT(alpha2*(B130-D130)^2+(1-alpha2)*G129^2)</f>
        <v>2.4894302126597445E-4</v>
      </c>
      <c r="H130">
        <f t="shared" si="5"/>
        <v>1.1575641983094708E-11</v>
      </c>
    </row>
    <row r="131" spans="1:8" x14ac:dyDescent="0.25">
      <c r="A131">
        <v>1268</v>
      </c>
      <c r="B131">
        <v>1.3479000000000001</v>
      </c>
      <c r="C131">
        <f t="shared" si="4"/>
        <v>1.3474900000000003</v>
      </c>
      <c r="D131" s="1">
        <f>alpha*B131+(1-alpha)*D130</f>
        <v>1.3476517864603403</v>
      </c>
      <c r="E131">
        <f t="shared" si="3"/>
        <v>1.3478700607441283</v>
      </c>
      <c r="F131">
        <f>STDEV(B102:B131)</f>
        <v>2.5910988216296213E-4</v>
      </c>
      <c r="G131">
        <f>SQRT(alpha2*(B131-D131)^2+(1-alpha2)*G130^2)</f>
        <v>2.4886694598447357E-4</v>
      </c>
      <c r="H131">
        <f t="shared" si="5"/>
        <v>1.0491774155658982E-10</v>
      </c>
    </row>
    <row r="132" spans="1:8" x14ac:dyDescent="0.25">
      <c r="A132">
        <v>1269</v>
      </c>
      <c r="B132">
        <v>1.3480000000000001</v>
      </c>
      <c r="C132">
        <f t="shared" si="4"/>
        <v>1.3475133333333333</v>
      </c>
      <c r="D132" s="1">
        <f>alpha*B132+(1-alpha)*D131</f>
        <v>1.3476827748916433</v>
      </c>
      <c r="E132">
        <f t="shared" ref="E132:E195" si="6">0.3*B132+(1-0.3)*E131</f>
        <v>1.3479090425208897</v>
      </c>
      <c r="F132">
        <f>STDEV(B103:B132)</f>
        <v>2.7257815498446996E-4</v>
      </c>
      <c r="G132">
        <f>SQRT(alpha2*(B132-D132)^2+(1-alpha2)*G131^2)</f>
        <v>2.5685725067644844E-4</v>
      </c>
      <c r="H132">
        <f t="shared" si="5"/>
        <v>2.471468322619697E-10</v>
      </c>
    </row>
    <row r="133" spans="1:8" x14ac:dyDescent="0.25">
      <c r="A133">
        <v>1274</v>
      </c>
      <c r="B133">
        <v>1.3479000000000001</v>
      </c>
      <c r="C133">
        <f t="shared" si="4"/>
        <v>1.347536666666667</v>
      </c>
      <c r="D133" s="1">
        <f>alpha*B133+(1-alpha)*D132</f>
        <v>1.3477021063207262</v>
      </c>
      <c r="E133">
        <f t="shared" si="6"/>
        <v>1.3479063297646228</v>
      </c>
      <c r="F133">
        <f>STDEV(B104:B133)</f>
        <v>2.7478309104903936E-4</v>
      </c>
      <c r="G133">
        <f>SQRT(alpha2*(B133-D133)^2+(1-alpha2)*G132^2)</f>
        <v>2.5134767514146917E-4</v>
      </c>
      <c r="H133">
        <f t="shared" si="5"/>
        <v>5.4921871876079398E-10</v>
      </c>
    </row>
    <row r="134" spans="1:8" x14ac:dyDescent="0.25">
      <c r="A134">
        <v>1280</v>
      </c>
      <c r="B134">
        <v>1.3480000000000001</v>
      </c>
      <c r="C134">
        <f t="shared" si="4"/>
        <v>1.3475600000000003</v>
      </c>
      <c r="D134" s="1">
        <f>alpha*B134+(1-alpha)*D133</f>
        <v>1.3477286166563807</v>
      </c>
      <c r="E134">
        <f t="shared" si="6"/>
        <v>1.3479344308352359</v>
      </c>
      <c r="F134">
        <f>STDEV(B105:B134)</f>
        <v>2.8357325879475821E-4</v>
      </c>
      <c r="G134">
        <f>SQRT(alpha2*(B134-D134)^2+(1-alpha2)*G133^2)</f>
        <v>2.5351392925703663E-4</v>
      </c>
      <c r="H134">
        <f t="shared" si="5"/>
        <v>9.0356329225734095E-10</v>
      </c>
    </row>
    <row r="135" spans="1:8" x14ac:dyDescent="0.25">
      <c r="A135">
        <v>1287</v>
      </c>
      <c r="B135">
        <v>1.3479000000000001</v>
      </c>
      <c r="C135">
        <f t="shared" si="4"/>
        <v>1.3475833333333336</v>
      </c>
      <c r="D135" s="1">
        <f>alpha*B135+(1-alpha)*D134</f>
        <v>1.3477438685072289</v>
      </c>
      <c r="E135">
        <f t="shared" si="6"/>
        <v>1.347924101584665</v>
      </c>
      <c r="F135">
        <f>STDEV(B106:B135)</f>
        <v>2.8172294207605208E-4</v>
      </c>
      <c r="G135">
        <f>SQRT(alpha2*(B135-D135)^2+(1-alpha2)*G134^2)</f>
        <v>2.4516037325805512E-4</v>
      </c>
      <c r="H135">
        <f t="shared" si="5"/>
        <v>1.3368214385707634E-9</v>
      </c>
    </row>
    <row r="136" spans="1:8" x14ac:dyDescent="0.25">
      <c r="A136">
        <v>1304</v>
      </c>
      <c r="B136">
        <v>1.3480000000000001</v>
      </c>
      <c r="C136">
        <f t="shared" si="4"/>
        <v>1.3476066666666668</v>
      </c>
      <c r="D136" s="1">
        <f>alpha*B136+(1-alpha)*D135</f>
        <v>1.3477666623169586</v>
      </c>
      <c r="E136">
        <f t="shared" si="6"/>
        <v>1.3479468711092655</v>
      </c>
      <c r="F136">
        <f>STDEV(B107:B136)</f>
        <v>2.863965581248866E-4</v>
      </c>
      <c r="G136">
        <f>SQRT(alpha2*(B136-D136)^2+(1-alpha2)*G135^2)</f>
        <v>2.4395259573008313E-4</v>
      </c>
      <c r="H136">
        <f t="shared" si="5"/>
        <v>1.8014899437714912E-9</v>
      </c>
    </row>
    <row r="137" spans="1:8" x14ac:dyDescent="0.25">
      <c r="A137">
        <v>1311</v>
      </c>
      <c r="B137">
        <v>1.3479000000000001</v>
      </c>
      <c r="C137">
        <f t="shared" si="4"/>
        <v>1.3476300000000001</v>
      </c>
      <c r="D137" s="1">
        <f>alpha*B137+(1-alpha)*D136</f>
        <v>1.3477785283852197</v>
      </c>
      <c r="E137">
        <f t="shared" si="6"/>
        <v>1.3479328097764858</v>
      </c>
      <c r="F137">
        <f>STDEV(B108:B137)</f>
        <v>2.8057822069980736E-4</v>
      </c>
      <c r="G137">
        <f>SQRT(alpha2*(B137-D137)^2+(1-alpha2)*G136^2)</f>
        <v>2.3417753427987736E-4</v>
      </c>
      <c r="H137">
        <f t="shared" si="5"/>
        <v>2.1530237002406765E-9</v>
      </c>
    </row>
    <row r="138" spans="1:8" x14ac:dyDescent="0.25">
      <c r="A138">
        <v>1312</v>
      </c>
      <c r="B138">
        <v>1.3480000000000001</v>
      </c>
      <c r="C138">
        <f t="shared" si="4"/>
        <v>1.3476533333333334</v>
      </c>
      <c r="D138" s="1">
        <f>alpha*B138+(1-alpha)*D137</f>
        <v>1.3477982377219873</v>
      </c>
      <c r="E138">
        <f t="shared" si="6"/>
        <v>1.3479529668435399</v>
      </c>
      <c r="F138">
        <f>STDEV(B109:B138)</f>
        <v>2.8129421746926376E-4</v>
      </c>
      <c r="G138">
        <f>SQRT(alpha2*(B138-D138)^2+(1-alpha2)*G137^2)</f>
        <v>2.3100539786455828E-4</v>
      </c>
      <c r="H138">
        <f t="shared" si="5"/>
        <v>2.5289653772346102E-9</v>
      </c>
    </row>
    <row r="139" spans="1:8" x14ac:dyDescent="0.25">
      <c r="A139">
        <v>1322</v>
      </c>
      <c r="B139">
        <v>1.3479000000000001</v>
      </c>
      <c r="C139">
        <f t="shared" si="4"/>
        <v>1.3476766666666669</v>
      </c>
      <c r="D139" s="1">
        <f>alpha*B139+(1-alpha)*D138</f>
        <v>1.347807293812582</v>
      </c>
      <c r="E139">
        <f t="shared" si="6"/>
        <v>1.3479370767904779</v>
      </c>
      <c r="F139">
        <f>STDEV(B110:B139)</f>
        <v>2.712465901052296E-4</v>
      </c>
      <c r="G139">
        <f>SQRT(alpha2*(B139-D139)^2+(1-alpha2)*G138^2)</f>
        <v>2.2065479214475811E-4</v>
      </c>
      <c r="H139">
        <f t="shared" si="5"/>
        <v>2.5595300208731676E-9</v>
      </c>
    </row>
    <row r="140" spans="1:8" x14ac:dyDescent="0.25">
      <c r="A140">
        <v>1325</v>
      </c>
      <c r="B140">
        <v>1.3480000000000001</v>
      </c>
      <c r="C140">
        <f t="shared" si="4"/>
        <v>1.3477066666666668</v>
      </c>
      <c r="D140" s="1">
        <f>alpha*B140+(1-alpha)*D139</f>
        <v>1.3478244432389264</v>
      </c>
      <c r="E140">
        <f t="shared" si="6"/>
        <v>1.3479559537533345</v>
      </c>
      <c r="F140">
        <f>STDEV(B111:B140)</f>
        <v>2.5452231571207771E-4</v>
      </c>
      <c r="G140">
        <f>SQRT(alpha2*(B140-D140)^2+(1-alpha2)*G139^2)</f>
        <v>2.1638543051199737E-4</v>
      </c>
      <c r="H140">
        <f t="shared" si="5"/>
        <v>1.4544220127641068E-9</v>
      </c>
    </row>
    <row r="141" spans="1:8" x14ac:dyDescent="0.25">
      <c r="A141">
        <v>1334</v>
      </c>
      <c r="B141">
        <v>1.3481000000000001</v>
      </c>
      <c r="C141">
        <f t="shared" si="4"/>
        <v>1.3477366666666666</v>
      </c>
      <c r="D141" s="1">
        <f>alpha*B141+(1-alpha)*D140</f>
        <v>1.3478489657539581</v>
      </c>
      <c r="E141">
        <f t="shared" si="6"/>
        <v>1.3479991676273342</v>
      </c>
      <c r="F141">
        <f>STDEV(B112:B141)</f>
        <v>2.4562844569261358E-4</v>
      </c>
      <c r="G141">
        <f>SQRT(alpha2*(B141-D141)^2+(1-alpha2)*G140^2)</f>
        <v>2.2025860874648405E-4</v>
      </c>
      <c r="H141">
        <f t="shared" si="5"/>
        <v>6.4362862667319877E-10</v>
      </c>
    </row>
    <row r="142" spans="1:8" x14ac:dyDescent="0.25">
      <c r="A142">
        <v>1336</v>
      </c>
      <c r="B142">
        <v>1.3481000000000001</v>
      </c>
      <c r="C142">
        <f t="shared" si="4"/>
        <v>1.3477633333333332</v>
      </c>
      <c r="D142" s="1">
        <f>alpha*B142+(1-alpha)*D141</f>
        <v>1.3478713059464038</v>
      </c>
      <c r="E142">
        <f t="shared" si="6"/>
        <v>1.3480294173391338</v>
      </c>
      <c r="F142">
        <f>STDEV(B113:B142)</f>
        <v>2.3994731222439915E-4</v>
      </c>
      <c r="G142">
        <f>SQRT(alpha2*(B142-D142)^2+(1-alpha2)*G141^2)</f>
        <v>2.2115451575697851E-4</v>
      </c>
      <c r="H142">
        <f t="shared" si="5"/>
        <v>3.531691990658977E-10</v>
      </c>
    </row>
    <row r="143" spans="1:8" x14ac:dyDescent="0.25">
      <c r="A143">
        <v>1340</v>
      </c>
      <c r="B143">
        <v>1.3482000000000001</v>
      </c>
      <c r="C143">
        <f t="shared" si="4"/>
        <v>1.3477899999999998</v>
      </c>
      <c r="D143" s="1">
        <f>alpha*B143+(1-alpha)*D142</f>
        <v>1.3479005572877201</v>
      </c>
      <c r="E143">
        <f t="shared" si="6"/>
        <v>1.3480805921373935</v>
      </c>
      <c r="F143">
        <f>STDEV(B114:B143)</f>
        <v>2.4261506335252853E-4</v>
      </c>
      <c r="G143">
        <f>SQRT(alpha2*(B143-D143)^2+(1-alpha2)*G142^2)</f>
        <v>2.3057597916371445E-4</v>
      </c>
      <c r="H143">
        <f t="shared" si="5"/>
        <v>1.4493954810535318E-10</v>
      </c>
    </row>
    <row r="144" spans="1:8" x14ac:dyDescent="0.25">
      <c r="A144">
        <v>1351</v>
      </c>
      <c r="B144">
        <v>1.3481000000000001</v>
      </c>
      <c r="C144">
        <f t="shared" si="4"/>
        <v>1.34781</v>
      </c>
      <c r="D144" s="1">
        <f>alpha*B144+(1-alpha)*D143</f>
        <v>1.3479183062149858</v>
      </c>
      <c r="E144">
        <f t="shared" si="6"/>
        <v>1.3480864144961755</v>
      </c>
      <c r="F144">
        <f>STDEV(B115:B144)</f>
        <v>2.4261506335252636E-4</v>
      </c>
      <c r="G144">
        <f>SQRT(alpha2*(B144-D144)^2+(1-alpha2)*G143^2)</f>
        <v>2.2596651326746835E-4</v>
      </c>
      <c r="H144">
        <f t="shared" si="5"/>
        <v>2.7717421993468506E-10</v>
      </c>
    </row>
    <row r="145" spans="1:8" x14ac:dyDescent="0.25">
      <c r="A145">
        <v>1362</v>
      </c>
      <c r="B145">
        <v>1.3482000000000001</v>
      </c>
      <c r="C145">
        <f t="shared" si="4"/>
        <v>1.3478366666666663</v>
      </c>
      <c r="D145" s="1">
        <f>alpha*B145+(1-alpha)*D144</f>
        <v>1.347943374879788</v>
      </c>
      <c r="E145">
        <f t="shared" si="6"/>
        <v>1.3481204901473227</v>
      </c>
      <c r="F145">
        <f>STDEV(B116:B145)</f>
        <v>2.3994731222439091E-4</v>
      </c>
      <c r="G145">
        <f>SQRT(alpha2*(B145-D145)^2+(1-alpha2)*G144^2)</f>
        <v>2.2935971107049927E-4</v>
      </c>
      <c r="H145">
        <f t="shared" si="5"/>
        <v>1.1209729819388757E-10</v>
      </c>
    </row>
    <row r="146" spans="1:8" x14ac:dyDescent="0.25">
      <c r="A146">
        <v>1364</v>
      </c>
      <c r="B146">
        <v>1.3481000000000001</v>
      </c>
      <c r="C146">
        <f t="shared" si="4"/>
        <v>1.3478633333333332</v>
      </c>
      <c r="D146" s="1">
        <f>alpha*B146+(1-alpha)*D145</f>
        <v>1.3479573133578344</v>
      </c>
      <c r="E146">
        <f t="shared" si="6"/>
        <v>1.3481143431031259</v>
      </c>
      <c r="F146">
        <f>STDEV(B117:B146)</f>
        <v>2.2203344472115262E-4</v>
      </c>
      <c r="G146">
        <f>SQRT(alpha2*(B146-D146)^2+(1-alpha2)*G145^2)</f>
        <v>2.2189768908270423E-4</v>
      </c>
      <c r="H146">
        <f t="shared" si="5"/>
        <v>1.8429593370530063E-14</v>
      </c>
    </row>
    <row r="147" spans="1:8" x14ac:dyDescent="0.25">
      <c r="A147">
        <v>1374</v>
      </c>
      <c r="B147">
        <v>1.3480000000000001</v>
      </c>
      <c r="C147">
        <f t="shared" si="4"/>
        <v>1.3478833333333329</v>
      </c>
      <c r="D147" s="1">
        <f>alpha*B147+(1-alpha)*D146</f>
        <v>1.3479611121534805</v>
      </c>
      <c r="E147">
        <f t="shared" si="6"/>
        <v>1.3480800401721882</v>
      </c>
      <c r="F147">
        <f>STDEV(B118:B147)</f>
        <v>2.052472576714111E-4</v>
      </c>
      <c r="G147">
        <f>SQRT(alpha2*(B147-D147)^2+(1-alpha2)*G146^2)</f>
        <v>2.1036829399136351E-4</v>
      </c>
      <c r="H147">
        <f t="shared" si="5"/>
        <v>2.6225012990271729E-11</v>
      </c>
    </row>
    <row r="148" spans="1:8" x14ac:dyDescent="0.25">
      <c r="A148">
        <v>1382</v>
      </c>
      <c r="B148">
        <v>1.3479000000000001</v>
      </c>
      <c r="C148">
        <f t="shared" si="4"/>
        <v>1.3478999999999997</v>
      </c>
      <c r="D148" s="1">
        <f>alpha*B148+(1-alpha)*D147</f>
        <v>1.347955673623515</v>
      </c>
      <c r="E148">
        <f t="shared" si="6"/>
        <v>1.3480260281205316</v>
      </c>
      <c r="F148">
        <f>STDEV(B119:B148)</f>
        <v>1.8382900600367045E-4</v>
      </c>
      <c r="G148">
        <f>SQRT(alpha2*(B148-D148)^2+(1-alpha2)*G147^2)</f>
        <v>1.9989304231840513E-4</v>
      </c>
      <c r="H148">
        <f t="shared" si="5"/>
        <v>2.5805326272111459E-10</v>
      </c>
    </row>
    <row r="149" spans="1:8" x14ac:dyDescent="0.25">
      <c r="A149">
        <v>1396</v>
      </c>
      <c r="B149">
        <v>1.3478000000000001</v>
      </c>
      <c r="C149">
        <f t="shared" si="4"/>
        <v>1.3479066666666664</v>
      </c>
      <c r="D149" s="1">
        <f>alpha*B149+(1-alpha)*D148</f>
        <v>1.347941819821642</v>
      </c>
      <c r="E149">
        <f t="shared" si="6"/>
        <v>1.3479582196843722</v>
      </c>
      <c r="F149">
        <f>STDEV(B120:B149)</f>
        <v>1.7603552410563249E-4</v>
      </c>
      <c r="G149">
        <f>SQRT(alpha2*(B149-D149)^2+(1-alpha2)*G148^2)</f>
        <v>1.9464070367150639E-4</v>
      </c>
      <c r="H149">
        <f t="shared" si="5"/>
        <v>3.4615270667841191E-10</v>
      </c>
    </row>
    <row r="150" spans="1:8" x14ac:dyDescent="0.25">
      <c r="A150">
        <v>1405</v>
      </c>
      <c r="B150">
        <v>1.3479000000000001</v>
      </c>
      <c r="C150">
        <f t="shared" si="4"/>
        <v>1.3479199999999998</v>
      </c>
      <c r="D150" s="1">
        <f>alpha*B150+(1-alpha)*D149</f>
        <v>1.347938098166616</v>
      </c>
      <c r="E150">
        <f t="shared" si="6"/>
        <v>1.3479407537790604</v>
      </c>
      <c r="F150">
        <f>STDEV(B121:B150)</f>
        <v>1.584406774659729E-4</v>
      </c>
      <c r="G150">
        <f>SQRT(alpha2*(B150-D150)^2+(1-alpha2)*G149^2)</f>
        <v>1.846089767472512E-4</v>
      </c>
      <c r="H150">
        <f t="shared" si="5"/>
        <v>6.8477988727455063E-10</v>
      </c>
    </row>
    <row r="151" spans="1:8" x14ac:dyDescent="0.25">
      <c r="A151">
        <v>1409</v>
      </c>
      <c r="B151">
        <v>1.3478000000000001</v>
      </c>
      <c r="C151">
        <f t="shared" si="4"/>
        <v>1.3479266666666665</v>
      </c>
      <c r="D151" s="1">
        <f>alpha*B151+(1-alpha)*D150</f>
        <v>1.3479258084505028</v>
      </c>
      <c r="E151">
        <f t="shared" si="6"/>
        <v>1.3478985276453423</v>
      </c>
      <c r="F151">
        <f>STDEV(B122:B151)</f>
        <v>1.4840144374552998E-4</v>
      </c>
      <c r="G151">
        <f>SQRT(alpha2*(B151-D151)^2+(1-alpha2)*G150^2)</f>
        <v>1.7937239624615551E-4</v>
      </c>
      <c r="H151">
        <f t="shared" si="5"/>
        <v>9.5919989879600277E-10</v>
      </c>
    </row>
    <row r="152" spans="1:8" x14ac:dyDescent="0.25">
      <c r="A152">
        <v>1411</v>
      </c>
      <c r="B152">
        <v>1.3476999999999999</v>
      </c>
      <c r="C152">
        <f t="shared" si="4"/>
        <v>1.3479266666666665</v>
      </c>
      <c r="D152" s="1">
        <f>alpha*B152+(1-alpha)*D151</f>
        <v>1.3479057131674106</v>
      </c>
      <c r="E152">
        <f t="shared" si="6"/>
        <v>1.3478389693517396</v>
      </c>
      <c r="F152">
        <f>STDEV(B123:B152)</f>
        <v>1.4840144374552998E-4</v>
      </c>
      <c r="G152">
        <f>SQRT(alpha2*(B152-D152)^2+(1-alpha2)*G151^2)</f>
        <v>1.8230105471323197E-4</v>
      </c>
      <c r="H152">
        <f t="shared" si="5"/>
        <v>1.1491836237615411E-9</v>
      </c>
    </row>
    <row r="153" spans="1:8" x14ac:dyDescent="0.25">
      <c r="A153">
        <v>1415</v>
      </c>
      <c r="B153">
        <v>1.3475999999999999</v>
      </c>
      <c r="C153">
        <f t="shared" si="4"/>
        <v>1.3479266666666665</v>
      </c>
      <c r="D153" s="1">
        <f>alpha*B153+(1-alpha)*D152</f>
        <v>1.3478785069551078</v>
      </c>
      <c r="E153">
        <f t="shared" si="6"/>
        <v>1.3477672785462178</v>
      </c>
      <c r="F153">
        <f>STDEV(B124:B153)</f>
        <v>1.4840144374552998E-4</v>
      </c>
      <c r="G153">
        <f>SQRT(alpha2*(B153-D153)^2+(1-alpha2)*G152^2)</f>
        <v>1.945842719792696E-4</v>
      </c>
      <c r="H153">
        <f t="shared" si="5"/>
        <v>2.1328536236670973E-9</v>
      </c>
    </row>
    <row r="154" spans="1:8" x14ac:dyDescent="0.25">
      <c r="A154">
        <v>1425</v>
      </c>
      <c r="B154">
        <v>1.3474999999999999</v>
      </c>
      <c r="C154">
        <f t="shared" si="4"/>
        <v>1.3479199999999996</v>
      </c>
      <c r="D154" s="1">
        <f>alpha*B154+(1-alpha)*D153</f>
        <v>1.3478448226337358</v>
      </c>
      <c r="E154">
        <f t="shared" si="6"/>
        <v>1.3476870949823523</v>
      </c>
      <c r="F154">
        <f>STDEV(B125:B154)</f>
        <v>1.6273524086903208E-4</v>
      </c>
      <c r="G154">
        <f>SQRT(alpha2*(B154-D154)^2+(1-alpha2)*G153^2)</f>
        <v>2.1523360721866419E-4</v>
      </c>
      <c r="H154">
        <f t="shared" si="5"/>
        <v>2.7560784693801847E-9</v>
      </c>
    </row>
    <row r="155" spans="1:8" x14ac:dyDescent="0.25">
      <c r="A155">
        <v>1435</v>
      </c>
      <c r="B155">
        <v>1.3473999999999999</v>
      </c>
      <c r="C155">
        <f t="shared" si="4"/>
        <v>1.3479066666666666</v>
      </c>
      <c r="D155" s="1">
        <f>alpha*B155+(1-alpha)*D154</f>
        <v>1.3478052367071207</v>
      </c>
      <c r="E155">
        <f t="shared" si="6"/>
        <v>1.3476009664876465</v>
      </c>
      <c r="F155">
        <f>STDEV(B126:B155)</f>
        <v>1.8742048122237458E-4</v>
      </c>
      <c r="G155">
        <f>SQRT(alpha2*(B155-D155)^2+(1-alpha2)*G154^2)</f>
        <v>2.4214905630502798E-4</v>
      </c>
      <c r="H155">
        <f t="shared" si="5"/>
        <v>2.9952169305776315E-9</v>
      </c>
    </row>
    <row r="156" spans="1:8" x14ac:dyDescent="0.25">
      <c r="A156">
        <v>1436</v>
      </c>
      <c r="B156">
        <v>1.3474999999999999</v>
      </c>
      <c r="C156">
        <f t="shared" si="4"/>
        <v>1.3478999999999997</v>
      </c>
      <c r="D156" s="1">
        <f>alpha*B156+(1-alpha)*D155</f>
        <v>1.3477780728962621</v>
      </c>
      <c r="E156">
        <f t="shared" si="6"/>
        <v>1.3475706765413524</v>
      </c>
      <c r="F156">
        <f>STDEV(B127:B156)</f>
        <v>1.9826836567542772E-4</v>
      </c>
      <c r="G156">
        <f>SQRT(alpha2*(B156-D156)^2+(1-alpha2)*G155^2)</f>
        <v>2.4614564130946763E-4</v>
      </c>
      <c r="H156">
        <f t="shared" si="5"/>
        <v>2.2922335221378322E-9</v>
      </c>
    </row>
    <row r="157" spans="1:8" x14ac:dyDescent="0.25">
      <c r="A157">
        <v>1438</v>
      </c>
      <c r="B157">
        <v>1.3473999999999999</v>
      </c>
      <c r="C157">
        <f t="shared" si="4"/>
        <v>1.3478866666666665</v>
      </c>
      <c r="D157" s="1">
        <f>alpha*B157+(1-alpha)*D156</f>
        <v>1.3477444272029193</v>
      </c>
      <c r="E157">
        <f t="shared" si="6"/>
        <v>1.3475194735789466</v>
      </c>
      <c r="F157">
        <f>STDEV(B128:B157)</f>
        <v>2.1772068999201309E-4</v>
      </c>
      <c r="G157">
        <f>SQRT(alpha2*(B157-D157)^2+(1-alpha2)*G156^2)</f>
        <v>2.5816407363794206E-4</v>
      </c>
      <c r="H157">
        <f t="shared" si="5"/>
        <v>1.6356672807317948E-9</v>
      </c>
    </row>
    <row r="158" spans="1:8" x14ac:dyDescent="0.25">
      <c r="A158">
        <v>1440</v>
      </c>
      <c r="B158">
        <v>1.3474999999999999</v>
      </c>
      <c r="C158">
        <f t="shared" si="4"/>
        <v>1.3478733333333328</v>
      </c>
      <c r="D158" s="1">
        <f>alpha*B158+(1-alpha)*D157</f>
        <v>1.3477226749884776</v>
      </c>
      <c r="E158">
        <f t="shared" si="6"/>
        <v>1.3475136315052625</v>
      </c>
      <c r="F158">
        <f>STDEV(B129:B158)</f>
        <v>2.2884015402018277E-4</v>
      </c>
      <c r="G158">
        <f>SQRT(alpha2*(B158-D158)^2+(1-alpha2)*G157^2)</f>
        <v>2.546895058450863E-4</v>
      </c>
      <c r="H158">
        <f t="shared" si="5"/>
        <v>6.6818898976764382E-10</v>
      </c>
    </row>
    <row r="159" spans="1:8" x14ac:dyDescent="0.25">
      <c r="A159">
        <v>1448</v>
      </c>
      <c r="B159">
        <v>1.3473999999999999</v>
      </c>
      <c r="C159">
        <f t="shared" si="4"/>
        <v>1.3478533333333329</v>
      </c>
      <c r="D159" s="1">
        <f>alpha*B159+(1-alpha)*D158</f>
        <v>1.3476939592994688</v>
      </c>
      <c r="E159">
        <f t="shared" si="6"/>
        <v>1.3474795420536836</v>
      </c>
      <c r="F159">
        <f>STDEV(B130:B159)</f>
        <v>2.431592827379606E-4</v>
      </c>
      <c r="G159">
        <f>SQRT(alpha2*(B159-D159)^2+(1-alpha2)*G158^2)</f>
        <v>2.5906869719968605E-4</v>
      </c>
      <c r="H159">
        <f t="shared" si="5"/>
        <v>2.5310946851495891E-10</v>
      </c>
    </row>
    <row r="160" spans="1:8" x14ac:dyDescent="0.25">
      <c r="A160">
        <v>1450</v>
      </c>
      <c r="B160">
        <v>1.3474999999999999</v>
      </c>
      <c r="C160">
        <f t="shared" ref="C160:C223" si="7">AVERAGE(B131:B160)</f>
        <v>1.3478399999999993</v>
      </c>
      <c r="D160" s="1">
        <f>alpha*B160+(1-alpha)*D159</f>
        <v>1.347676698355414</v>
      </c>
      <c r="E160">
        <f t="shared" si="6"/>
        <v>1.3474856794375785</v>
      </c>
      <c r="F160">
        <f>STDEV(B131:B160)</f>
        <v>2.513412297915652E-4</v>
      </c>
      <c r="G160">
        <f>SQRT(alpha2*(B160-D160)^2+(1-alpha2)*G159^2)</f>
        <v>2.5173075183049698E-4</v>
      </c>
      <c r="H160">
        <f t="shared" ref="H160:H223" si="8">(F160-G160)^2</f>
        <v>1.51727418813568E-13</v>
      </c>
    </row>
    <row r="161" spans="1:8" x14ac:dyDescent="0.25">
      <c r="A161">
        <v>1451</v>
      </c>
      <c r="B161">
        <v>1.3473999999999999</v>
      </c>
      <c r="C161">
        <f t="shared" si="7"/>
        <v>1.3478233333333329</v>
      </c>
      <c r="D161" s="1">
        <f>alpha*B161+(1-alpha)*D160</f>
        <v>1.3476520742469238</v>
      </c>
      <c r="E161">
        <f t="shared" si="6"/>
        <v>1.3474599756063048</v>
      </c>
      <c r="F161">
        <f>STDEV(B132:B161)</f>
        <v>2.6350859873869607E-4</v>
      </c>
      <c r="G161">
        <f>SQRT(alpha2*(B161-D161)^2+(1-alpha2)*G160^2)</f>
        <v>2.517666428188157E-4</v>
      </c>
      <c r="H161">
        <f t="shared" si="8"/>
        <v>1.3787352882441367E-10</v>
      </c>
    </row>
    <row r="162" spans="1:8" x14ac:dyDescent="0.25">
      <c r="A162">
        <v>1467</v>
      </c>
      <c r="B162">
        <v>1.3472999999999999</v>
      </c>
      <c r="C162">
        <f t="shared" si="7"/>
        <v>1.3477999999999994</v>
      </c>
      <c r="D162" s="1">
        <f>alpha*B162+(1-alpha)*D161</f>
        <v>1.3476207422412101</v>
      </c>
      <c r="E162">
        <f t="shared" si="6"/>
        <v>1.3474119829244133</v>
      </c>
      <c r="F162">
        <f>STDEV(B133:B162)</f>
        <v>2.7792333351192903E-4</v>
      </c>
      <c r="G162">
        <f>SQRT(alpha2*(B162-D162)^2+(1-alpha2)*G161^2)</f>
        <v>2.5982696191867845E-4</v>
      </c>
      <c r="H162">
        <f t="shared" si="8"/>
        <v>3.2747866484100652E-10</v>
      </c>
    </row>
    <row r="163" spans="1:8" x14ac:dyDescent="0.25">
      <c r="A163">
        <v>1473</v>
      </c>
      <c r="B163">
        <v>1.3473999999999999</v>
      </c>
      <c r="C163">
        <f t="shared" si="7"/>
        <v>1.3477833333333329</v>
      </c>
      <c r="D163" s="1">
        <f>alpha*B163+(1-alpha)*D162</f>
        <v>1.3476010978132993</v>
      </c>
      <c r="E163">
        <f t="shared" si="6"/>
        <v>1.3474083880470893</v>
      </c>
      <c r="F163">
        <f>STDEV(B134:B163)</f>
        <v>2.8657710442680048E-4</v>
      </c>
      <c r="G163">
        <f>SQRT(alpha2*(B163-D163)^2+(1-alpha2)*G162^2)</f>
        <v>2.5432916904661609E-4</v>
      </c>
      <c r="H163">
        <f t="shared" si="8"/>
        <v>1.0399293362845482E-9</v>
      </c>
    </row>
    <row r="164" spans="1:8" x14ac:dyDescent="0.25">
      <c r="A164">
        <v>1479</v>
      </c>
      <c r="B164">
        <v>1.3472999999999999</v>
      </c>
      <c r="C164">
        <f t="shared" si="7"/>
        <v>1.3477599999999996</v>
      </c>
      <c r="D164" s="1">
        <f>alpha*B164+(1-alpha)*D163</f>
        <v>1.3475743023333995</v>
      </c>
      <c r="E164">
        <f t="shared" si="6"/>
        <v>1.3473758716329625</v>
      </c>
      <c r="F164">
        <f>STDEV(B135:B164)</f>
        <v>2.9664793948389658E-4</v>
      </c>
      <c r="G164">
        <f>SQRT(alpha2*(B164-D164)^2+(1-alpha2)*G163^2)</f>
        <v>2.5648758141535386E-4</v>
      </c>
      <c r="H164">
        <f t="shared" si="8"/>
        <v>1.6128543601935645E-9</v>
      </c>
    </row>
    <row r="165" spans="1:8" x14ac:dyDescent="0.25">
      <c r="A165">
        <v>1503</v>
      </c>
      <c r="B165">
        <v>1.3473999999999999</v>
      </c>
      <c r="C165">
        <f t="shared" si="7"/>
        <v>1.3477433333333331</v>
      </c>
      <c r="D165" s="1">
        <f>alpha*B165+(1-alpha)*D164</f>
        <v>1.3475587907140358</v>
      </c>
      <c r="E165">
        <f t="shared" si="6"/>
        <v>1.3473831101430735</v>
      </c>
      <c r="F165">
        <f>STDEV(B136:B165)</f>
        <v>3.0249916880295644E-4</v>
      </c>
      <c r="G165">
        <f>SQRT(alpha2*(B165-D165)^2+(1-alpha2)*G164^2)</f>
        <v>2.4809123215387016E-4</v>
      </c>
      <c r="H165">
        <f t="shared" si="8"/>
        <v>2.9602235704109858E-9</v>
      </c>
    </row>
    <row r="166" spans="1:8" x14ac:dyDescent="0.25">
      <c r="A166">
        <v>1532</v>
      </c>
      <c r="B166">
        <v>1.3472999999999999</v>
      </c>
      <c r="C166">
        <f t="shared" si="7"/>
        <v>1.3477199999999998</v>
      </c>
      <c r="D166" s="1">
        <f>alpha*B166+(1-alpha)*D165</f>
        <v>1.3475357602532689</v>
      </c>
      <c r="E166">
        <f t="shared" si="6"/>
        <v>1.3473581771001515</v>
      </c>
      <c r="F166">
        <f>STDEV(B137:B166)</f>
        <v>3.0894704378276909E-4</v>
      </c>
      <c r="G166">
        <f>SQRT(alpha2*(B166-D166)^2+(1-alpha2)*G165^2)</f>
        <v>2.4683239055849499E-4</v>
      </c>
      <c r="H166">
        <f t="shared" si="8"/>
        <v>3.858230145171824E-9</v>
      </c>
    </row>
    <row r="167" spans="1:8" x14ac:dyDescent="0.25">
      <c r="A167">
        <v>1542</v>
      </c>
      <c r="B167">
        <v>1.3473999999999999</v>
      </c>
      <c r="C167">
        <f t="shared" si="7"/>
        <v>1.347703333333333</v>
      </c>
      <c r="D167" s="1">
        <f>alpha*B167+(1-alpha)*D166</f>
        <v>1.3475236785941633</v>
      </c>
      <c r="E167">
        <f t="shared" si="6"/>
        <v>1.347370723970106</v>
      </c>
      <c r="F167">
        <f>STDEV(B138:B167)</f>
        <v>3.1236951298697799E-4</v>
      </c>
      <c r="G167">
        <f>SQRT(alpha2*(B167-D167)^2+(1-alpha2)*G166^2)</f>
        <v>2.3698393779559177E-4</v>
      </c>
      <c r="H167">
        <f t="shared" si="8"/>
        <v>5.682984946936145E-9</v>
      </c>
    </row>
    <row r="168" spans="1:8" x14ac:dyDescent="0.25">
      <c r="A168">
        <v>1546</v>
      </c>
      <c r="B168">
        <v>1.3472999999999999</v>
      </c>
      <c r="C168">
        <f t="shared" si="7"/>
        <v>1.3476799999999998</v>
      </c>
      <c r="D168" s="1">
        <f>alpha*B168+(1-alpha)*D167</f>
        <v>1.3475037728525432</v>
      </c>
      <c r="E168">
        <f t="shared" si="6"/>
        <v>1.3473495067790742</v>
      </c>
      <c r="F168">
        <f>STDEV(B139:B168)</f>
        <v>3.1557282344428045E-4</v>
      </c>
      <c r="G168">
        <f>SQRT(alpha2*(B168-D168)^2+(1-alpha2)*G167^2)</f>
        <v>2.3373666701038444E-4</v>
      </c>
      <c r="H168">
        <f t="shared" si="8"/>
        <v>6.6971564998730995E-9</v>
      </c>
    </row>
    <row r="169" spans="1:8" x14ac:dyDescent="0.25">
      <c r="A169">
        <v>1571</v>
      </c>
      <c r="B169">
        <v>1.3473999999999999</v>
      </c>
      <c r="C169">
        <f t="shared" si="7"/>
        <v>1.3476633333333332</v>
      </c>
      <c r="D169" s="1">
        <f>alpha*B169+(1-alpha)*D168</f>
        <v>1.3474945378356762</v>
      </c>
      <c r="E169">
        <f t="shared" si="6"/>
        <v>1.3473646547453517</v>
      </c>
      <c r="F169">
        <f>STDEV(B140:B169)</f>
        <v>3.1675437381885698E-4</v>
      </c>
      <c r="G169">
        <f>SQRT(alpha2*(B169-D169)^2+(1-alpha2)*G168^2)</f>
        <v>2.2329607654930991E-4</v>
      </c>
      <c r="H169">
        <f t="shared" si="8"/>
        <v>8.73445332852303E-9</v>
      </c>
    </row>
    <row r="170" spans="1:8" x14ac:dyDescent="0.25">
      <c r="A170">
        <v>1607</v>
      </c>
      <c r="B170">
        <v>1.3474999999999999</v>
      </c>
      <c r="C170">
        <f t="shared" si="7"/>
        <v>1.3476466666666664</v>
      </c>
      <c r="D170" s="1">
        <f>alpha*B170+(1-alpha)*D169</f>
        <v>1.3474950239279289</v>
      </c>
      <c r="E170">
        <f t="shared" si="6"/>
        <v>1.3474052583217462</v>
      </c>
      <c r="F170">
        <f>STDEV(B141:B170)</f>
        <v>3.1154048094013241E-4</v>
      </c>
      <c r="G170">
        <f>SQRT(alpha2*(B170-D170)^2+(1-alpha2)*G169^2)</f>
        <v>2.1132210553684183E-4</v>
      </c>
      <c r="H170">
        <f t="shared" si="8"/>
        <v>1.0043722768474878E-8</v>
      </c>
    </row>
    <row r="171" spans="1:8" x14ac:dyDescent="0.25">
      <c r="A171">
        <v>1610</v>
      </c>
      <c r="B171">
        <v>1.3473999999999999</v>
      </c>
      <c r="C171">
        <f t="shared" si="7"/>
        <v>1.3476233333333332</v>
      </c>
      <c r="D171" s="1">
        <f>alpha*B171+(1-alpha)*D170</f>
        <v>1.3474865675006873</v>
      </c>
      <c r="E171">
        <f t="shared" si="6"/>
        <v>1.3474036808252223</v>
      </c>
      <c r="F171">
        <f>STDEV(B142:B171)</f>
        <v>3.0249916880295037E-4</v>
      </c>
      <c r="G171">
        <f>SQRT(alpha2*(B171-D171)^2+(1-alpha2)*G170^2)</f>
        <v>2.0193147076882567E-4</v>
      </c>
      <c r="H171">
        <f t="shared" si="8"/>
        <v>1.0113861887882889E-8</v>
      </c>
    </row>
    <row r="172" spans="1:8" x14ac:dyDescent="0.25">
      <c r="A172">
        <v>1611</v>
      </c>
      <c r="B172">
        <v>1.3474999999999999</v>
      </c>
      <c r="C172">
        <f t="shared" si="7"/>
        <v>1.347603333333333</v>
      </c>
      <c r="D172" s="1">
        <f>alpha*B172+(1-alpha)*D171</f>
        <v>1.3474877628938433</v>
      </c>
      <c r="E172">
        <f t="shared" si="6"/>
        <v>1.3474325765776556</v>
      </c>
      <c r="F172">
        <f>STDEV(B143:B172)</f>
        <v>2.8945052978952818E-4</v>
      </c>
      <c r="G172">
        <f>SQRT(alpha2*(B172-D172)^2+(1-alpha2)*G171^2)</f>
        <v>1.9113852688274759E-4</v>
      </c>
      <c r="H172">
        <f t="shared" si="8"/>
        <v>9.665249915542834E-9</v>
      </c>
    </row>
    <row r="173" spans="1:8" x14ac:dyDescent="0.25">
      <c r="A173">
        <v>1615</v>
      </c>
      <c r="B173">
        <v>1.3473999999999999</v>
      </c>
      <c r="C173">
        <f t="shared" si="7"/>
        <v>1.3475766666666664</v>
      </c>
      <c r="D173" s="1">
        <f>alpha*B173+(1-alpha)*D172</f>
        <v>1.3474799526449672</v>
      </c>
      <c r="E173">
        <f t="shared" si="6"/>
        <v>1.3474228036043587</v>
      </c>
      <c r="F173">
        <f>STDEV(B144:B173)</f>
        <v>2.6869202127879324E-4</v>
      </c>
      <c r="G173">
        <f>SQRT(alpha2*(B173-D173)^2+(1-alpha2)*G172^2)</f>
        <v>1.8271957834839754E-4</v>
      </c>
      <c r="H173">
        <f t="shared" si="8"/>
        <v>7.3912609434201458E-9</v>
      </c>
    </row>
    <row r="174" spans="1:8" x14ac:dyDescent="0.25">
      <c r="A174">
        <v>1658</v>
      </c>
      <c r="B174">
        <v>1.3474999999999999</v>
      </c>
      <c r="C174">
        <f t="shared" si="7"/>
        <v>1.3475566666666665</v>
      </c>
      <c r="D174" s="1">
        <f>alpha*B174+(1-alpha)*D173</f>
        <v>1.3474817367113905</v>
      </c>
      <c r="E174">
        <f t="shared" si="6"/>
        <v>1.347445962523051</v>
      </c>
      <c r="F174">
        <f>STDEV(B145:B174)</f>
        <v>2.5008044682678924E-4</v>
      </c>
      <c r="G174">
        <f>SQRT(alpha2*(B174-D174)^2+(1-alpha2)*G173^2)</f>
        <v>1.7301714978557701E-4</v>
      </c>
      <c r="H174">
        <f t="shared" si="8"/>
        <v>5.9387517508621097E-9</v>
      </c>
    </row>
    <row r="175" spans="1:8" x14ac:dyDescent="0.25">
      <c r="A175">
        <v>1692</v>
      </c>
      <c r="B175">
        <v>1.3475999999999999</v>
      </c>
      <c r="C175">
        <f t="shared" si="7"/>
        <v>1.3475366666666664</v>
      </c>
      <c r="D175" s="1">
        <f>alpha*B175+(1-alpha)*D174</f>
        <v>1.3474922612699654</v>
      </c>
      <c r="E175">
        <f t="shared" si="6"/>
        <v>1.3474921737661356</v>
      </c>
      <c r="F175">
        <f>STDEV(B146:B175)</f>
        <v>2.1890532252530868E-4</v>
      </c>
      <c r="G175">
        <f>SQRT(alpha2*(B175-D175)^2+(1-alpha2)*G174^2)</f>
        <v>1.673951228890253E-4</v>
      </c>
      <c r="H175">
        <f t="shared" si="8"/>
        <v>2.6533006665697695E-9</v>
      </c>
    </row>
    <row r="176" spans="1:8" x14ac:dyDescent="0.25">
      <c r="A176">
        <v>1694</v>
      </c>
      <c r="B176">
        <v>1.3474999999999999</v>
      </c>
      <c r="C176">
        <f t="shared" si="7"/>
        <v>1.3475166666666665</v>
      </c>
      <c r="D176" s="1">
        <f>alpha*B176+(1-alpha)*D175</f>
        <v>1.3474929499597397</v>
      </c>
      <c r="E176">
        <f t="shared" si="6"/>
        <v>1.3474945216362948</v>
      </c>
      <c r="F176">
        <f>STDEV(B147:B176)</f>
        <v>1.9133529575673849E-4</v>
      </c>
      <c r="G176">
        <f>SQRT(alpha2*(B176-D176)^2+(1-alpha2)*G175^2)</f>
        <v>1.5843056465449551E-4</v>
      </c>
      <c r="H176">
        <f t="shared" si="8"/>
        <v>1.0827213289109163E-9</v>
      </c>
    </row>
    <row r="177" spans="1:8" x14ac:dyDescent="0.25">
      <c r="A177">
        <v>1701</v>
      </c>
      <c r="B177">
        <v>1.3475999999999999</v>
      </c>
      <c r="C177">
        <f t="shared" si="7"/>
        <v>1.3475033333333331</v>
      </c>
      <c r="D177" s="1">
        <f>alpha*B177+(1-alpha)*D176</f>
        <v>1.3475024766220913</v>
      </c>
      <c r="E177">
        <f t="shared" si="6"/>
        <v>1.3475261651454062</v>
      </c>
      <c r="F177">
        <f>STDEV(B148:B177)</f>
        <v>1.6914252984484348E-4</v>
      </c>
      <c r="G177">
        <f>SQRT(alpha2*(B177-D177)^2+(1-alpha2)*G176^2)</f>
        <v>1.5320683824920854E-4</v>
      </c>
      <c r="H177">
        <f t="shared" si="8"/>
        <v>2.5394626663119019E-10</v>
      </c>
    </row>
    <row r="178" spans="1:8" x14ac:dyDescent="0.25">
      <c r="A178">
        <v>1726</v>
      </c>
      <c r="B178">
        <v>1.3476999999999999</v>
      </c>
      <c r="C178">
        <f t="shared" si="7"/>
        <v>1.3474966666666668</v>
      </c>
      <c r="D178" s="1">
        <f>alpha*B178+(1-alpha)*D177</f>
        <v>1.3475200547427844</v>
      </c>
      <c r="E178">
        <f t="shared" si="6"/>
        <v>1.3475783156017842</v>
      </c>
      <c r="F178">
        <f>STDEV(B149:B178)</f>
        <v>1.5643293888381102E-4</v>
      </c>
      <c r="G178">
        <f>SQRT(alpha2*(B178-D178)^2+(1-alpha2)*G177^2)</f>
        <v>1.5621311934625192E-4</v>
      </c>
      <c r="H178">
        <f t="shared" si="8"/>
        <v>4.8320629092698909E-14</v>
      </c>
    </row>
    <row r="179" spans="1:8" x14ac:dyDescent="0.25">
      <c r="A179">
        <v>1755</v>
      </c>
      <c r="B179">
        <v>1.3475999999999999</v>
      </c>
      <c r="C179">
        <f t="shared" si="7"/>
        <v>1.3474900000000001</v>
      </c>
      <c r="D179" s="1">
        <f>alpha*B179+(1-alpha)*D178</f>
        <v>1.3475271692797828</v>
      </c>
      <c r="E179">
        <f t="shared" si="6"/>
        <v>1.3475848209212489</v>
      </c>
      <c r="F179">
        <f>STDEV(B150:B179)</f>
        <v>1.4703975535608957E-4</v>
      </c>
      <c r="G179">
        <f>SQRT(alpha2*(B179-D179)^2+(1-alpha2)*G178^2)</f>
        <v>1.4969378341230514E-4</v>
      </c>
      <c r="H179">
        <f t="shared" si="8"/>
        <v>7.0438649231794125E-12</v>
      </c>
    </row>
    <row r="180" spans="1:8" x14ac:dyDescent="0.25">
      <c r="A180">
        <v>1756</v>
      </c>
      <c r="B180">
        <v>1.3476999999999999</v>
      </c>
      <c r="C180">
        <f t="shared" si="7"/>
        <v>1.3474833333333336</v>
      </c>
      <c r="D180" s="1">
        <f>alpha*B180+(1-alpha)*D179</f>
        <v>1.3475425499364504</v>
      </c>
      <c r="E180">
        <f t="shared" si="6"/>
        <v>1.3476193746448741</v>
      </c>
      <c r="F180">
        <f>STDEV(B151:B180)</f>
        <v>1.3152509484776537E-4</v>
      </c>
      <c r="G180">
        <f>SQRT(alpha2*(B180-D180)^2+(1-alpha2)*G179^2)</f>
        <v>1.505224137345616E-4</v>
      </c>
      <c r="H180">
        <f t="shared" si="8"/>
        <v>3.6089812488662496E-10</v>
      </c>
    </row>
    <row r="181" spans="1:8" x14ac:dyDescent="0.25">
      <c r="A181">
        <v>1759</v>
      </c>
      <c r="B181">
        <v>1.3475999999999999</v>
      </c>
      <c r="C181">
        <f t="shared" si="7"/>
        <v>1.3474766666666669</v>
      </c>
      <c r="D181" s="1">
        <f>alpha*B181+(1-alpha)*D180</f>
        <v>1.3475476625674796</v>
      </c>
      <c r="E181">
        <f t="shared" si="6"/>
        <v>1.3476135622514118</v>
      </c>
      <c r="F181">
        <f>STDEV(B152:B181)</f>
        <v>1.1943352886057084E-4</v>
      </c>
      <c r="G181">
        <f>SQRT(alpha2*(B181-D181)^2+(1-alpha2)*G180^2)</f>
        <v>1.4344722031894475E-4</v>
      </c>
      <c r="H181">
        <f t="shared" si="8"/>
        <v>5.7665737745798047E-10</v>
      </c>
    </row>
    <row r="182" spans="1:8" x14ac:dyDescent="0.25">
      <c r="A182">
        <v>1765</v>
      </c>
      <c r="B182">
        <v>1.3474999999999999</v>
      </c>
      <c r="C182">
        <f t="shared" si="7"/>
        <v>1.3474700000000004</v>
      </c>
      <c r="D182" s="1">
        <f>alpha*B182+(1-alpha)*D181</f>
        <v>1.3475434209512589</v>
      </c>
      <c r="E182">
        <f t="shared" si="6"/>
        <v>1.3475794935759882</v>
      </c>
      <c r="F182">
        <f>STDEV(B153:B182)</f>
        <v>1.118804780974214E-4</v>
      </c>
      <c r="G182">
        <f>SQRT(alpha2*(B182-D182)^2+(1-alpha2)*G181^2)</f>
        <v>1.364743320959168E-4</v>
      </c>
      <c r="H182">
        <f t="shared" si="8"/>
        <v>6.0485765449930821E-10</v>
      </c>
    </row>
    <row r="183" spans="1:8" x14ac:dyDescent="0.25">
      <c r="A183">
        <v>1771</v>
      </c>
      <c r="B183">
        <v>1.3473999999999999</v>
      </c>
      <c r="C183">
        <f t="shared" si="7"/>
        <v>1.3474633333333337</v>
      </c>
      <c r="D183" s="1">
        <f>alpha*B183+(1-alpha)*D182</f>
        <v>1.3475306575466544</v>
      </c>
      <c r="E183">
        <f t="shared" si="6"/>
        <v>1.3475256455031916</v>
      </c>
      <c r="F183">
        <f>STDEV(B154:B183)</f>
        <v>1.0980651740386434E-4</v>
      </c>
      <c r="G183">
        <f>SQRT(alpha2*(B183-D183)^2+(1-alpha2)*G182^2)</f>
        <v>1.3587856515747936E-4</v>
      </c>
      <c r="H183">
        <f t="shared" si="8"/>
        <v>6.7975167406678183E-10</v>
      </c>
    </row>
    <row r="184" spans="1:8" x14ac:dyDescent="0.25">
      <c r="A184">
        <v>1778</v>
      </c>
      <c r="B184">
        <v>1.3472999999999999</v>
      </c>
      <c r="C184">
        <f t="shared" si="7"/>
        <v>1.3474566666666667</v>
      </c>
      <c r="D184" s="1">
        <f>alpha*B184+(1-alpha)*D183</f>
        <v>1.3475101307298456</v>
      </c>
      <c r="E184">
        <f t="shared" si="6"/>
        <v>1.347457951852234</v>
      </c>
      <c r="F184">
        <f>STDEV(B155:B184)</f>
        <v>1.135123670410477E-4</v>
      </c>
      <c r="G184">
        <f>SQRT(alpha2*(B184-D184)^2+(1-alpha2)*G183^2)</f>
        <v>1.4541607635319999E-4</v>
      </c>
      <c r="H184">
        <f t="shared" si="8"/>
        <v>1.0178466678743127E-9</v>
      </c>
    </row>
    <row r="185" spans="1:8" x14ac:dyDescent="0.25">
      <c r="A185">
        <v>1781</v>
      </c>
      <c r="B185">
        <v>1.3472</v>
      </c>
      <c r="C185">
        <f t="shared" si="7"/>
        <v>1.34745</v>
      </c>
      <c r="D185" s="1">
        <f>alpha*B185+(1-alpha)*D184</f>
        <v>1.3474825313871375</v>
      </c>
      <c r="E185">
        <f t="shared" si="6"/>
        <v>1.3473805662965637</v>
      </c>
      <c r="F185">
        <f>STDEV(B156:B185)</f>
        <v>1.2247448713914542E-4</v>
      </c>
      <c r="G185">
        <f>SQRT(alpha2*(B185-D185)^2+(1-alpha2)*G184^2)</f>
        <v>1.6514609473823318E-4</v>
      </c>
      <c r="H185">
        <f t="shared" si="8"/>
        <v>1.8208660950905238E-9</v>
      </c>
    </row>
    <row r="186" spans="1:8" x14ac:dyDescent="0.25">
      <c r="A186">
        <v>1783</v>
      </c>
      <c r="B186">
        <v>1.3472999999999999</v>
      </c>
      <c r="C186">
        <f t="shared" si="7"/>
        <v>1.3474433333333333</v>
      </c>
      <c r="D186" s="1">
        <f>alpha*B186+(1-alpha)*D185</f>
        <v>1.347466287442814</v>
      </c>
      <c r="E186">
        <f t="shared" si="6"/>
        <v>1.3473563964075945</v>
      </c>
      <c r="F186">
        <f>STDEV(B157:B186)</f>
        <v>1.2507469032908334E-4</v>
      </c>
      <c r="G186">
        <f>SQRT(alpha2*(B186-D186)^2+(1-alpha2)*G185^2)</f>
        <v>1.6526564725573062E-4</v>
      </c>
      <c r="H186">
        <f t="shared" si="8"/>
        <v>1.6153130186796168E-9</v>
      </c>
    </row>
    <row r="187" spans="1:8" x14ac:dyDescent="0.25">
      <c r="A187">
        <v>1784</v>
      </c>
      <c r="B187">
        <v>1.3472</v>
      </c>
      <c r="C187">
        <f t="shared" si="7"/>
        <v>1.3474366666666666</v>
      </c>
      <c r="D187" s="1">
        <f>alpha*B187+(1-alpha)*D186</f>
        <v>1.3474425898285958</v>
      </c>
      <c r="E187">
        <f t="shared" si="6"/>
        <v>1.347309477485316</v>
      </c>
      <c r="F187">
        <f>STDEV(B158:B187)</f>
        <v>1.3256965204628957E-4</v>
      </c>
      <c r="G187">
        <f>SQRT(alpha2*(B187-D187)^2+(1-alpha2)*G186^2)</f>
        <v>1.7494558610792315E-4</v>
      </c>
      <c r="H187">
        <f t="shared" si="8"/>
        <v>1.7957197875959172E-9</v>
      </c>
    </row>
    <row r="188" spans="1:8" x14ac:dyDescent="0.25">
      <c r="A188">
        <v>1786</v>
      </c>
      <c r="B188">
        <v>1.3472999999999999</v>
      </c>
      <c r="C188">
        <f t="shared" si="7"/>
        <v>1.3474299999999997</v>
      </c>
      <c r="D188" s="1">
        <f>alpha*B188+(1-alpha)*D187</f>
        <v>1.3474299003877654</v>
      </c>
      <c r="E188">
        <f t="shared" si="6"/>
        <v>1.3473066342397211</v>
      </c>
      <c r="F188">
        <f>STDEV(B159:B188)</f>
        <v>1.3429252681596511E-4</v>
      </c>
      <c r="G188">
        <f>SQRT(alpha2*(B188-D188)^2+(1-alpha2)*G187^2)</f>
        <v>1.7079820241459192E-4</v>
      </c>
      <c r="H188">
        <f t="shared" si="8"/>
        <v>1.3326643509121769E-9</v>
      </c>
    </row>
    <row r="189" spans="1:8" x14ac:dyDescent="0.25">
      <c r="A189">
        <v>1820</v>
      </c>
      <c r="B189">
        <v>1.3472</v>
      </c>
      <c r="C189">
        <f t="shared" si="7"/>
        <v>1.347423333333333</v>
      </c>
      <c r="D189" s="1">
        <f>alpha*B189+(1-alpha)*D188</f>
        <v>1.3474094409525015</v>
      </c>
      <c r="E189">
        <f t="shared" si="6"/>
        <v>1.3472746439678045</v>
      </c>
      <c r="F189">
        <f>STDEV(B160:B189)</f>
        <v>1.4064710873458417E-4</v>
      </c>
      <c r="G189">
        <f>SQRT(alpha2*(B189-D189)^2+(1-alpha2)*G188^2)</f>
        <v>1.7523234906623272E-4</v>
      </c>
      <c r="H189">
        <f t="shared" si="8"/>
        <v>1.1961388487978897E-9</v>
      </c>
    </row>
    <row r="190" spans="1:8" x14ac:dyDescent="0.25">
      <c r="A190">
        <v>1826</v>
      </c>
      <c r="B190">
        <v>1.3472999999999999</v>
      </c>
      <c r="C190">
        <f t="shared" si="7"/>
        <v>1.3474166666666665</v>
      </c>
      <c r="D190" s="1">
        <f>alpha*B190+(1-alpha)*D189</f>
        <v>1.3473997015166324</v>
      </c>
      <c r="E190">
        <f t="shared" si="6"/>
        <v>1.3472822507774631</v>
      </c>
      <c r="F190">
        <f>STDEV(B161:B190)</f>
        <v>1.4162440207945591E-4</v>
      </c>
      <c r="G190">
        <f>SQRT(alpha2*(B190-D190)^2+(1-alpha2)*G189^2)</f>
        <v>1.6893168003009036E-4</v>
      </c>
      <c r="H190">
        <f t="shared" si="8"/>
        <v>7.4568742907320623E-10</v>
      </c>
    </row>
    <row r="191" spans="1:8" x14ac:dyDescent="0.25">
      <c r="A191">
        <v>1832</v>
      </c>
      <c r="B191">
        <v>1.3472</v>
      </c>
      <c r="C191">
        <f t="shared" si="7"/>
        <v>1.3474099999999998</v>
      </c>
      <c r="D191" s="1">
        <f>alpha*B191+(1-alpha)*D190</f>
        <v>1.3473819295576923</v>
      </c>
      <c r="E191">
        <f t="shared" si="6"/>
        <v>1.3472575755442242</v>
      </c>
      <c r="F191">
        <f>STDEV(B162:B191)</f>
        <v>1.4703975535605208E-4</v>
      </c>
      <c r="G191">
        <f>SQRT(alpha2*(B191-D191)^2+(1-alpha2)*G190^2)</f>
        <v>1.7033535259285449E-4</v>
      </c>
      <c r="H191">
        <f t="shared" si="8"/>
        <v>5.4268485061931615E-10</v>
      </c>
    </row>
    <row r="192" spans="1:8" x14ac:dyDescent="0.25">
      <c r="A192">
        <v>1835</v>
      </c>
      <c r="B192">
        <v>1.3472999999999999</v>
      </c>
      <c r="C192">
        <f t="shared" si="7"/>
        <v>1.3474099999999998</v>
      </c>
      <c r="D192" s="1">
        <f>alpha*B192+(1-alpha)*D191</f>
        <v>1.3473746384326182</v>
      </c>
      <c r="E192">
        <f t="shared" si="6"/>
        <v>1.3472703028809569</v>
      </c>
      <c r="F192">
        <f>STDEV(B163:B192)</f>
        <v>1.4703975535605208E-4</v>
      </c>
      <c r="G192">
        <f>SQRT(alpha2*(B192-D192)^2+(1-alpha2)*G191^2)</f>
        <v>1.6299110307159751E-4</v>
      </c>
      <c r="H192">
        <f t="shared" si="8"/>
        <v>2.544454939422363E-10</v>
      </c>
    </row>
    <row r="193" spans="1:8" x14ac:dyDescent="0.25">
      <c r="A193">
        <v>1838</v>
      </c>
      <c r="B193">
        <v>1.3472</v>
      </c>
      <c r="C193">
        <f t="shared" si="7"/>
        <v>1.3474033333333331</v>
      </c>
      <c r="D193" s="1">
        <f>alpha*B193+(1-alpha)*D192</f>
        <v>1.3473590969029083</v>
      </c>
      <c r="E193">
        <f t="shared" si="6"/>
        <v>1.3472492120166697</v>
      </c>
      <c r="F193">
        <f>STDEV(B164:B193)</f>
        <v>1.5196036990933992E-4</v>
      </c>
      <c r="G193">
        <f>SQRT(alpha2*(B193-D193)^2+(1-alpha2)*G192^2)</f>
        <v>1.625888171390517E-4</v>
      </c>
      <c r="H193">
        <f t="shared" si="8"/>
        <v>1.1296389051476804E-10</v>
      </c>
    </row>
    <row r="194" spans="1:8" x14ac:dyDescent="0.25">
      <c r="A194">
        <v>1851</v>
      </c>
      <c r="B194">
        <v>1.3471</v>
      </c>
      <c r="C194">
        <f t="shared" si="7"/>
        <v>1.3473966666666664</v>
      </c>
      <c r="D194" s="1">
        <f>alpha*B194+(1-alpha)*D193</f>
        <v>1.3473360391935947</v>
      </c>
      <c r="E194">
        <f t="shared" si="6"/>
        <v>1.3472044484116688</v>
      </c>
      <c r="F194">
        <f>STDEV(B165:B194)</f>
        <v>1.6078113916948708E-4</v>
      </c>
      <c r="G194">
        <f>SQRT(alpha2*(B194-D194)^2+(1-alpha2)*G193^2)</f>
        <v>1.717340627631178E-4</v>
      </c>
      <c r="H194">
        <f t="shared" si="8"/>
        <v>1.1996653524791246E-10</v>
      </c>
    </row>
    <row r="195" spans="1:8" x14ac:dyDescent="0.25">
      <c r="A195">
        <v>1862</v>
      </c>
      <c r="B195">
        <v>1.3472</v>
      </c>
      <c r="C195">
        <f t="shared" si="7"/>
        <v>1.3473900000000001</v>
      </c>
      <c r="D195" s="1">
        <f>alpha*B195+(1-alpha)*D194</f>
        <v>1.3473239327108621</v>
      </c>
      <c r="E195">
        <f t="shared" si="6"/>
        <v>1.3472031138881682</v>
      </c>
      <c r="F195">
        <f>STDEV(B166:B195)</f>
        <v>1.6473594335929479E-4</v>
      </c>
      <c r="G195">
        <f>SQRT(alpha2*(B195-D195)^2+(1-alpha2)*G194^2)</f>
        <v>1.6738201192275352E-4</v>
      </c>
      <c r="H195">
        <f t="shared" si="8"/>
        <v>7.0016788425245546E-12</v>
      </c>
    </row>
    <row r="196" spans="1:8" x14ac:dyDescent="0.25">
      <c r="A196">
        <v>1863</v>
      </c>
      <c r="B196">
        <v>1.3472999999999999</v>
      </c>
      <c r="C196">
        <f t="shared" si="7"/>
        <v>1.3473900000000001</v>
      </c>
      <c r="D196" s="1">
        <f>alpha*B196+(1-alpha)*D195</f>
        <v>1.3473218028764877</v>
      </c>
      <c r="E196">
        <f t="shared" ref="E196:E259" si="9">0.3*B196+(1-0.3)*E195</f>
        <v>1.3472321797217177</v>
      </c>
      <c r="F196">
        <f>STDEV(B167:B196)</f>
        <v>1.6473594335929482E-4</v>
      </c>
      <c r="G196">
        <f>SQRT(alpha2*(B196-D196)^2+(1-alpha2)*G195^2)</f>
        <v>1.5855838736160381E-4</v>
      </c>
      <c r="H196">
        <f t="shared" si="8"/>
        <v>3.8162198104608145E-11</v>
      </c>
    </row>
    <row r="197" spans="1:8" x14ac:dyDescent="0.25">
      <c r="A197">
        <v>1866</v>
      </c>
      <c r="B197">
        <v>1.3472</v>
      </c>
      <c r="C197">
        <f t="shared" si="7"/>
        <v>1.3473833333333334</v>
      </c>
      <c r="D197" s="1">
        <f>alpha*B197+(1-alpha)*D196</f>
        <v>1.3473109633207536</v>
      </c>
      <c r="E197">
        <f t="shared" si="9"/>
        <v>1.3472225258052024</v>
      </c>
      <c r="F197">
        <f>STDEV(B168:B197)</f>
        <v>1.683250823060161E-4</v>
      </c>
      <c r="G197">
        <f>SQRT(alpha2*(B197-D197)^2+(1-alpha2)*G196^2)</f>
        <v>1.5427645095683539E-4</v>
      </c>
      <c r="H197">
        <f t="shared" si="8"/>
        <v>1.9736404278518305E-10</v>
      </c>
    </row>
    <row r="198" spans="1:8" x14ac:dyDescent="0.25">
      <c r="A198">
        <v>1870</v>
      </c>
      <c r="B198">
        <v>1.3472999999999999</v>
      </c>
      <c r="C198">
        <f t="shared" si="7"/>
        <v>1.3473833333333334</v>
      </c>
      <c r="D198" s="1">
        <f>alpha*B198+(1-alpha)*D197</f>
        <v>1.3473099876662391</v>
      </c>
      <c r="E198">
        <f t="shared" si="9"/>
        <v>1.3472457680636416</v>
      </c>
      <c r="F198">
        <f>STDEV(B169:B198)</f>
        <v>1.683250823060161E-4</v>
      </c>
      <c r="G198">
        <f>SQRT(alpha2*(B198-D198)^2+(1-alpha2)*G197^2)</f>
        <v>1.4603501280352707E-4</v>
      </c>
      <c r="H198">
        <f t="shared" si="8"/>
        <v>4.9684719842579147E-10</v>
      </c>
    </row>
    <row r="199" spans="1:8" x14ac:dyDescent="0.25">
      <c r="A199">
        <v>1874</v>
      </c>
      <c r="B199">
        <v>1.3472</v>
      </c>
      <c r="C199">
        <f t="shared" si="7"/>
        <v>1.3473766666666667</v>
      </c>
      <c r="D199" s="1">
        <f>alpha*B199+(1-alpha)*D198</f>
        <v>1.3473001995768883</v>
      </c>
      <c r="E199">
        <f t="shared" si="9"/>
        <v>1.347232037644549</v>
      </c>
      <c r="F199">
        <f>STDEV(B170:B199)</f>
        <v>1.7157150581955302E-4</v>
      </c>
      <c r="G199">
        <f>SQRT(alpha2*(B199-D199)^2+(1-alpha2)*G198^2)</f>
        <v>1.4194248625300619E-4</v>
      </c>
      <c r="H199">
        <f t="shared" si="8"/>
        <v>8.778788004748146E-10</v>
      </c>
    </row>
    <row r="200" spans="1:8" x14ac:dyDescent="0.25">
      <c r="A200">
        <v>1903</v>
      </c>
      <c r="B200">
        <v>1.3472999999999999</v>
      </c>
      <c r="C200">
        <f t="shared" si="7"/>
        <v>1.34737</v>
      </c>
      <c r="D200" s="1">
        <f>alpha*B200+(1-alpha)*D199</f>
        <v>1.3473001818160204</v>
      </c>
      <c r="E200">
        <f t="shared" si="9"/>
        <v>1.3472524263511843</v>
      </c>
      <c r="F200">
        <f>STDEV(B171:B200)</f>
        <v>1.7049623314676189E-4</v>
      </c>
      <c r="G200">
        <f>SQRT(alpha2*(B200-D200)^2+(1-alpha2)*G199^2)</f>
        <v>1.3432712297927084E-4</v>
      </c>
      <c r="H200">
        <f t="shared" si="8"/>
        <v>1.3082045303081047E-9</v>
      </c>
    </row>
    <row r="201" spans="1:8" x14ac:dyDescent="0.25">
      <c r="A201">
        <v>1910</v>
      </c>
      <c r="B201">
        <v>1.3473999999999999</v>
      </c>
      <c r="C201">
        <f t="shared" si="7"/>
        <v>1.3473700000000002</v>
      </c>
      <c r="D201" s="1">
        <f>alpha*B201+(1-alpha)*D200</f>
        <v>1.3473090648966153</v>
      </c>
      <c r="E201">
        <f t="shared" si="9"/>
        <v>1.3472966984458288</v>
      </c>
      <c r="F201">
        <f>STDEV(B172:B201)</f>
        <v>1.7049623314676187E-4</v>
      </c>
      <c r="G201">
        <f>SQRT(alpha2*(B201-D201)^2+(1-alpha2)*G200^2)</f>
        <v>1.3047251258530926E-4</v>
      </c>
      <c r="H201">
        <f t="shared" si="8"/>
        <v>1.6018982075812442E-9</v>
      </c>
    </row>
    <row r="202" spans="1:8" x14ac:dyDescent="0.25">
      <c r="A202">
        <v>1918</v>
      </c>
      <c r="B202">
        <v>1.3472999999999999</v>
      </c>
      <c r="C202">
        <f t="shared" si="7"/>
        <v>1.3473633333333335</v>
      </c>
      <c r="D202" s="1">
        <f>alpha*B202+(1-alpha)*D201</f>
        <v>1.3473082581878175</v>
      </c>
      <c r="E202">
        <f t="shared" si="9"/>
        <v>1.34729768891208</v>
      </c>
      <c r="F202">
        <f>STDEV(B173:B202)</f>
        <v>1.6914252984478076E-4</v>
      </c>
      <c r="G202">
        <f>SQRT(alpha2*(B202-D202)^2+(1-alpha2)*G201^2)</f>
        <v>1.2350134849954832E-4</v>
      </c>
      <c r="H202">
        <f t="shared" si="8"/>
        <v>2.0831174345883941E-9</v>
      </c>
    </row>
    <row r="203" spans="1:8" x14ac:dyDescent="0.25">
      <c r="A203">
        <v>1938</v>
      </c>
      <c r="B203">
        <v>1.3473999999999999</v>
      </c>
      <c r="C203">
        <f t="shared" si="7"/>
        <v>1.3473633333333335</v>
      </c>
      <c r="D203" s="1">
        <f>alpha*B203+(1-alpha)*D202</f>
        <v>1.347316422531017</v>
      </c>
      <c r="E203">
        <f t="shared" si="9"/>
        <v>1.3473283822384559</v>
      </c>
      <c r="F203">
        <f>STDEV(B174:B203)</f>
        <v>1.6914252984478076E-4</v>
      </c>
      <c r="G203">
        <f>SQRT(alpha2*(B203-D203)^2+(1-alpha2)*G202^2)</f>
        <v>1.1995528560397833E-4</v>
      </c>
      <c r="H203">
        <f t="shared" si="8"/>
        <v>2.4193849960043519E-9</v>
      </c>
    </row>
    <row r="204" spans="1:8" x14ac:dyDescent="0.25">
      <c r="A204">
        <v>1940</v>
      </c>
      <c r="B204">
        <v>1.3472999999999999</v>
      </c>
      <c r="C204">
        <f t="shared" si="7"/>
        <v>1.3473566666666668</v>
      </c>
      <c r="D204" s="1">
        <f>alpha*B204+(1-alpha)*D203</f>
        <v>1.3473149610471393</v>
      </c>
      <c r="E204">
        <f t="shared" si="9"/>
        <v>1.3473198675669191</v>
      </c>
      <c r="F204">
        <f>STDEV(B175:B204)</f>
        <v>1.6750364552558744E-4</v>
      </c>
      <c r="G204">
        <f>SQRT(alpha2*(B204-D204)^2+(1-alpha2)*G203^2)</f>
        <v>1.1362245040833265E-4</v>
      </c>
      <c r="H204">
        <f t="shared" si="8"/>
        <v>2.903183187263681E-9</v>
      </c>
    </row>
    <row r="205" spans="1:8" x14ac:dyDescent="0.25">
      <c r="A205">
        <v>1961</v>
      </c>
      <c r="B205">
        <v>1.3473999999999999</v>
      </c>
      <c r="C205">
        <f t="shared" si="7"/>
        <v>1.34735</v>
      </c>
      <c r="D205" s="1">
        <f>alpha*B205+(1-alpha)*D204</f>
        <v>1.3473225288854014</v>
      </c>
      <c r="E205">
        <f t="shared" si="9"/>
        <v>1.3473439072968434</v>
      </c>
      <c r="F205">
        <f>STDEV(B176:B205)</f>
        <v>1.613520460316973E-4</v>
      </c>
      <c r="G205">
        <f>SQRT(alpha2*(B205-D205)^2+(1-alpha2)*G204^2)</f>
        <v>1.104023158916893E-4</v>
      </c>
      <c r="H205">
        <f t="shared" si="8"/>
        <v>2.5958750013396397E-9</v>
      </c>
    </row>
    <row r="206" spans="1:8" x14ac:dyDescent="0.25">
      <c r="A206">
        <v>1979</v>
      </c>
      <c r="B206">
        <v>1.3474999999999999</v>
      </c>
      <c r="C206">
        <f t="shared" si="7"/>
        <v>1.34735</v>
      </c>
      <c r="D206" s="1">
        <f>alpha*B206+(1-alpha)*D205</f>
        <v>1.3473383225028706</v>
      </c>
      <c r="E206">
        <f t="shared" si="9"/>
        <v>1.3473907351077903</v>
      </c>
      <c r="F206">
        <f>STDEV(B177:B206)</f>
        <v>1.613520460316973E-4</v>
      </c>
      <c r="G206">
        <f>SQRT(alpha2*(B206-D206)^2+(1-alpha2)*G205^2)</f>
        <v>1.1681387836489148E-4</v>
      </c>
      <c r="H206">
        <f t="shared" si="8"/>
        <v>1.9836483791165079E-9</v>
      </c>
    </row>
    <row r="207" spans="1:8" x14ac:dyDescent="0.25">
      <c r="A207">
        <v>1982</v>
      </c>
      <c r="B207">
        <v>1.3473999999999999</v>
      </c>
      <c r="C207">
        <f t="shared" si="7"/>
        <v>1.3473433333333336</v>
      </c>
      <c r="D207" s="1">
        <f>alpha*B207+(1-alpha)*D206</f>
        <v>1.3473438113442424</v>
      </c>
      <c r="E207">
        <f t="shared" si="9"/>
        <v>1.3473935145754532</v>
      </c>
      <c r="F207">
        <f>STDEV(B178:B207)</f>
        <v>1.5465943304525528E-4</v>
      </c>
      <c r="G207">
        <f>SQRT(alpha2*(B207-D207)^2+(1-alpha2)*G206^2)</f>
        <v>1.1202790674253737E-4</v>
      </c>
      <c r="H207">
        <f t="shared" si="8"/>
        <v>1.8174470348993291E-9</v>
      </c>
    </row>
    <row r="208" spans="1:8" x14ac:dyDescent="0.25">
      <c r="A208">
        <v>1983</v>
      </c>
      <c r="B208">
        <v>1.3474999999999999</v>
      </c>
      <c r="C208">
        <f t="shared" si="7"/>
        <v>1.3473366666666668</v>
      </c>
      <c r="D208" s="1">
        <f>alpha*B208+(1-alpha)*D207</f>
        <v>1.3473577109801784</v>
      </c>
      <c r="E208">
        <f t="shared" si="9"/>
        <v>1.3474254602028171</v>
      </c>
      <c r="F208">
        <f>STDEV(B179:B208)</f>
        <v>1.4259499757470056E-4</v>
      </c>
      <c r="G208">
        <f>SQRT(alpha2*(B208-D208)^2+(1-alpha2)*G207^2)</f>
        <v>1.1555902673573308E-4</v>
      </c>
      <c r="H208">
        <f t="shared" si="8"/>
        <v>7.3094371920550035E-10</v>
      </c>
    </row>
    <row r="209" spans="1:8" x14ac:dyDescent="0.25">
      <c r="A209">
        <v>1991</v>
      </c>
      <c r="B209">
        <v>1.3473999999999999</v>
      </c>
      <c r="C209">
        <f t="shared" si="7"/>
        <v>1.3473299999999999</v>
      </c>
      <c r="D209" s="1">
        <f>alpha*B209+(1-alpha)*D208</f>
        <v>1.3473614743903748</v>
      </c>
      <c r="E209">
        <f t="shared" si="9"/>
        <v>1.3474178221419719</v>
      </c>
      <c r="F209">
        <f>STDEV(B180:B209)</f>
        <v>1.3429252681596517E-4</v>
      </c>
      <c r="G209">
        <f>SQRT(alpha2*(B209-D209)^2+(1-alpha2)*G208^2)</f>
        <v>1.1006549241273886E-4</v>
      </c>
      <c r="H209">
        <f t="shared" si="8"/>
        <v>5.8694919597511096E-10</v>
      </c>
    </row>
    <row r="210" spans="1:8" x14ac:dyDescent="0.25">
      <c r="A210">
        <v>2004</v>
      </c>
      <c r="B210">
        <v>1.3472999999999999</v>
      </c>
      <c r="C210">
        <f t="shared" si="7"/>
        <v>1.3473166666666667</v>
      </c>
      <c r="D210" s="1">
        <f>alpha*B210+(1-alpha)*D209</f>
        <v>1.3473560036240031</v>
      </c>
      <c r="E210">
        <f t="shared" si="9"/>
        <v>1.3473824754993802</v>
      </c>
      <c r="F210">
        <f>STDEV(B181:B210)</f>
        <v>1.1472105098989895E-4</v>
      </c>
      <c r="G210">
        <f>SQRT(alpha2*(B210-D210)^2+(1-alpha2)*G209^2)</f>
        <v>1.0572083397201392E-4</v>
      </c>
      <c r="H210">
        <f t="shared" si="8"/>
        <v>8.1003906369027267E-11</v>
      </c>
    </row>
    <row r="211" spans="1:8" x14ac:dyDescent="0.25">
      <c r="A211">
        <v>2005</v>
      </c>
      <c r="B211">
        <v>1.3473999999999999</v>
      </c>
      <c r="C211">
        <f t="shared" si="7"/>
        <v>1.34731</v>
      </c>
      <c r="D211" s="1">
        <f>alpha*B211+(1-alpha)*D210</f>
        <v>1.3473599189762795</v>
      </c>
      <c r="E211">
        <f t="shared" si="9"/>
        <v>1.347387732849566</v>
      </c>
      <c r="F211">
        <f>STDEV(B182:B211)</f>
        <v>1.0288929437288114E-4</v>
      </c>
      <c r="G211">
        <f>SQRT(alpha2*(B211-D211)^2+(1-alpha2)*G210^2)</f>
        <v>1.008836766706355E-4</v>
      </c>
      <c r="H211">
        <f t="shared" si="8"/>
        <v>4.0225023675610852E-12</v>
      </c>
    </row>
    <row r="212" spans="1:8" x14ac:dyDescent="0.25">
      <c r="A212">
        <v>2036</v>
      </c>
      <c r="B212">
        <v>1.3474999999999999</v>
      </c>
      <c r="C212">
        <f t="shared" si="7"/>
        <v>1.34731</v>
      </c>
      <c r="D212" s="1">
        <f>alpha*B212+(1-alpha)*D211</f>
        <v>1.3473723851520194</v>
      </c>
      <c r="E212">
        <f t="shared" si="9"/>
        <v>1.3474214129946962</v>
      </c>
      <c r="F212">
        <f>STDEV(B183:B212)</f>
        <v>1.0288929437288114E-4</v>
      </c>
      <c r="G212">
        <f>SQRT(alpha2*(B212-D212)^2+(1-alpha2)*G211^2)</f>
        <v>1.0399682911007012E-4</v>
      </c>
      <c r="H212">
        <f t="shared" si="8"/>
        <v>1.2266331940802592E-12</v>
      </c>
    </row>
    <row r="213" spans="1:8" x14ac:dyDescent="0.25">
      <c r="A213">
        <v>2047</v>
      </c>
      <c r="B213">
        <v>1.3475999999999999</v>
      </c>
      <c r="C213">
        <f t="shared" si="7"/>
        <v>1.3473166666666665</v>
      </c>
      <c r="D213" s="1">
        <f>alpha*B213+(1-alpha)*D212</f>
        <v>1.3473926411911357</v>
      </c>
      <c r="E213">
        <f t="shared" si="9"/>
        <v>1.3474749890962872</v>
      </c>
      <c r="F213">
        <f>STDEV(B184:B213)</f>
        <v>1.1472105098989891E-4</v>
      </c>
      <c r="G213">
        <f>SQRT(alpha2*(B213-D213)^2+(1-alpha2)*G212^2)</f>
        <v>1.1906277038667198E-4</v>
      </c>
      <c r="H213">
        <f t="shared" si="8"/>
        <v>1.8850527320315539E-11</v>
      </c>
    </row>
    <row r="214" spans="1:8" x14ac:dyDescent="0.25">
      <c r="A214">
        <v>2141</v>
      </c>
      <c r="B214">
        <v>1.3474999999999999</v>
      </c>
      <c r="C214">
        <f t="shared" si="7"/>
        <v>1.347323333333333</v>
      </c>
      <c r="D214" s="1">
        <f>alpha*B214+(1-alpha)*D213</f>
        <v>1.3474021953316109</v>
      </c>
      <c r="E214">
        <f t="shared" si="9"/>
        <v>1.3474824923674009</v>
      </c>
      <c r="F214">
        <f>STDEV(B185:B214)</f>
        <v>1.1943352886057088E-4</v>
      </c>
      <c r="G214">
        <f>SQRT(alpha2*(B214-D214)^2+(1-alpha2)*G213^2)</f>
        <v>1.1702362822261684E-4</v>
      </c>
      <c r="H214">
        <f t="shared" si="8"/>
        <v>5.8076210848112745E-12</v>
      </c>
    </row>
    <row r="215" spans="1:8" x14ac:dyDescent="0.25">
      <c r="A215">
        <v>2144</v>
      </c>
      <c r="B215">
        <v>1.3475999999999999</v>
      </c>
      <c r="C215">
        <f t="shared" si="7"/>
        <v>1.3473366666666664</v>
      </c>
      <c r="D215" s="1">
        <f>alpha*B215+(1-alpha)*D214</f>
        <v>1.3474197984850775</v>
      </c>
      <c r="E215">
        <f t="shared" si="9"/>
        <v>1.3475177446571807</v>
      </c>
      <c r="F215">
        <f>STDEV(B186:B215)</f>
        <v>1.2726115785598923E-4</v>
      </c>
      <c r="G215">
        <f>SQRT(alpha2*(B215-D215)^2+(1-alpha2)*G214^2)</f>
        <v>1.2512156573066396E-4</v>
      </c>
      <c r="H215">
        <f t="shared" si="8"/>
        <v>4.5778544627538948E-12</v>
      </c>
    </row>
    <row r="216" spans="1:8" x14ac:dyDescent="0.25">
      <c r="A216">
        <v>2146</v>
      </c>
      <c r="B216">
        <v>1.3474999999999999</v>
      </c>
      <c r="C216">
        <f t="shared" si="7"/>
        <v>1.3473433333333331</v>
      </c>
      <c r="D216" s="1">
        <f>alpha*B216+(1-alpha)*D215</f>
        <v>1.3474269358271176</v>
      </c>
      <c r="E216">
        <f t="shared" si="9"/>
        <v>1.3475124212600262</v>
      </c>
      <c r="F216">
        <f>STDEV(B187:B216)</f>
        <v>1.3047217521657011E-4</v>
      </c>
      <c r="G216">
        <f>SQRT(alpha2*(B216-D216)^2+(1-alpha2)*G215^2)</f>
        <v>1.2073964586555694E-4</v>
      </c>
      <c r="H216">
        <f t="shared" si="8"/>
        <v>9.4722127568332874E-11</v>
      </c>
    </row>
    <row r="217" spans="1:8" x14ac:dyDescent="0.25">
      <c r="A217">
        <v>2149</v>
      </c>
      <c r="B217">
        <v>1.3475999999999999</v>
      </c>
      <c r="C217">
        <f t="shared" si="7"/>
        <v>1.3473566666666665</v>
      </c>
      <c r="D217" s="1">
        <f>alpha*B217+(1-alpha)*D216</f>
        <v>1.3474423372593467</v>
      </c>
      <c r="E217">
        <f t="shared" si="9"/>
        <v>1.3475386948820183</v>
      </c>
      <c r="F217">
        <f>STDEV(B188:B217)</f>
        <v>1.35655073073478E-4</v>
      </c>
      <c r="G217">
        <f>SQRT(alpha2*(B217-D217)^2+(1-alpha2)*G216^2)</f>
        <v>1.2510589338085571E-4</v>
      </c>
      <c r="H217">
        <f t="shared" si="8"/>
        <v>1.1128519218723466E-10</v>
      </c>
    </row>
    <row r="218" spans="1:8" x14ac:dyDescent="0.25">
      <c r="A218">
        <v>2151</v>
      </c>
      <c r="B218">
        <v>1.3476999999999999</v>
      </c>
      <c r="C218">
        <f t="shared" si="7"/>
        <v>1.3473700000000002</v>
      </c>
      <c r="D218" s="1">
        <f>alpha*B218+(1-alpha)*D217</f>
        <v>1.3474652673388199</v>
      </c>
      <c r="E218">
        <f t="shared" si="9"/>
        <v>1.3475870864174126</v>
      </c>
      <c r="F218">
        <f>STDEV(B189:B218)</f>
        <v>1.4890404223223279E-4</v>
      </c>
      <c r="G218">
        <f>SQRT(alpha2*(B218-D218)^2+(1-alpha2)*G217^2)</f>
        <v>1.4060863934299664E-4</v>
      </c>
      <c r="H218">
        <f t="shared" si="8"/>
        <v>6.8813709094747434E-11</v>
      </c>
    </row>
    <row r="219" spans="1:8" x14ac:dyDescent="0.25">
      <c r="A219">
        <v>2158</v>
      </c>
      <c r="B219">
        <v>1.3476999999999999</v>
      </c>
      <c r="C219">
        <f t="shared" si="7"/>
        <v>1.3473866666666667</v>
      </c>
      <c r="D219" s="1">
        <f>alpha*B219+(1-alpha)*D218</f>
        <v>1.3474861568107015</v>
      </c>
      <c r="E219">
        <f t="shared" si="9"/>
        <v>1.3476209604921887</v>
      </c>
      <c r="F219">
        <f>STDEV(B190:B219)</f>
        <v>1.5698305055296294E-4</v>
      </c>
      <c r="G219">
        <f>SQRT(alpha2*(B219-D219)^2+(1-alpha2)*G218^2)</f>
        <v>1.4993810686641073E-4</v>
      </c>
      <c r="H219">
        <f t="shared" si="8"/>
        <v>4.9631231546691842E-11</v>
      </c>
    </row>
    <row r="220" spans="1:8" x14ac:dyDescent="0.25">
      <c r="A220">
        <v>2167</v>
      </c>
      <c r="B220">
        <v>1.3478000000000001</v>
      </c>
      <c r="C220">
        <f t="shared" si="7"/>
        <v>1.3474033333333335</v>
      </c>
      <c r="D220" s="1">
        <f>alpha*B220+(1-alpha)*D219</f>
        <v>1.3475140865348616</v>
      </c>
      <c r="E220">
        <f t="shared" si="9"/>
        <v>1.3476746723445321</v>
      </c>
      <c r="F220">
        <f>STDEV(B191:B220)</f>
        <v>1.7317189652806225E-4</v>
      </c>
      <c r="G220">
        <f>SQRT(alpha2*(B220-D220)^2+(1-alpha2)*G219^2)</f>
        <v>1.6932253869881975E-4</v>
      </c>
      <c r="H220">
        <f t="shared" si="8"/>
        <v>1.4817555697550509E-11</v>
      </c>
    </row>
    <row r="221" spans="1:8" x14ac:dyDescent="0.25">
      <c r="A221">
        <v>2177</v>
      </c>
      <c r="B221">
        <v>1.3476999999999999</v>
      </c>
      <c r="C221">
        <f t="shared" si="7"/>
        <v>1.3474200000000003</v>
      </c>
      <c r="D221" s="1">
        <f>alpha*B221+(1-alpha)*D220</f>
        <v>1.3475306314591295</v>
      </c>
      <c r="E221">
        <f t="shared" si="9"/>
        <v>1.3476822706411724</v>
      </c>
      <c r="F221">
        <f>STDEV(B192:B221)</f>
        <v>1.7694729392557867E-4</v>
      </c>
      <c r="G221">
        <f>SQRT(alpha2*(B221-D221)^2+(1-alpha2)*G220^2)</f>
        <v>1.6932734300633762E-4</v>
      </c>
      <c r="H221">
        <f t="shared" si="8"/>
        <v>5.8063652011642534E-11</v>
      </c>
    </row>
    <row r="222" spans="1:8" x14ac:dyDescent="0.25">
      <c r="A222">
        <v>2181</v>
      </c>
      <c r="B222">
        <v>1.3478000000000001</v>
      </c>
      <c r="C222">
        <f t="shared" si="7"/>
        <v>1.3474366666666671</v>
      </c>
      <c r="D222" s="1">
        <f>alpha*B222+(1-alpha)*D221</f>
        <v>1.3475546032683019</v>
      </c>
      <c r="E222">
        <f t="shared" si="9"/>
        <v>1.3477175894488207</v>
      </c>
      <c r="F222">
        <f>STDEV(B193:B222)</f>
        <v>1.8842968748697774E-4</v>
      </c>
      <c r="G222">
        <f>SQRT(alpha2*(B222-D222)^2+(1-alpha2)*G221^2)</f>
        <v>1.7879063744444219E-4</v>
      </c>
      <c r="H222">
        <f t="shared" si="8"/>
        <v>9.2911285722504632E-11</v>
      </c>
    </row>
    <row r="223" spans="1:8" x14ac:dyDescent="0.25">
      <c r="A223">
        <v>2184</v>
      </c>
      <c r="B223">
        <v>1.3479000000000001</v>
      </c>
      <c r="C223">
        <f t="shared" si="7"/>
        <v>1.3474600000000005</v>
      </c>
      <c r="D223" s="1">
        <f>alpha*B223+(1-alpha)*D222</f>
        <v>1.347585341024516</v>
      </c>
      <c r="E223">
        <f t="shared" si="9"/>
        <v>1.3477723126141745</v>
      </c>
      <c r="F223">
        <f>STDEV(B194:B223)</f>
        <v>2.0103182112157404E-4</v>
      </c>
      <c r="G223">
        <f>SQRT(alpha2*(B223-D223)^2+(1-alpha2)*G222^2)</f>
        <v>1.9740086688047002E-4</v>
      </c>
      <c r="H223">
        <f t="shared" si="8"/>
        <v>1.3183828700991213E-11</v>
      </c>
    </row>
    <row r="224" spans="1:8" x14ac:dyDescent="0.25">
      <c r="A224">
        <v>2185</v>
      </c>
      <c r="B224">
        <v>1.3480000000000001</v>
      </c>
      <c r="C224">
        <f t="shared" ref="C224:C287" si="10">AVERAGE(B195:B224)</f>
        <v>1.3474900000000003</v>
      </c>
      <c r="D224" s="1">
        <f>alpha*B224+(1-alpha)*D223</f>
        <v>1.3476222426084938</v>
      </c>
      <c r="E224">
        <f t="shared" si="9"/>
        <v>1.3478406188299221</v>
      </c>
      <c r="F224">
        <f>STDEV(B195:B224)</f>
        <v>2.1229452540575566E-4</v>
      </c>
      <c r="G224">
        <f>SQRT(alpha2*(B224-D224)^2+(1-alpha2)*G223^2)</f>
        <v>2.2315769468808899E-4</v>
      </c>
      <c r="H224">
        <f t="shared" ref="H224:H287" si="11">(F224-G224)^2</f>
        <v>1.1800844685663045E-10</v>
      </c>
    </row>
    <row r="225" spans="1:8" x14ac:dyDescent="0.25">
      <c r="A225">
        <v>2198</v>
      </c>
      <c r="B225">
        <v>1.3481000000000001</v>
      </c>
      <c r="C225">
        <f t="shared" si="10"/>
        <v>1.3475200000000003</v>
      </c>
      <c r="D225" s="1">
        <f>alpha*B225+(1-alpha)*D224</f>
        <v>1.3476647594851223</v>
      </c>
      <c r="E225">
        <f t="shared" si="9"/>
        <v>1.3479184331809455</v>
      </c>
      <c r="F225">
        <f>STDEV(B196:B225)</f>
        <v>2.3252734359051217E-4</v>
      </c>
      <c r="G225">
        <f>SQRT(alpha2*(B225-D225)^2+(1-alpha2)*G224^2)</f>
        <v>2.5373327227639297E-4</v>
      </c>
      <c r="H225">
        <f t="shared" si="11"/>
        <v>4.4969141143066212E-10</v>
      </c>
    </row>
    <row r="226" spans="1:8" x14ac:dyDescent="0.25">
      <c r="A226">
        <v>2203</v>
      </c>
      <c r="B226">
        <v>1.3482000000000001</v>
      </c>
      <c r="C226">
        <f t="shared" si="10"/>
        <v>1.3475500000000005</v>
      </c>
      <c r="D226" s="1">
        <f>alpha*B226+(1-alpha)*D225</f>
        <v>1.3477123919348599</v>
      </c>
      <c r="E226">
        <f t="shared" si="9"/>
        <v>1.3480029032266618</v>
      </c>
      <c r="F226">
        <f>STDEV(B197:B226)</f>
        <v>2.5964166288073204E-4</v>
      </c>
      <c r="G226">
        <f>SQRT(alpha2*(B226-D226)^2+(1-alpha2)*G225^2)</f>
        <v>2.8720321663534034E-4</v>
      </c>
      <c r="H226">
        <f t="shared" si="11"/>
        <v>7.5963924536816322E-10</v>
      </c>
    </row>
    <row r="227" spans="1:8" x14ac:dyDescent="0.25">
      <c r="A227">
        <v>2216</v>
      </c>
      <c r="B227">
        <v>1.3481000000000001</v>
      </c>
      <c r="C227">
        <f t="shared" si="10"/>
        <v>1.3475800000000002</v>
      </c>
      <c r="D227" s="1">
        <f>alpha*B227+(1-alpha)*D226</f>
        <v>1.3477468861877564</v>
      </c>
      <c r="E227">
        <f t="shared" si="9"/>
        <v>1.3480320322586632</v>
      </c>
      <c r="F227">
        <f>STDEV(B198:B227)</f>
        <v>2.6961019115093047E-4</v>
      </c>
      <c r="G227">
        <f>SQRT(alpha2*(B227-D227)^2+(1-alpha2)*G226^2)</f>
        <v>2.9477577476126496E-4</v>
      </c>
      <c r="H227">
        <f t="shared" si="11"/>
        <v>6.3330659844873599E-10</v>
      </c>
    </row>
    <row r="228" spans="1:8" x14ac:dyDescent="0.25">
      <c r="A228">
        <v>2217</v>
      </c>
      <c r="B228">
        <v>1.3480000000000001</v>
      </c>
      <c r="C228">
        <f t="shared" si="10"/>
        <v>1.3476033333333335</v>
      </c>
      <c r="D228" s="1">
        <f>alpha*B228+(1-alpha)*D227</f>
        <v>1.3477694114462235</v>
      </c>
      <c r="E228">
        <f t="shared" si="9"/>
        <v>1.3480224225810642</v>
      </c>
      <c r="F228">
        <f>STDEV(B199:B228)</f>
        <v>2.7478309104904402E-4</v>
      </c>
      <c r="G228">
        <f>SQRT(alpha2*(B228-D228)^2+(1-alpha2)*G227^2)</f>
        <v>2.8874107892492765E-4</v>
      </c>
      <c r="H228">
        <f t="shared" si="11"/>
        <v>1.9482542554331423E-10</v>
      </c>
    </row>
    <row r="229" spans="1:8" x14ac:dyDescent="0.25">
      <c r="A229">
        <v>2233</v>
      </c>
      <c r="B229">
        <v>1.3481000000000001</v>
      </c>
      <c r="C229">
        <f t="shared" si="10"/>
        <v>1.3476333333333335</v>
      </c>
      <c r="D229" s="1">
        <f>alpha*B229+(1-alpha)*D228</f>
        <v>1.3477988313840532</v>
      </c>
      <c r="E229">
        <f t="shared" si="9"/>
        <v>1.3480456958067448</v>
      </c>
      <c r="F229">
        <f>STDEV(B200:B229)</f>
        <v>2.783366026376149E-4</v>
      </c>
      <c r="G229">
        <f>SQRT(alpha2*(B229-D229)^2+(1-alpha2)*G228^2)</f>
        <v>2.9006370816602611E-4</v>
      </c>
      <c r="H229">
        <f t="shared" si="11"/>
        <v>1.3752500407449276E-10</v>
      </c>
    </row>
    <row r="230" spans="1:8" x14ac:dyDescent="0.25">
      <c r="A230">
        <v>2244</v>
      </c>
      <c r="B230">
        <v>1.3480000000000001</v>
      </c>
      <c r="C230">
        <f t="shared" si="10"/>
        <v>1.3476566666666667</v>
      </c>
      <c r="D230" s="1">
        <f>alpha*B230+(1-alpha)*D229</f>
        <v>1.3478167339039888</v>
      </c>
      <c r="E230">
        <f t="shared" si="9"/>
        <v>1.3480319870647213</v>
      </c>
      <c r="F230">
        <f>STDEV(B201:B230)</f>
        <v>2.787698758442102E-4</v>
      </c>
      <c r="G230">
        <f>SQRT(alpha2*(B230-D230)^2+(1-alpha2)*G229^2)</f>
        <v>2.8081716207371111E-4</v>
      </c>
      <c r="H230">
        <f t="shared" si="11"/>
        <v>4.1913809055040343E-12</v>
      </c>
    </row>
    <row r="231" spans="1:8" x14ac:dyDescent="0.25">
      <c r="A231">
        <v>2249</v>
      </c>
      <c r="B231">
        <v>1.3481000000000001</v>
      </c>
      <c r="C231">
        <f t="shared" si="10"/>
        <v>1.3476800000000002</v>
      </c>
      <c r="D231" s="1">
        <f>alpha*B231+(1-alpha)*D230</f>
        <v>1.3478419424928485</v>
      </c>
      <c r="E231">
        <f t="shared" si="9"/>
        <v>1.3480523909453048</v>
      </c>
      <c r="F231">
        <f>STDEV(B202:B231)</f>
        <v>2.857536918638682E-4</v>
      </c>
      <c r="G231">
        <f>SQRT(alpha2*(B231-D231)^2+(1-alpha2)*G230^2)</f>
        <v>2.7852748841123174E-4</v>
      </c>
      <c r="H231">
        <f t="shared" si="11"/>
        <v>5.2218016338894999E-11</v>
      </c>
    </row>
    <row r="232" spans="1:8" x14ac:dyDescent="0.25">
      <c r="A232">
        <v>2264</v>
      </c>
      <c r="B232">
        <v>1.3482000000000001</v>
      </c>
      <c r="C232">
        <f t="shared" si="10"/>
        <v>1.34771</v>
      </c>
      <c r="D232" s="1">
        <f>alpha*B232+(1-alpha)*D231</f>
        <v>1.3478738069644991</v>
      </c>
      <c r="E232">
        <f t="shared" si="9"/>
        <v>1.3480966736617133</v>
      </c>
      <c r="F232">
        <f>STDEV(B203:B232)</f>
        <v>2.9166584564751586E-4</v>
      </c>
      <c r="G232">
        <f>SQRT(alpha2*(B232-D232)^2+(1-alpha2)*G231^2)</f>
        <v>2.8387939223639046E-4</v>
      </c>
      <c r="H232">
        <f t="shared" si="11"/>
        <v>6.0628856723626376E-11</v>
      </c>
    </row>
    <row r="233" spans="1:8" x14ac:dyDescent="0.25">
      <c r="A233">
        <v>2266</v>
      </c>
      <c r="B233">
        <v>1.3481000000000001</v>
      </c>
      <c r="C233">
        <f t="shared" si="10"/>
        <v>1.3477333333333334</v>
      </c>
      <c r="D233" s="1">
        <f>alpha*B233+(1-alpha)*D232</f>
        <v>1.3478939364728135</v>
      </c>
      <c r="E233">
        <f t="shared" si="9"/>
        <v>1.3480976715631992</v>
      </c>
      <c r="F233">
        <f>STDEV(B204:B233)</f>
        <v>2.9400132926440242E-4</v>
      </c>
      <c r="G233">
        <f>SQRT(alpha2*(B233-D233)^2+(1-alpha2)*G232^2)</f>
        <v>2.7677846011110919E-4</v>
      </c>
      <c r="H233">
        <f t="shared" si="11"/>
        <v>2.966272218714596E-10</v>
      </c>
    </row>
    <row r="234" spans="1:8" x14ac:dyDescent="0.25">
      <c r="A234">
        <v>2271</v>
      </c>
      <c r="B234">
        <v>1.3482000000000001</v>
      </c>
      <c r="C234">
        <f t="shared" si="10"/>
        <v>1.3477633333333332</v>
      </c>
      <c r="D234" s="1">
        <f>alpha*B234+(1-alpha)*D233</f>
        <v>1.3479211738645467</v>
      </c>
      <c r="E234">
        <f t="shared" si="9"/>
        <v>1.3481283700942392</v>
      </c>
      <c r="F234">
        <f>STDEV(B205:B234)</f>
        <v>2.9417720830325779E-4</v>
      </c>
      <c r="G234">
        <f>SQRT(alpha2*(B234-D234)^2+(1-alpha2)*G233^2)</f>
        <v>2.769929940467768E-4</v>
      </c>
      <c r="H234">
        <f t="shared" si="11"/>
        <v>2.9529721961264469E-10</v>
      </c>
    </row>
    <row r="235" spans="1:8" x14ac:dyDescent="0.25">
      <c r="A235">
        <v>2276</v>
      </c>
      <c r="B235">
        <v>1.3481000000000001</v>
      </c>
      <c r="C235">
        <f t="shared" si="10"/>
        <v>1.3477866666666665</v>
      </c>
      <c r="D235" s="1">
        <f>alpha*B235+(1-alpha)*D234</f>
        <v>1.3479370880688566</v>
      </c>
      <c r="E235">
        <f t="shared" si="9"/>
        <v>1.3481198590659673</v>
      </c>
      <c r="F235">
        <f>STDEV(B206:B235)</f>
        <v>2.9211869733615861E-4</v>
      </c>
      <c r="G235">
        <f>SQRT(alpha2*(B235-D235)^2+(1-alpha2)*G234^2)</f>
        <v>2.6736609224304865E-4</v>
      </c>
      <c r="H235">
        <f t="shared" si="11"/>
        <v>6.1269145889545308E-10</v>
      </c>
    </row>
    <row r="236" spans="1:8" x14ac:dyDescent="0.25">
      <c r="A236">
        <v>2277</v>
      </c>
      <c r="B236">
        <v>1.3482000000000001</v>
      </c>
      <c r="C236">
        <f t="shared" si="10"/>
        <v>1.3478099999999997</v>
      </c>
      <c r="D236" s="1">
        <f>alpha*B236+(1-alpha)*D235</f>
        <v>1.3479604852874854</v>
      </c>
      <c r="E236">
        <f t="shared" si="9"/>
        <v>1.3481439013461771</v>
      </c>
      <c r="F236">
        <f>STDEV(B207:B236)</f>
        <v>2.9635719361428966E-4</v>
      </c>
      <c r="G236">
        <f>SQRT(alpha2*(B236-D236)^2+(1-alpha2)*G235^2)</f>
        <v>2.6459486310045156E-4</v>
      </c>
      <c r="H236">
        <f t="shared" si="11"/>
        <v>1.0088456396702907E-9</v>
      </c>
    </row>
    <row r="237" spans="1:8" x14ac:dyDescent="0.25">
      <c r="A237">
        <v>2283</v>
      </c>
      <c r="B237">
        <v>1.3481000000000001</v>
      </c>
      <c r="C237">
        <f t="shared" si="10"/>
        <v>1.3478333333333332</v>
      </c>
      <c r="D237" s="1">
        <f>alpha*B237+(1-alpha)*D236</f>
        <v>1.3479729010657135</v>
      </c>
      <c r="E237">
        <f t="shared" si="9"/>
        <v>1.3481307309423238</v>
      </c>
      <c r="F237">
        <f>STDEV(B208:B237)</f>
        <v>2.9046138485518889E-4</v>
      </c>
      <c r="G237">
        <f>SQRT(alpha2*(B237-D237)^2+(1-alpha2)*G236^2)</f>
        <v>2.5374506888280185E-4</v>
      </c>
      <c r="H237">
        <f t="shared" si="11"/>
        <v>1.3480878585841638E-9</v>
      </c>
    </row>
    <row r="238" spans="1:8" x14ac:dyDescent="0.25">
      <c r="A238">
        <v>2289</v>
      </c>
      <c r="B238">
        <v>1.3482000000000001</v>
      </c>
      <c r="C238">
        <f t="shared" si="10"/>
        <v>1.3478566666666663</v>
      </c>
      <c r="D238" s="1">
        <f>alpha*B238+(1-alpha)*D237</f>
        <v>1.3479931111923242</v>
      </c>
      <c r="E238">
        <f t="shared" si="9"/>
        <v>1.3481515116596265</v>
      </c>
      <c r="F238">
        <f>STDEV(B209:B238)</f>
        <v>2.9087659823770305E-4</v>
      </c>
      <c r="G238">
        <f>SQRT(alpha2*(B238-D238)^2+(1-alpha2)*G237^2)</f>
        <v>2.49264357008985E-4</v>
      </c>
      <c r="H238">
        <f t="shared" si="11"/>
        <v>1.7315786200770225E-9</v>
      </c>
    </row>
    <row r="239" spans="1:8" x14ac:dyDescent="0.25">
      <c r="A239">
        <v>2296</v>
      </c>
      <c r="B239">
        <v>1.3481000000000001</v>
      </c>
      <c r="C239">
        <f t="shared" si="10"/>
        <v>1.3478799999999997</v>
      </c>
      <c r="D239" s="1">
        <f>alpha*B239+(1-alpha)*D238</f>
        <v>1.3480026235061677</v>
      </c>
      <c r="E239">
        <f t="shared" si="9"/>
        <v>1.3481360581617385</v>
      </c>
      <c r="F239">
        <f>STDEV(B210:B239)</f>
        <v>2.8088529994318919E-4</v>
      </c>
      <c r="G239">
        <f>SQRT(alpha2*(B239-D239)^2+(1-alpha2)*G238^2)</f>
        <v>2.3798056352492325E-4</v>
      </c>
      <c r="H239">
        <f t="shared" si="11"/>
        <v>1.8408164071208752E-9</v>
      </c>
    </row>
    <row r="240" spans="1:8" x14ac:dyDescent="0.25">
      <c r="A240">
        <v>2298</v>
      </c>
      <c r="B240">
        <v>1.3482000000000001</v>
      </c>
      <c r="C240">
        <f t="shared" si="10"/>
        <v>1.3479099999999995</v>
      </c>
      <c r="D240" s="1">
        <f>alpha*B240+(1-alpha)*D239</f>
        <v>1.3480201885552634</v>
      </c>
      <c r="E240">
        <f t="shared" si="9"/>
        <v>1.3481552407132169</v>
      </c>
      <c r="F240">
        <f>STDEV(B211:B240)</f>
        <v>2.6437955995911079E-4</v>
      </c>
      <c r="G240">
        <f>SQRT(alpha2*(B240-D240)^2+(1-alpha2)*G239^2)</f>
        <v>2.3258757206682973E-4</v>
      </c>
      <c r="H240">
        <f t="shared" si="11"/>
        <v>1.0107304941429457E-9</v>
      </c>
    </row>
    <row r="241" spans="1:8" x14ac:dyDescent="0.25">
      <c r="A241">
        <v>2318</v>
      </c>
      <c r="B241">
        <v>1.3481000000000001</v>
      </c>
      <c r="C241">
        <f t="shared" si="10"/>
        <v>1.347933333333333</v>
      </c>
      <c r="D241" s="1">
        <f>alpha*B241+(1-alpha)*D240</f>
        <v>1.3480272911839402</v>
      </c>
      <c r="E241">
        <f t="shared" si="9"/>
        <v>1.3481386684992518</v>
      </c>
      <c r="F241">
        <f>STDEV(B212:B241)</f>
        <v>2.4821199689445151E-4</v>
      </c>
      <c r="G241">
        <f>SQRT(alpha2*(B241-D241)^2+(1-alpha2)*G240^2)</f>
        <v>2.2135945622987757E-4</v>
      </c>
      <c r="H241">
        <f t="shared" si="11"/>
        <v>7.2105894014259686E-10</v>
      </c>
    </row>
    <row r="242" spans="1:8" x14ac:dyDescent="0.25">
      <c r="A242">
        <v>2320</v>
      </c>
      <c r="B242">
        <v>1.3482000000000001</v>
      </c>
      <c r="C242">
        <f t="shared" si="10"/>
        <v>1.347956666666666</v>
      </c>
      <c r="D242" s="1">
        <f>alpha*B242+(1-alpha)*D241</f>
        <v>1.3480426609920386</v>
      </c>
      <c r="E242">
        <f t="shared" si="9"/>
        <v>1.3481570679494761</v>
      </c>
      <c r="F242">
        <f>STDEV(B213:B242)</f>
        <v>2.3879486700047965E-4</v>
      </c>
      <c r="G242">
        <f>SQRT(alpha2*(B242-D242)^2+(1-alpha2)*G241^2)</f>
        <v>2.155650966965758E-4</v>
      </c>
      <c r="H242">
        <f t="shared" si="11"/>
        <v>5.3962222837213322E-10</v>
      </c>
    </row>
    <row r="243" spans="1:8" x14ac:dyDescent="0.25">
      <c r="A243">
        <v>2325</v>
      </c>
      <c r="B243">
        <v>1.3481000000000001</v>
      </c>
      <c r="C243">
        <f t="shared" si="10"/>
        <v>1.3479733333333328</v>
      </c>
      <c r="D243" s="1">
        <f>alpha*B243+(1-alpha)*D242</f>
        <v>1.3480477637399413</v>
      </c>
      <c r="E243">
        <f t="shared" si="9"/>
        <v>1.3481399475646332</v>
      </c>
      <c r="F243">
        <f>STDEV(B214:B243)</f>
        <v>2.3034207445535136E-4</v>
      </c>
      <c r="G243">
        <f>SQRT(alpha2*(B243-D243)^2+(1-alpha2)*G242^2)</f>
        <v>2.0469695992408904E-4</v>
      </c>
      <c r="H243">
        <f t="shared" si="11"/>
        <v>6.5767189932156202E-10</v>
      </c>
    </row>
    <row r="244" spans="1:8" x14ac:dyDescent="0.25">
      <c r="A244">
        <v>2338</v>
      </c>
      <c r="B244">
        <v>1.3480000000000001</v>
      </c>
      <c r="C244">
        <f t="shared" si="10"/>
        <v>1.3479899999999996</v>
      </c>
      <c r="D244" s="1">
        <f>alpha*B244+(1-alpha)*D243</f>
        <v>1.3480435131201196</v>
      </c>
      <c r="E244">
        <f t="shared" si="9"/>
        <v>1.3480979632952432</v>
      </c>
      <c r="F244">
        <f>STDEV(B215:B244)</f>
        <v>2.1229452540577726E-4</v>
      </c>
      <c r="G244">
        <f>SQRT(alpha2*(B244-D244)^2+(1-alpha2)*G243^2)</f>
        <v>1.9422439003653121E-4</v>
      </c>
      <c r="H244">
        <f t="shared" si="11"/>
        <v>3.2652979226287722E-10</v>
      </c>
    </row>
    <row r="245" spans="1:8" x14ac:dyDescent="0.25">
      <c r="A245">
        <v>2352</v>
      </c>
      <c r="B245">
        <v>1.3481000000000001</v>
      </c>
      <c r="C245">
        <f t="shared" si="10"/>
        <v>1.3480066666666664</v>
      </c>
      <c r="D245" s="1">
        <f>alpha*B245+(1-alpha)*D244</f>
        <v>1.3480485400349216</v>
      </c>
      <c r="E245">
        <f t="shared" si="9"/>
        <v>1.3480985743066702</v>
      </c>
      <c r="F245">
        <f>STDEV(B216:B245)</f>
        <v>1.9988502442285427E-4</v>
      </c>
      <c r="G245">
        <f>SQRT(alpha2*(B245-D245)^2+(1-alpha2)*G244^2)</f>
        <v>1.8455473225764452E-4</v>
      </c>
      <c r="H245">
        <f t="shared" si="11"/>
        <v>2.3501785787069158E-10</v>
      </c>
    </row>
    <row r="246" spans="1:8" x14ac:dyDescent="0.25">
      <c r="A246">
        <v>2355</v>
      </c>
      <c r="B246">
        <v>1.3480000000000001</v>
      </c>
      <c r="C246">
        <f t="shared" si="10"/>
        <v>1.3480233333333331</v>
      </c>
      <c r="D246" s="1">
        <f>alpha*B246+(1-alpha)*D245</f>
        <v>1.3480442203305845</v>
      </c>
      <c r="E246">
        <f t="shared" si="9"/>
        <v>1.3480690020146691</v>
      </c>
      <c r="F246">
        <f>STDEV(B217:B246)</f>
        <v>1.7554512797009639E-4</v>
      </c>
      <c r="G246">
        <f>SQRT(alpha2*(B246-D246)^2+(1-alpha2)*G245^2)</f>
        <v>1.7523675640945856E-4</v>
      </c>
      <c r="H246">
        <f t="shared" si="11"/>
        <v>9.5093019410212335E-14</v>
      </c>
    </row>
    <row r="247" spans="1:8" x14ac:dyDescent="0.25">
      <c r="A247">
        <v>2357</v>
      </c>
      <c r="B247">
        <v>1.3481000000000001</v>
      </c>
      <c r="C247">
        <f t="shared" si="10"/>
        <v>1.3480399999999999</v>
      </c>
      <c r="D247" s="1">
        <f>alpha*B247+(1-alpha)*D246</f>
        <v>1.348049184308882</v>
      </c>
      <c r="E247">
        <f t="shared" si="9"/>
        <v>1.3480783014102682</v>
      </c>
      <c r="F247">
        <f>STDEV(B218:B247)</f>
        <v>1.5668989800858641E-4</v>
      </c>
      <c r="G247">
        <f>SQRT(alpha2*(B247-D247)^2+(1-alpha2)*G246^2)</f>
        <v>1.6664611844477881E-4</v>
      </c>
      <c r="H247">
        <f t="shared" si="11"/>
        <v>9.9126325374055095E-11</v>
      </c>
    </row>
    <row r="248" spans="1:8" x14ac:dyDescent="0.25">
      <c r="A248">
        <v>2361</v>
      </c>
      <c r="B248">
        <v>1.3480000000000001</v>
      </c>
      <c r="C248">
        <f t="shared" si="10"/>
        <v>1.3480499999999997</v>
      </c>
      <c r="D248" s="1">
        <f>alpha*B248+(1-alpha)*D247</f>
        <v>1.3480448072689242</v>
      </c>
      <c r="E248">
        <f t="shared" si="9"/>
        <v>1.3480548109871877</v>
      </c>
      <c r="F248">
        <f>STDEV(B219:B248)</f>
        <v>1.4323840748666731E-4</v>
      </c>
      <c r="G248">
        <f>SQRT(alpha2*(B248-D248)^2+(1-alpha2)*G247^2)</f>
        <v>1.5836866091307713E-4</v>
      </c>
      <c r="H248">
        <f t="shared" si="11"/>
        <v>2.2892456874738611E-10</v>
      </c>
    </row>
    <row r="249" spans="1:8" x14ac:dyDescent="0.25">
      <c r="A249">
        <v>2363</v>
      </c>
      <c r="B249">
        <v>1.3481000000000001</v>
      </c>
      <c r="C249">
        <f t="shared" si="10"/>
        <v>1.3480633333333329</v>
      </c>
      <c r="D249" s="1">
        <f>alpha*B249+(1-alpha)*D248</f>
        <v>1.3480497190140479</v>
      </c>
      <c r="E249">
        <f t="shared" si="9"/>
        <v>1.3480683676910314</v>
      </c>
      <c r="F249">
        <f>STDEV(B220:B249)</f>
        <v>1.2726115785601105E-4</v>
      </c>
      <c r="G249">
        <f>SQRT(alpha2*(B249-D249)^2+(1-alpha2)*G248^2)</f>
        <v>1.5075018712230599E-4</v>
      </c>
      <c r="H249">
        <f t="shared" si="11"/>
        <v>5.5173449587286051E-10</v>
      </c>
    </row>
    <row r="250" spans="1:8" x14ac:dyDescent="0.25">
      <c r="A250">
        <v>2370</v>
      </c>
      <c r="B250">
        <v>1.3482000000000001</v>
      </c>
      <c r="C250">
        <f t="shared" si="10"/>
        <v>1.3480766666666664</v>
      </c>
      <c r="D250" s="1">
        <f>alpha*B250+(1-alpha)*D249</f>
        <v>1.348063092911036</v>
      </c>
      <c r="E250">
        <f t="shared" si="9"/>
        <v>1.348107857383722</v>
      </c>
      <c r="F250">
        <f>STDEV(B221:B250)</f>
        <v>1.1943352886059501E-4</v>
      </c>
      <c r="G250">
        <f>SQRT(alpha2*(B250-D250)^2+(1-alpha2)*G249^2)</f>
        <v>1.4936464146056316E-4</v>
      </c>
      <c r="H250">
        <f t="shared" si="11"/>
        <v>8.9587150147197213E-10</v>
      </c>
    </row>
    <row r="251" spans="1:8" x14ac:dyDescent="0.25">
      <c r="A251">
        <v>2379</v>
      </c>
      <c r="B251">
        <v>1.3483000000000001</v>
      </c>
      <c r="C251">
        <f t="shared" si="10"/>
        <v>1.3480966666666665</v>
      </c>
      <c r="D251" s="1">
        <f>alpha*B251+(1-alpha)*D250</f>
        <v>1.3480841758909188</v>
      </c>
      <c r="E251">
        <f t="shared" si="9"/>
        <v>1.3481655001686055</v>
      </c>
      <c r="F251">
        <f>STDEV(B222:B251)</f>
        <v>1.0333518722844547E-4</v>
      </c>
      <c r="G251">
        <f>SQRT(alpha2*(B251-D251)^2+(1-alpha2)*G250^2)</f>
        <v>1.5762039421559143E-4</v>
      </c>
      <c r="H251">
        <f t="shared" si="11"/>
        <v>2.9468836976372802E-9</v>
      </c>
    </row>
    <row r="252" spans="1:8" x14ac:dyDescent="0.25">
      <c r="A252">
        <v>2382</v>
      </c>
      <c r="B252">
        <v>1.3485</v>
      </c>
      <c r="C252">
        <f t="shared" si="10"/>
        <v>1.34812</v>
      </c>
      <c r="D252" s="1">
        <f>alpha*B252+(1-alpha)*D251</f>
        <v>1.3481211811631748</v>
      </c>
      <c r="E252">
        <f t="shared" si="9"/>
        <v>1.3482658501180238</v>
      </c>
      <c r="F252">
        <f>STDEV(B223:B252)</f>
        <v>1.1264836959499679E-4</v>
      </c>
      <c r="G252">
        <f>SQRT(alpha2*(B252-D252)^2+(1-alpha2)*G251^2)</f>
        <v>1.9296391103793996E-4</v>
      </c>
      <c r="H252">
        <f t="shared" si="11"/>
        <v>6.4505861972731211E-9</v>
      </c>
    </row>
    <row r="253" spans="1:8" x14ac:dyDescent="0.25">
      <c r="A253">
        <v>2383</v>
      </c>
      <c r="B253">
        <v>1.3486</v>
      </c>
      <c r="C253">
        <f t="shared" si="10"/>
        <v>1.348143333333333</v>
      </c>
      <c r="D253" s="1">
        <f>alpha*B253+(1-alpha)*D252</f>
        <v>1.3481637925005916</v>
      </c>
      <c r="E253">
        <f t="shared" si="9"/>
        <v>1.3483660950826166</v>
      </c>
      <c r="F253">
        <f>STDEV(B224:B253)</f>
        <v>1.35655073073478E-4</v>
      </c>
      <c r="G253">
        <f>SQRT(alpha2*(B253-D253)^2+(1-alpha2)*G252^2)</f>
        <v>2.3068657124158495E-4</v>
      </c>
      <c r="H253">
        <f t="shared" si="11"/>
        <v>9.0309856440749147E-9</v>
      </c>
    </row>
    <row r="254" spans="1:8" x14ac:dyDescent="0.25">
      <c r="A254">
        <v>2388</v>
      </c>
      <c r="B254">
        <v>1.3485</v>
      </c>
      <c r="C254">
        <f t="shared" si="10"/>
        <v>1.3481599999999998</v>
      </c>
      <c r="D254" s="1">
        <f>alpha*B254+(1-alpha)*D253</f>
        <v>1.3481937124830516</v>
      </c>
      <c r="E254">
        <f t="shared" si="9"/>
        <v>1.3484062665578316</v>
      </c>
      <c r="F254">
        <f>STDEV(B225:B254)</f>
        <v>1.4762487408384492E-4</v>
      </c>
      <c r="G254">
        <f>SQRT(alpha2*(B254-D254)^2+(1-alpha2)*G253^2)</f>
        <v>2.3969868147119411E-4</v>
      </c>
      <c r="H254">
        <f t="shared" si="11"/>
        <v>8.477586006802679E-9</v>
      </c>
    </row>
    <row r="255" spans="1:8" x14ac:dyDescent="0.25">
      <c r="A255">
        <v>2391</v>
      </c>
      <c r="B255">
        <v>1.3484</v>
      </c>
      <c r="C255">
        <f t="shared" si="10"/>
        <v>1.3481699999999996</v>
      </c>
      <c r="D255" s="1">
        <f>alpha*B255+(1-alpha)*D254</f>
        <v>1.3482120705473413</v>
      </c>
      <c r="E255">
        <f t="shared" si="9"/>
        <v>1.348404386590482</v>
      </c>
      <c r="F255">
        <f>STDEV(B226:B255)</f>
        <v>1.5346570997433221E-4</v>
      </c>
      <c r="G255">
        <f>SQRT(alpha2*(B255-D255)^2+(1-alpha2)*G254^2)</f>
        <v>2.3482701139591853E-4</v>
      </c>
      <c r="H255">
        <f t="shared" si="11"/>
        <v>6.6196613690142248E-9</v>
      </c>
    </row>
    <row r="256" spans="1:8" x14ac:dyDescent="0.25">
      <c r="A256">
        <v>2401</v>
      </c>
      <c r="B256">
        <v>1.3483000000000001</v>
      </c>
      <c r="C256">
        <f t="shared" si="10"/>
        <v>1.348173333333333</v>
      </c>
      <c r="D256" s="1">
        <f>alpha*B256+(1-alpha)*D255</f>
        <v>1.348219895618721</v>
      </c>
      <c r="E256">
        <f t="shared" si="9"/>
        <v>1.3483730706133374</v>
      </c>
      <c r="F256">
        <f>STDEV(B227:B256)</f>
        <v>1.5521583045225508E-4</v>
      </c>
      <c r="G256">
        <f>SQRT(alpha2*(B256-D256)^2+(1-alpha2)*G255^2)</f>
        <v>2.2373078402090329E-4</v>
      </c>
      <c r="H256">
        <f t="shared" si="11"/>
        <v>4.6942988625140208E-9</v>
      </c>
    </row>
    <row r="257" spans="1:8" x14ac:dyDescent="0.25">
      <c r="A257">
        <v>2402</v>
      </c>
      <c r="B257">
        <v>1.3484</v>
      </c>
      <c r="C257">
        <f t="shared" si="10"/>
        <v>1.3481833333333328</v>
      </c>
      <c r="D257" s="1">
        <f>alpha*B257+(1-alpha)*D256</f>
        <v>1.3482359235774617</v>
      </c>
      <c r="E257">
        <f t="shared" si="9"/>
        <v>1.3483811494293363</v>
      </c>
      <c r="F257">
        <f>STDEV(B228:B257)</f>
        <v>1.5992095748735538E-4</v>
      </c>
      <c r="G257">
        <f>SQRT(alpha2*(B257-D257)^2+(1-alpha2)*G256^2)</f>
        <v>2.1826516414787675E-4</v>
      </c>
      <c r="H257">
        <f t="shared" si="11"/>
        <v>3.4040464508456265E-9</v>
      </c>
    </row>
    <row r="258" spans="1:8" x14ac:dyDescent="0.25">
      <c r="A258">
        <v>2407</v>
      </c>
      <c r="B258">
        <v>1.3483000000000001</v>
      </c>
      <c r="C258">
        <f t="shared" si="10"/>
        <v>1.3481933333333331</v>
      </c>
      <c r="D258" s="1">
        <f>alpha*B258+(1-alpha)*D257</f>
        <v>1.3482416259054639</v>
      </c>
      <c r="E258">
        <f t="shared" si="9"/>
        <v>1.3483568046005354</v>
      </c>
      <c r="F258">
        <f>STDEV(B229:B258)</f>
        <v>1.5742175578806392E-4</v>
      </c>
      <c r="G258">
        <f>SQRT(alpha2*(B258-D258)^2+(1-alpha2)*G257^2)</f>
        <v>2.0741454023940825E-4</v>
      </c>
      <c r="H258">
        <f t="shared" si="11"/>
        <v>2.499278497198575E-9</v>
      </c>
    </row>
    <row r="259" spans="1:8" x14ac:dyDescent="0.25">
      <c r="A259">
        <v>2409</v>
      </c>
      <c r="B259">
        <v>1.3484</v>
      </c>
      <c r="C259">
        <f t="shared" si="10"/>
        <v>1.348203333333333</v>
      </c>
      <c r="D259" s="1">
        <f>alpha*B259+(1-alpha)*D258</f>
        <v>1.3482557200292982</v>
      </c>
      <c r="E259">
        <f t="shared" si="9"/>
        <v>1.3483697632203748</v>
      </c>
      <c r="F259">
        <f>STDEV(B230:B259)</f>
        <v>1.6078113916948711E-4</v>
      </c>
      <c r="G259">
        <f>SQRT(alpha2*(B259-D259)^2+(1-alpha2)*G258^2)</f>
        <v>2.0174775382492114E-4</v>
      </c>
      <c r="H259">
        <f t="shared" si="11"/>
        <v>1.6782635163268219E-9</v>
      </c>
    </row>
    <row r="260" spans="1:8" x14ac:dyDescent="0.25">
      <c r="A260">
        <v>2414</v>
      </c>
      <c r="B260">
        <v>1.3483000000000001</v>
      </c>
      <c r="C260">
        <f t="shared" si="10"/>
        <v>1.348213333333333</v>
      </c>
      <c r="D260" s="1">
        <f>alpha*B260+(1-alpha)*D259</f>
        <v>1.3482596606194071</v>
      </c>
      <c r="E260">
        <f t="shared" ref="E260:E323" si="12">0.3*B260+(1-0.3)*E259</f>
        <v>1.3483488342542622</v>
      </c>
      <c r="F260">
        <f>STDEV(B231:B260)</f>
        <v>1.5698305055296294E-4</v>
      </c>
      <c r="G260">
        <f>SQRT(alpha2*(B260-D260)^2+(1-alpha2)*G259^2)</f>
        <v>1.9136824784857784E-4</v>
      </c>
      <c r="H260">
        <f t="shared" si="11"/>
        <v>1.1823417930583628E-9</v>
      </c>
    </row>
    <row r="261" spans="1:8" x14ac:dyDescent="0.25">
      <c r="A261">
        <v>2419</v>
      </c>
      <c r="B261">
        <v>1.3484</v>
      </c>
      <c r="C261">
        <f t="shared" si="10"/>
        <v>1.3482233333333333</v>
      </c>
      <c r="D261" s="1">
        <f>alpha*B261+(1-alpha)*D260</f>
        <v>1.3482721497869989</v>
      </c>
      <c r="E261">
        <f t="shared" si="12"/>
        <v>1.3483641839779836</v>
      </c>
      <c r="F261">
        <f>STDEV(B232:B261)</f>
        <v>1.5905612397737809E-4</v>
      </c>
      <c r="G261">
        <f>SQRT(alpha2*(B261-D261)^2+(1-alpha2)*G260^2)</f>
        <v>1.8575385627189088E-4</v>
      </c>
      <c r="H261">
        <f t="shared" si="11"/>
        <v>7.1276890966947136E-10</v>
      </c>
    </row>
    <row r="262" spans="1:8" x14ac:dyDescent="0.25">
      <c r="A262">
        <v>2423</v>
      </c>
      <c r="B262">
        <v>1.3486</v>
      </c>
      <c r="C262">
        <f t="shared" si="10"/>
        <v>1.3482366666666665</v>
      </c>
      <c r="D262" s="1">
        <f>alpha*B262+(1-alpha)*D261</f>
        <v>1.3483013260327394</v>
      </c>
      <c r="E262">
        <f t="shared" si="12"/>
        <v>1.3484349287845885</v>
      </c>
      <c r="F262">
        <f>STDEV(B233:B262)</f>
        <v>1.7317189652804474E-4</v>
      </c>
      <c r="G262">
        <f>SQRT(alpha2*(B262-D262)^2+(1-alpha2)*G261^2)</f>
        <v>2.0054089477524573E-4</v>
      </c>
      <c r="H262">
        <f t="shared" si="11"/>
        <v>7.4906206505529092E-10</v>
      </c>
    </row>
    <row r="263" spans="1:8" x14ac:dyDescent="0.25">
      <c r="A263">
        <v>2431</v>
      </c>
      <c r="B263">
        <v>1.3485</v>
      </c>
      <c r="C263">
        <f t="shared" si="10"/>
        <v>1.3482499999999999</v>
      </c>
      <c r="D263" s="1">
        <f>alpha*B263+(1-alpha)*D262</f>
        <v>1.3483190065473805</v>
      </c>
      <c r="E263">
        <f t="shared" si="12"/>
        <v>1.3484544501492119</v>
      </c>
      <c r="F263">
        <f>STDEV(B234:B263)</f>
        <v>1.7762804997500841E-4</v>
      </c>
      <c r="G263">
        <f>SQRT(alpha2*(B263-D263)^2+(1-alpha2)*G262^2)</f>
        <v>1.9858966582553917E-4</v>
      </c>
      <c r="H263">
        <f t="shared" si="11"/>
        <v>4.393893390652224E-10</v>
      </c>
    </row>
    <row r="264" spans="1:8" x14ac:dyDescent="0.25">
      <c r="A264">
        <v>2441</v>
      </c>
      <c r="B264">
        <v>1.3486</v>
      </c>
      <c r="C264">
        <f t="shared" si="10"/>
        <v>1.3482633333333331</v>
      </c>
      <c r="D264" s="1">
        <f>alpha*B264+(1-alpha)*D263</f>
        <v>1.3483440128877762</v>
      </c>
      <c r="E264">
        <f t="shared" si="12"/>
        <v>1.3484981151044484</v>
      </c>
      <c r="F264">
        <f>STDEV(B235:B264)</f>
        <v>1.884296874869482E-4</v>
      </c>
      <c r="G264">
        <f>SQRT(alpha2*(B264-D264)^2+(1-alpha2)*G263^2)</f>
        <v>2.0533493290350927E-4</v>
      </c>
      <c r="H264">
        <f t="shared" si="11"/>
        <v>2.8578732259415912E-10</v>
      </c>
    </row>
    <row r="265" spans="1:8" x14ac:dyDescent="0.25">
      <c r="A265">
        <v>2445</v>
      </c>
      <c r="B265">
        <v>1.3487</v>
      </c>
      <c r="C265">
        <f t="shared" si="10"/>
        <v>1.3482833333333335</v>
      </c>
      <c r="D265" s="1">
        <f>alpha*B265+(1-alpha)*D264</f>
        <v>1.3483756931095812</v>
      </c>
      <c r="E265">
        <f t="shared" si="12"/>
        <v>1.3485586805731138</v>
      </c>
      <c r="F265">
        <f>STDEV(B236:B265)</f>
        <v>2.0185917476491533E-4</v>
      </c>
      <c r="G265">
        <f>SQRT(alpha2*(B265-D265)^2+(1-alpha2)*G264^2)</f>
        <v>2.2077691019832947E-4</v>
      </c>
      <c r="H265">
        <f t="shared" si="11"/>
        <v>3.5788071392865293E-10</v>
      </c>
    </row>
    <row r="266" spans="1:8" x14ac:dyDescent="0.25">
      <c r="A266">
        <v>2446</v>
      </c>
      <c r="B266">
        <v>1.3488</v>
      </c>
      <c r="C266">
        <f t="shared" si="10"/>
        <v>1.3483033333333334</v>
      </c>
      <c r="D266" s="1">
        <f>alpha*B266+(1-alpha)*D265</f>
        <v>1.3484134532866781</v>
      </c>
      <c r="E266">
        <f t="shared" si="12"/>
        <v>1.3486310764011797</v>
      </c>
      <c r="F266">
        <f>STDEV(B237:B266)</f>
        <v>2.2203344472106399E-4</v>
      </c>
      <c r="G266">
        <f>SQRT(alpha2*(B266-D266)^2+(1-alpha2)*G265^2)</f>
        <v>2.4342434016773708E-4</v>
      </c>
      <c r="H266">
        <f t="shared" si="11"/>
        <v>4.5757040801049964E-10</v>
      </c>
    </row>
    <row r="267" spans="1:8" x14ac:dyDescent="0.25">
      <c r="A267">
        <v>2448</v>
      </c>
      <c r="B267">
        <v>1.3487</v>
      </c>
      <c r="C267">
        <f t="shared" si="10"/>
        <v>1.3483233333333333</v>
      </c>
      <c r="D267" s="1">
        <f>alpha*B267+(1-alpha)*D266</f>
        <v>1.3484389538262307</v>
      </c>
      <c r="E267">
        <f t="shared" si="12"/>
        <v>1.3486517534808258</v>
      </c>
      <c r="F267">
        <f>STDEV(B238:B267)</f>
        <v>2.2996751394762854E-4</v>
      </c>
      <c r="G267">
        <f>SQRT(alpha2*(B267-D267)^2+(1-alpha2)*G266^2)</f>
        <v>2.4532367490628405E-4</v>
      </c>
      <c r="H267">
        <f t="shared" si="11"/>
        <v>2.3581167938813566E-10</v>
      </c>
    </row>
    <row r="268" spans="1:8" x14ac:dyDescent="0.25">
      <c r="A268">
        <v>2449</v>
      </c>
      <c r="B268">
        <v>1.3486</v>
      </c>
      <c r="C268">
        <f t="shared" si="10"/>
        <v>1.348336666666667</v>
      </c>
      <c r="D268" s="1">
        <f>alpha*B268+(1-alpha)*D267</f>
        <v>1.3484532857453668</v>
      </c>
      <c r="E268">
        <f t="shared" si="12"/>
        <v>1.348636227436578</v>
      </c>
      <c r="F268">
        <f>STDEV(B239:B268)</f>
        <v>2.3412836640187562E-4</v>
      </c>
      <c r="G268">
        <f>SQRT(alpha2*(B268-D268)^2+(1-alpha2)*G267^2)</f>
        <v>2.3695320802696347E-4</v>
      </c>
      <c r="H268">
        <f t="shared" si="11"/>
        <v>7.9797302068290098E-12</v>
      </c>
    </row>
    <row r="269" spans="1:8" x14ac:dyDescent="0.25">
      <c r="A269">
        <v>2452</v>
      </c>
      <c r="B269">
        <v>1.3487</v>
      </c>
      <c r="C269">
        <f t="shared" si="10"/>
        <v>1.3483566666666669</v>
      </c>
      <c r="D269" s="1">
        <f>alpha*B269+(1-alpha)*D268</f>
        <v>1.3484752414905072</v>
      </c>
      <c r="E269">
        <f t="shared" si="12"/>
        <v>1.3486553592056045</v>
      </c>
      <c r="F269">
        <f>STDEV(B240:B269)</f>
        <v>2.3879486700039128E-4</v>
      </c>
      <c r="G269">
        <f>SQRT(alpha2*(B269-D269)^2+(1-alpha2)*G268^2)</f>
        <v>2.3570929375484216E-4</v>
      </c>
      <c r="H269">
        <f t="shared" si="11"/>
        <v>9.5207622536485374E-12</v>
      </c>
    </row>
    <row r="270" spans="1:8" x14ac:dyDescent="0.25">
      <c r="A270">
        <v>2453</v>
      </c>
      <c r="B270">
        <v>1.3486</v>
      </c>
      <c r="C270">
        <f t="shared" si="10"/>
        <v>1.3483700000000001</v>
      </c>
      <c r="D270" s="1">
        <f>alpha*B270+(1-alpha)*D269</f>
        <v>1.3484863440757333</v>
      </c>
      <c r="E270">
        <f t="shared" si="12"/>
        <v>1.3486387514439231</v>
      </c>
      <c r="F270">
        <f>STDEV(B241:B270)</f>
        <v>2.4090347186914496E-4</v>
      </c>
      <c r="G270">
        <f>SQRT(alpha2*(B270-D270)^2+(1-alpha2)*G269^2)</f>
        <v>2.2606661264700561E-4</v>
      </c>
      <c r="H270">
        <f t="shared" si="11"/>
        <v>2.2013239157758154E-10</v>
      </c>
    </row>
    <row r="271" spans="1:8" x14ac:dyDescent="0.25">
      <c r="A271">
        <v>2461</v>
      </c>
      <c r="B271">
        <v>1.3485</v>
      </c>
      <c r="C271">
        <f t="shared" si="10"/>
        <v>1.3483833333333335</v>
      </c>
      <c r="D271" s="1">
        <f>alpha*B271+(1-alpha)*D270</f>
        <v>1.3484875593520591</v>
      </c>
      <c r="E271">
        <f t="shared" si="12"/>
        <v>1.3485971260107461</v>
      </c>
      <c r="F271">
        <f>STDEV(B242:B271)</f>
        <v>2.3647312792339162E-4</v>
      </c>
      <c r="G271">
        <f>SQRT(alpha2*(B271-D271)^2+(1-alpha2)*G270^2)</f>
        <v>2.1397564977807877E-4</v>
      </c>
      <c r="H271">
        <f t="shared" si="11"/>
        <v>5.0613652289882941E-10</v>
      </c>
    </row>
    <row r="272" spans="1:8" x14ac:dyDescent="0.25">
      <c r="A272">
        <v>2462</v>
      </c>
      <c r="B272">
        <v>1.3486</v>
      </c>
      <c r="C272">
        <f t="shared" si="10"/>
        <v>1.3483966666666667</v>
      </c>
      <c r="D272" s="1">
        <f>alpha*B272+(1-alpha)*D271</f>
        <v>1.3484975657386511</v>
      </c>
      <c r="E272">
        <f t="shared" si="12"/>
        <v>1.3485979882075223</v>
      </c>
      <c r="F272">
        <f>STDEV(B243:B272)</f>
        <v>2.370556945083543E-4</v>
      </c>
      <c r="G272">
        <f>SQRT(alpha2*(B272-D272)^2+(1-alpha2)*G271^2)</f>
        <v>2.051832574104172E-4</v>
      </c>
      <c r="H272">
        <f t="shared" si="11"/>
        <v>1.0158522465619566E-9</v>
      </c>
    </row>
    <row r="273" spans="1:8" x14ac:dyDescent="0.25">
      <c r="A273">
        <v>2463</v>
      </c>
      <c r="B273">
        <v>1.3485</v>
      </c>
      <c r="C273">
        <f t="shared" si="10"/>
        <v>1.3484100000000001</v>
      </c>
      <c r="D273" s="1">
        <f>alpha*B273+(1-alpha)*D272</f>
        <v>1.3484977823699191</v>
      </c>
      <c r="E273">
        <f t="shared" si="12"/>
        <v>1.3485685917452657</v>
      </c>
      <c r="F273">
        <f>STDEV(B244:B273)</f>
        <v>2.3096499212260532E-4</v>
      </c>
      <c r="G273">
        <f>SQRT(alpha2*(B273-D273)^2+(1-alpha2)*G272^2)</f>
        <v>1.9417626422644195E-4</v>
      </c>
      <c r="H273">
        <f t="shared" si="11"/>
        <v>1.3534105002179494E-9</v>
      </c>
    </row>
    <row r="274" spans="1:8" x14ac:dyDescent="0.25">
      <c r="A274">
        <v>2464</v>
      </c>
      <c r="B274">
        <v>1.3486</v>
      </c>
      <c r="C274">
        <f t="shared" si="10"/>
        <v>1.34843</v>
      </c>
      <c r="D274" s="1">
        <f>alpha*B274+(1-alpha)*D273</f>
        <v>1.3485068789834822</v>
      </c>
      <c r="E274">
        <f t="shared" si="12"/>
        <v>1.3485780142216859</v>
      </c>
      <c r="F274">
        <f>STDEV(B245:B274)</f>
        <v>2.1995297303018419E-4</v>
      </c>
      <c r="G274">
        <f>SQRT(alpha2*(B274-D274)^2+(1-alpha2)*G273^2)</f>
        <v>1.8620605542658448E-4</v>
      </c>
      <c r="H274">
        <f t="shared" si="11"/>
        <v>1.138854447744148E-9</v>
      </c>
    </row>
    <row r="275" spans="1:8" x14ac:dyDescent="0.25">
      <c r="A275">
        <v>2471</v>
      </c>
      <c r="B275">
        <v>1.3487</v>
      </c>
      <c r="C275">
        <f t="shared" si="10"/>
        <v>1.3484500000000001</v>
      </c>
      <c r="D275" s="1">
        <f>alpha*B275+(1-alpha)*D274</f>
        <v>1.3485240653265502</v>
      </c>
      <c r="E275">
        <f t="shared" si="12"/>
        <v>1.3486146099551801</v>
      </c>
      <c r="F275">
        <f>STDEV(B246:B275)</f>
        <v>2.1615766914690813E-4</v>
      </c>
      <c r="G275">
        <f>SQRT(alpha2*(B275-D275)^2+(1-alpha2)*G274^2)</f>
        <v>1.851601232155486E-4</v>
      </c>
      <c r="H275">
        <f t="shared" si="11"/>
        <v>9.6084785376674371E-10</v>
      </c>
    </row>
    <row r="276" spans="1:8" x14ac:dyDescent="0.25">
      <c r="A276">
        <v>2474</v>
      </c>
      <c r="B276">
        <v>1.3486</v>
      </c>
      <c r="C276">
        <f t="shared" si="10"/>
        <v>1.3484700000000001</v>
      </c>
      <c r="D276" s="1">
        <f>alpha*B276+(1-alpha)*D275</f>
        <v>1.3485308229512367</v>
      </c>
      <c r="E276">
        <f t="shared" si="12"/>
        <v>1.348610226968626</v>
      </c>
      <c r="F276">
        <f>STDEV(B247:B276)</f>
        <v>2.0025845369385341E-4</v>
      </c>
      <c r="G276">
        <f>SQRT(alpha2*(B276-D276)^2+(1-alpha2)*G275^2)</f>
        <v>1.766462359752175E-4</v>
      </c>
      <c r="H276">
        <f t="shared" si="11"/>
        <v>5.5753682559226322E-10</v>
      </c>
    </row>
    <row r="277" spans="1:8" x14ac:dyDescent="0.25">
      <c r="A277">
        <v>2477</v>
      </c>
      <c r="B277">
        <v>1.3487</v>
      </c>
      <c r="C277">
        <f t="shared" si="10"/>
        <v>1.3484900000000004</v>
      </c>
      <c r="D277" s="1">
        <f>alpha*B277+(1-alpha)*D276</f>
        <v>1.3485458784581501</v>
      </c>
      <c r="E277">
        <f t="shared" si="12"/>
        <v>1.3486371588780381</v>
      </c>
      <c r="F277">
        <f>STDEV(B248:B277)</f>
        <v>1.9181528470971172E-4</v>
      </c>
      <c r="G277">
        <f>SQRT(alpha2*(B277-D277)^2+(1-alpha2)*G276^2)</f>
        <v>1.7443018333404979E-4</v>
      </c>
      <c r="H277">
        <f t="shared" si="11"/>
        <v>3.0224174984204239E-10</v>
      </c>
    </row>
    <row r="278" spans="1:8" x14ac:dyDescent="0.25">
      <c r="A278">
        <v>2481</v>
      </c>
      <c r="B278">
        <v>1.3486</v>
      </c>
      <c r="C278">
        <f t="shared" si="10"/>
        <v>1.3485100000000003</v>
      </c>
      <c r="D278" s="1">
        <f>alpha*B278+(1-alpha)*D277</f>
        <v>1.3485506948753501</v>
      </c>
      <c r="E278">
        <f t="shared" si="12"/>
        <v>1.3486260112146267</v>
      </c>
      <c r="F278">
        <f>STDEV(B249:B278)</f>
        <v>1.6887048699907293E-4</v>
      </c>
      <c r="G278">
        <f>SQRT(alpha2*(B278-D278)^2+(1-alpha2)*G277^2)</f>
        <v>1.6583894216546009E-4</v>
      </c>
      <c r="H278">
        <f t="shared" si="11"/>
        <v>9.1902640782047134E-12</v>
      </c>
    </row>
    <row r="279" spans="1:8" x14ac:dyDescent="0.25">
      <c r="A279">
        <v>2485</v>
      </c>
      <c r="B279">
        <v>1.3487</v>
      </c>
      <c r="C279">
        <f t="shared" si="10"/>
        <v>1.3485300000000002</v>
      </c>
      <c r="D279" s="1">
        <f>alpha*B279+(1-alpha)*D278</f>
        <v>1.3485639819278954</v>
      </c>
      <c r="E279">
        <f t="shared" si="12"/>
        <v>1.3486482078502386</v>
      </c>
      <c r="F279">
        <f>STDEV(B250:B279)</f>
        <v>1.5346570997433221E-4</v>
      </c>
      <c r="G279">
        <f>SQRT(alpha2*(B279-D279)^2+(1-alpha2)*G278^2)</f>
        <v>1.6298027212438706E-4</v>
      </c>
      <c r="H279">
        <f t="shared" si="11"/>
        <v>9.0526892907256361E-11</v>
      </c>
    </row>
    <row r="280" spans="1:8" x14ac:dyDescent="0.25">
      <c r="A280">
        <v>2495</v>
      </c>
      <c r="B280">
        <v>1.3486</v>
      </c>
      <c r="C280">
        <f t="shared" si="10"/>
        <v>1.3485433333333334</v>
      </c>
      <c r="D280" s="1">
        <f>alpha*B280+(1-alpha)*D279</f>
        <v>1.3485671872700948</v>
      </c>
      <c r="E280">
        <f t="shared" si="12"/>
        <v>1.3486337454951669</v>
      </c>
      <c r="F280">
        <f>STDEV(B251:B280)</f>
        <v>1.4064710873458417E-4</v>
      </c>
      <c r="G280">
        <f>SQRT(alpha2*(B280-D280)^2+(1-alpha2)*G279^2)</f>
        <v>1.5460024045610876E-4</v>
      </c>
      <c r="H280">
        <f t="shared" si="11"/>
        <v>1.9468988483821578E-10</v>
      </c>
    </row>
    <row r="281" spans="1:8" x14ac:dyDescent="0.25">
      <c r="A281">
        <v>2500</v>
      </c>
      <c r="B281">
        <v>1.3487</v>
      </c>
      <c r="C281">
        <f t="shared" si="10"/>
        <v>1.3485566666666668</v>
      </c>
      <c r="D281" s="1">
        <f>alpha*B281+(1-alpha)*D280</f>
        <v>1.348579006621407</v>
      </c>
      <c r="E281">
        <f t="shared" si="12"/>
        <v>1.3486536218466167</v>
      </c>
      <c r="F281">
        <f>STDEV(B252:B281)</f>
        <v>1.3565507307347803E-4</v>
      </c>
      <c r="G281">
        <f>SQRT(alpha2*(B281-D281)^2+(1-alpha2)*G280^2)</f>
        <v>1.5144001403644166E-4</v>
      </c>
      <c r="H281">
        <f t="shared" si="11"/>
        <v>2.491643612042472E-10</v>
      </c>
    </row>
    <row r="282" spans="1:8" x14ac:dyDescent="0.25">
      <c r="A282">
        <v>2506</v>
      </c>
      <c r="B282">
        <v>1.3488</v>
      </c>
      <c r="C282">
        <f t="shared" si="10"/>
        <v>1.3485666666666667</v>
      </c>
      <c r="D282" s="1">
        <f>alpha*B282+(1-alpha)*D281</f>
        <v>1.3485986733986886</v>
      </c>
      <c r="E282">
        <f t="shared" si="12"/>
        <v>1.3486975352926316</v>
      </c>
      <c r="F282">
        <f>STDEV(B253:B282)</f>
        <v>1.4223180044373624E-4</v>
      </c>
      <c r="G282">
        <f>SQRT(alpha2*(B282-D282)^2+(1-alpha2)*G281^2)</f>
        <v>1.5739047673075249E-4</v>
      </c>
      <c r="H282">
        <f t="shared" si="11"/>
        <v>2.2978546677454873E-10</v>
      </c>
    </row>
    <row r="283" spans="1:8" x14ac:dyDescent="0.25">
      <c r="A283">
        <v>2510</v>
      </c>
      <c r="B283">
        <v>1.3489</v>
      </c>
      <c r="C283">
        <f t="shared" si="10"/>
        <v>1.3485766666666668</v>
      </c>
      <c r="D283" s="1">
        <f>alpha*B283+(1-alpha)*D282</f>
        <v>1.3486254892390306</v>
      </c>
      <c r="E283">
        <f t="shared" si="12"/>
        <v>1.3487582747048421</v>
      </c>
      <c r="F283">
        <f>STDEV(B254:B283)</f>
        <v>1.5465943304525525E-4</v>
      </c>
      <c r="G283">
        <f>SQRT(alpha2*(B283-D283)^2+(1-alpha2)*G282^2)</f>
        <v>1.7336083385120554E-4</v>
      </c>
      <c r="H283">
        <f t="shared" si="11"/>
        <v>3.4974239210479805E-10</v>
      </c>
    </row>
    <row r="284" spans="1:8" x14ac:dyDescent="0.25">
      <c r="A284">
        <v>2515</v>
      </c>
      <c r="B284">
        <v>1.349</v>
      </c>
      <c r="C284">
        <f t="shared" si="10"/>
        <v>1.3485933333333335</v>
      </c>
      <c r="D284" s="1">
        <f>alpha*B284+(1-alpha)*D283</f>
        <v>1.3486588179286612</v>
      </c>
      <c r="E284">
        <f t="shared" si="12"/>
        <v>1.3488307922933893</v>
      </c>
      <c r="F284">
        <f>STDEV(B255:B284)</f>
        <v>1.7207322686081159E-4</v>
      </c>
      <c r="G284">
        <f>SQRT(alpha2*(B284-D284)^2+(1-alpha2)*G283^2)</f>
        <v>1.9766412149742896E-4</v>
      </c>
      <c r="H284">
        <f t="shared" si="11"/>
        <v>6.5489388830245163E-10</v>
      </c>
    </row>
    <row r="285" spans="1:8" x14ac:dyDescent="0.25">
      <c r="A285">
        <v>2517</v>
      </c>
      <c r="B285">
        <v>1.3489</v>
      </c>
      <c r="C285">
        <f t="shared" si="10"/>
        <v>1.3486100000000001</v>
      </c>
      <c r="D285" s="1">
        <f>alpha*B285+(1-alpha)*D284</f>
        <v>1.3486802813503778</v>
      </c>
      <c r="E285">
        <f t="shared" si="12"/>
        <v>1.3488515546053725</v>
      </c>
      <c r="F285">
        <f>STDEV(B256:B285)</f>
        <v>1.7684982914596955E-4</v>
      </c>
      <c r="G285">
        <f>SQRT(alpha2*(B285-D285)^2+(1-alpha2)*G284^2)</f>
        <v>2.0008084646826912E-4</v>
      </c>
      <c r="H285">
        <f t="shared" si="11"/>
        <v>5.3968016582898258E-10</v>
      </c>
    </row>
    <row r="286" spans="1:8" x14ac:dyDescent="0.25">
      <c r="A286">
        <v>2524</v>
      </c>
      <c r="B286">
        <v>1.349</v>
      </c>
      <c r="C286">
        <f t="shared" si="10"/>
        <v>1.3486333333333334</v>
      </c>
      <c r="D286" s="1">
        <f>alpha*B286+(1-alpha)*D285</f>
        <v>1.3487087339470796</v>
      </c>
      <c r="E286">
        <f t="shared" si="12"/>
        <v>1.3488960882237606</v>
      </c>
      <c r="F286">
        <f>STDEV(B257:B286)</f>
        <v>1.8067561584484042E-4</v>
      </c>
      <c r="G286">
        <f>SQRT(alpha2*(B286-D286)^2+(1-alpha2)*G285^2)</f>
        <v>2.114495342260406E-4</v>
      </c>
      <c r="H286">
        <f t="shared" si="11"/>
        <v>9.4703405253277082E-10</v>
      </c>
    </row>
    <row r="287" spans="1:8" x14ac:dyDescent="0.25">
      <c r="A287">
        <v>2531</v>
      </c>
      <c r="B287">
        <v>1.3491</v>
      </c>
      <c r="C287">
        <f t="shared" si="10"/>
        <v>1.3486566666666668</v>
      </c>
      <c r="D287" s="1">
        <f>alpha*B287+(1-alpha)*D286</f>
        <v>1.3487435537338517</v>
      </c>
      <c r="E287">
        <f t="shared" si="12"/>
        <v>1.3489572617566323</v>
      </c>
      <c r="F287">
        <f>STDEV(B258:B287)</f>
        <v>1.9419743478777627E-4</v>
      </c>
      <c r="G287">
        <f>SQRT(alpha2*(B287-D287)^2+(1-alpha2)*G286^2)</f>
        <v>2.30888460009422E-4</v>
      </c>
      <c r="H287">
        <f t="shared" si="11"/>
        <v>1.3462313318154428E-9</v>
      </c>
    </row>
    <row r="288" spans="1:8" x14ac:dyDescent="0.25">
      <c r="A288">
        <v>2538</v>
      </c>
      <c r="B288">
        <v>1.3492</v>
      </c>
      <c r="C288">
        <f t="shared" ref="C288:C351" si="13">AVERAGE(B259:B288)</f>
        <v>1.3486866666666668</v>
      </c>
      <c r="D288" s="1">
        <f>alpha*B288+(1-alpha)*D287</f>
        <v>1.348784174077839</v>
      </c>
      <c r="E288">
        <f t="shared" si="12"/>
        <v>1.3490300832296425</v>
      </c>
      <c r="F288">
        <f>STDEV(B259:B288)</f>
        <v>2.0633640649112019E-4</v>
      </c>
      <c r="G288">
        <f>SQRT(alpha2*(B288-D288)^2+(1-alpha2)*G287^2)</f>
        <v>2.5651267176852782E-4</v>
      </c>
      <c r="H288">
        <f t="shared" ref="H288:H351" si="14">(F288-G288)^2</f>
        <v>2.5176575971887823E-9</v>
      </c>
    </row>
    <row r="289" spans="1:8" x14ac:dyDescent="0.25">
      <c r="A289">
        <v>2539</v>
      </c>
      <c r="B289">
        <v>1.3492999999999999</v>
      </c>
      <c r="C289">
        <f t="shared" si="13"/>
        <v>1.348716666666667</v>
      </c>
      <c r="D289" s="1">
        <f>alpha*B289+(1-alpha)*D288</f>
        <v>1.3488300787723226</v>
      </c>
      <c r="E289">
        <f t="shared" si="12"/>
        <v>1.3491110582607497</v>
      </c>
      <c r="F289">
        <f>STDEV(B260:B289)</f>
        <v>2.27555727669929E-4</v>
      </c>
      <c r="G289">
        <f>SQRT(alpha2*(B289-D289)^2+(1-alpha2)*G288^2)</f>
        <v>2.86334221463478E-4</v>
      </c>
      <c r="H289">
        <f t="shared" si="14"/>
        <v>3.4549113326382772E-9</v>
      </c>
    </row>
    <row r="290" spans="1:8" x14ac:dyDescent="0.25">
      <c r="A290">
        <v>2541</v>
      </c>
      <c r="B290">
        <v>1.3493999999999999</v>
      </c>
      <c r="C290">
        <f t="shared" si="13"/>
        <v>1.3487533333333337</v>
      </c>
      <c r="D290" s="1">
        <f>alpha*B290+(1-alpha)*D289</f>
        <v>1.3488807975491661</v>
      </c>
      <c r="E290">
        <f t="shared" si="12"/>
        <v>1.3491977407825249</v>
      </c>
      <c r="F290">
        <f>STDEV(B261:B290)</f>
        <v>2.4597915994332417E-4</v>
      </c>
      <c r="G290">
        <f>SQRT(alpha2*(B290-D290)^2+(1-alpha2)*G289^2)</f>
        <v>3.1870914058006449E-4</v>
      </c>
      <c r="H290">
        <f t="shared" si="14"/>
        <v>5.289650083420622E-9</v>
      </c>
    </row>
    <row r="291" spans="1:8" x14ac:dyDescent="0.25">
      <c r="A291">
        <v>2543</v>
      </c>
      <c r="B291">
        <v>1.3494999999999999</v>
      </c>
      <c r="C291">
        <f t="shared" si="13"/>
        <v>1.3487900000000002</v>
      </c>
      <c r="D291" s="1">
        <f>alpha*B291+(1-alpha)*D290</f>
        <v>1.3489359019906217</v>
      </c>
      <c r="E291">
        <f t="shared" si="12"/>
        <v>1.3492884185477674</v>
      </c>
      <c r="F291">
        <f>STDEV(B262:B291)</f>
        <v>2.7209278336369816E-4</v>
      </c>
      <c r="G291">
        <f>SQRT(alpha2*(B291-D291)^2+(1-alpha2)*G290^2)</f>
        <v>3.5241589195185251E-4</v>
      </c>
      <c r="H291">
        <f t="shared" si="14"/>
        <v>6.451801773264435E-9</v>
      </c>
    </row>
    <row r="292" spans="1:8" x14ac:dyDescent="0.25">
      <c r="A292">
        <v>2549</v>
      </c>
      <c r="B292">
        <v>1.3493999999999999</v>
      </c>
      <c r="C292">
        <f t="shared" si="13"/>
        <v>1.3488166666666672</v>
      </c>
      <c r="D292" s="1">
        <f>alpha*B292+(1-alpha)*D291</f>
        <v>1.3489772032832006</v>
      </c>
      <c r="E292">
        <f t="shared" si="12"/>
        <v>1.3493218929834372</v>
      </c>
      <c r="F292">
        <f>STDEV(B263:B292)</f>
        <v>2.9135040324538024E-4</v>
      </c>
      <c r="G292">
        <f>SQRT(alpha2*(B292-D292)^2+(1-alpha2)*G291^2)</f>
        <v>3.6040856819506814E-4</v>
      </c>
      <c r="H292">
        <f t="shared" si="14"/>
        <v>4.7690301462183032E-9</v>
      </c>
    </row>
    <row r="293" spans="1:8" x14ac:dyDescent="0.25">
      <c r="A293">
        <v>2553</v>
      </c>
      <c r="B293">
        <v>1.3494999999999999</v>
      </c>
      <c r="C293">
        <f t="shared" si="13"/>
        <v>1.3488500000000003</v>
      </c>
      <c r="D293" s="1">
        <f>alpha*B293+(1-alpha)*D292</f>
        <v>1.3490237283268842</v>
      </c>
      <c r="E293">
        <f t="shared" si="12"/>
        <v>1.349375325088406</v>
      </c>
      <c r="F293">
        <f>STDEV(B264:B293)</f>
        <v>3.1045017369105523E-4</v>
      </c>
      <c r="G293">
        <f>SQRT(alpha2*(B293-D293)^2+(1-alpha2)*G292^2)</f>
        <v>3.7418875077418638E-4</v>
      </c>
      <c r="H293">
        <f t="shared" si="14"/>
        <v>4.0626062085822519E-9</v>
      </c>
    </row>
    <row r="294" spans="1:8" x14ac:dyDescent="0.25">
      <c r="A294">
        <v>2558</v>
      </c>
      <c r="B294">
        <v>1.3493999999999999</v>
      </c>
      <c r="C294">
        <f t="shared" si="13"/>
        <v>1.3488766666666669</v>
      </c>
      <c r="D294" s="1">
        <f>alpha*B294+(1-alpha)*D293</f>
        <v>1.3490572137246803</v>
      </c>
      <c r="E294">
        <f t="shared" si="12"/>
        <v>1.3493827275618839</v>
      </c>
      <c r="F294">
        <f>STDEV(B265:B294)</f>
        <v>3.2236553821688536E-4</v>
      </c>
      <c r="G294">
        <f>SQRT(alpha2*(B294-D294)^2+(1-alpha2)*G293^2)</f>
        <v>3.7103388044887347E-4</v>
      </c>
      <c r="H294">
        <f t="shared" si="14"/>
        <v>2.3686075356099175E-9</v>
      </c>
    </row>
    <row r="295" spans="1:8" x14ac:dyDescent="0.25">
      <c r="A295">
        <v>2563</v>
      </c>
      <c r="B295">
        <v>1.3494999999999999</v>
      </c>
      <c r="C295">
        <f t="shared" si="13"/>
        <v>1.3489033333333336</v>
      </c>
      <c r="D295" s="1">
        <f>alpha*B295+(1-alpha)*D294</f>
        <v>1.349096618430448</v>
      </c>
      <c r="E295">
        <f t="shared" si="12"/>
        <v>1.3494179092933187</v>
      </c>
      <c r="F295">
        <f>STDEV(B266:B295)</f>
        <v>3.3986136456857135E-4</v>
      </c>
      <c r="G295">
        <f>SQRT(alpha2*(B295-D295)^2+(1-alpha2)*G294^2)</f>
        <v>3.7454240740009679E-4</v>
      </c>
      <c r="H295">
        <f t="shared" si="14"/>
        <v>1.202774731882102E-9</v>
      </c>
    </row>
    <row r="296" spans="1:8" x14ac:dyDescent="0.25">
      <c r="A296">
        <v>2569</v>
      </c>
      <c r="B296">
        <v>1.3495999999999999</v>
      </c>
      <c r="C296">
        <f t="shared" si="13"/>
        <v>1.3489300000000002</v>
      </c>
      <c r="D296" s="1">
        <f>alpha*B296+(1-alpha)*D295</f>
        <v>1.3491414156695285</v>
      </c>
      <c r="E296">
        <f t="shared" si="12"/>
        <v>1.3494725365053231</v>
      </c>
      <c r="F296">
        <f>STDEV(B267:B296)</f>
        <v>3.6212971575728752E-4</v>
      </c>
      <c r="G296">
        <f>SQRT(alpha2*(B296-D296)^2+(1-alpha2)*G295^2)</f>
        <v>3.8417901867725496E-4</v>
      </c>
      <c r="H296">
        <f t="shared" si="14"/>
        <v>4.8617175925648444E-10</v>
      </c>
    </row>
    <row r="297" spans="1:8" x14ac:dyDescent="0.25">
      <c r="A297">
        <v>2575</v>
      </c>
      <c r="B297">
        <v>1.3496999999999999</v>
      </c>
      <c r="C297">
        <f t="shared" si="13"/>
        <v>1.3489633333333335</v>
      </c>
      <c r="D297" s="1">
        <f>alpha*B297+(1-alpha)*D296</f>
        <v>1.3491911255463145</v>
      </c>
      <c r="E297">
        <f t="shared" si="12"/>
        <v>1.3495407755537261</v>
      </c>
      <c r="F297">
        <f>STDEV(B268:B297)</f>
        <v>3.8549863216653067E-4</v>
      </c>
      <c r="G297">
        <f>SQRT(alpha2*(B297-D297)^2+(1-alpha2)*G296^2)</f>
        <v>3.9902647069557911E-4</v>
      </c>
      <c r="H297">
        <f t="shared" si="14"/>
        <v>1.8300241526800739E-10</v>
      </c>
    </row>
    <row r="298" spans="1:8" x14ac:dyDescent="0.25">
      <c r="A298">
        <v>2576</v>
      </c>
      <c r="B298">
        <v>1.3498000000000001</v>
      </c>
      <c r="C298">
        <f t="shared" si="13"/>
        <v>1.3490033333333333</v>
      </c>
      <c r="D298" s="1">
        <f>alpha*B298+(1-alpha)*D297</f>
        <v>1.3492453108723605</v>
      </c>
      <c r="E298">
        <f t="shared" si="12"/>
        <v>1.3496185428876082</v>
      </c>
      <c r="F298">
        <f>STDEV(B269:B298)</f>
        <v>4.0809340828422229E-4</v>
      </c>
      <c r="G298">
        <f>SQRT(alpha2*(B298-D298)^2+(1-alpha2)*G297^2)</f>
        <v>4.180007988720497E-4</v>
      </c>
      <c r="H298">
        <f t="shared" si="14"/>
        <v>9.8156388259771078E-11</v>
      </c>
    </row>
    <row r="299" spans="1:8" x14ac:dyDescent="0.25">
      <c r="A299">
        <v>2579</v>
      </c>
      <c r="B299">
        <v>1.3496999999999999</v>
      </c>
      <c r="C299">
        <f t="shared" si="13"/>
        <v>1.3490366666666667</v>
      </c>
      <c r="D299" s="1">
        <f>alpha*B299+(1-alpha)*D298</f>
        <v>1.3492857748440079</v>
      </c>
      <c r="E299">
        <f t="shared" si="12"/>
        <v>1.3496429800213257</v>
      </c>
      <c r="F299">
        <f>STDEV(B270:B299)</f>
        <v>4.2302957696652616E-4</v>
      </c>
      <c r="G299">
        <f>SQRT(alpha2*(B299-D299)^2+(1-alpha2)*G298^2)</f>
        <v>4.1760812796097285E-4</v>
      </c>
      <c r="H299">
        <f t="shared" si="14"/>
        <v>2.9392109319814938E-11</v>
      </c>
    </row>
    <row r="300" spans="1:8" x14ac:dyDescent="0.25">
      <c r="A300">
        <v>2580</v>
      </c>
      <c r="B300">
        <v>1.3495999999999999</v>
      </c>
      <c r="C300">
        <f t="shared" si="13"/>
        <v>1.34907</v>
      </c>
      <c r="D300" s="1">
        <f>alpha*B300+(1-alpha)*D299</f>
        <v>1.3493137385603804</v>
      </c>
      <c r="E300">
        <f t="shared" si="12"/>
        <v>1.349630086014928</v>
      </c>
      <c r="F300">
        <f>STDEV(B271:B300)</f>
        <v>4.2681660440179039E-4</v>
      </c>
      <c r="G300">
        <f>SQRT(alpha2*(B300-D300)^2+(1-alpha2)*G299^2)</f>
        <v>4.058847955492123E-4</v>
      </c>
      <c r="H300">
        <f t="shared" si="14"/>
        <v>4.3814062184086649E-10</v>
      </c>
    </row>
    <row r="301" spans="1:8" x14ac:dyDescent="0.25">
      <c r="A301">
        <v>2582</v>
      </c>
      <c r="B301">
        <v>1.3496999999999999</v>
      </c>
      <c r="C301">
        <f t="shared" si="13"/>
        <v>1.3491099999999998</v>
      </c>
      <c r="D301" s="1">
        <f>alpha*B301+(1-alpha)*D300</f>
        <v>1.3493481129735589</v>
      </c>
      <c r="E301">
        <f t="shared" si="12"/>
        <v>1.3496510602104494</v>
      </c>
      <c r="F301">
        <f>STDEV(B272:B301)</f>
        <v>4.2778499272411408E-4</v>
      </c>
      <c r="G301">
        <f>SQRT(alpha2*(B301-D301)^2+(1-alpha2)*G300^2)</f>
        <v>4.0058663741943015E-4</v>
      </c>
      <c r="H301">
        <f t="shared" si="14"/>
        <v>7.3975053127982836E-10</v>
      </c>
    </row>
    <row r="302" spans="1:8" x14ac:dyDescent="0.25">
      <c r="A302">
        <v>2583</v>
      </c>
      <c r="B302">
        <v>1.3498000000000001</v>
      </c>
      <c r="C302">
        <f t="shared" si="13"/>
        <v>1.3491500000000001</v>
      </c>
      <c r="D302" s="1">
        <f>alpha*B302+(1-alpha)*D301</f>
        <v>1.3493883275789107</v>
      </c>
      <c r="E302">
        <f t="shared" si="12"/>
        <v>1.3496957421473146</v>
      </c>
      <c r="F302">
        <f>STDEV(B273:B302)</f>
        <v>4.3450328358742496E-4</v>
      </c>
      <c r="G302">
        <f>SQRT(alpha2*(B302-D302)^2+(1-alpha2)*G301^2)</f>
        <v>4.0175856112694666E-4</v>
      </c>
      <c r="H302">
        <f t="shared" si="14"/>
        <v>1.0722168490137516E-9</v>
      </c>
    </row>
    <row r="303" spans="1:8" x14ac:dyDescent="0.25">
      <c r="A303">
        <v>2584</v>
      </c>
      <c r="B303">
        <v>1.3496999999999999</v>
      </c>
      <c r="C303">
        <f t="shared" si="13"/>
        <v>1.3491899999999999</v>
      </c>
      <c r="D303" s="1">
        <f>alpha*B303+(1-alpha)*D302</f>
        <v>1.3494160641207447</v>
      </c>
      <c r="E303">
        <f t="shared" si="12"/>
        <v>1.3496970195031202</v>
      </c>
      <c r="F303">
        <f>STDEV(B274:B303)</f>
        <v>4.2778499272412351E-4</v>
      </c>
      <c r="G303">
        <f>SQRT(alpha2*(B303-D303)^2+(1-alpha2)*G302^2)</f>
        <v>3.9111827176157291E-4</v>
      </c>
      <c r="H303">
        <f t="shared" si="14"/>
        <v>1.3444484261455473E-9</v>
      </c>
    </row>
    <row r="304" spans="1:8" x14ac:dyDescent="0.25">
      <c r="A304">
        <v>2585</v>
      </c>
      <c r="B304">
        <v>1.3495999999999999</v>
      </c>
      <c r="C304">
        <f t="shared" si="13"/>
        <v>1.3492233333333332</v>
      </c>
      <c r="D304" s="1">
        <f>alpha*B304+(1-alpha)*D303</f>
        <v>1.3494324330544858</v>
      </c>
      <c r="E304">
        <f t="shared" si="12"/>
        <v>1.3496679136521841</v>
      </c>
      <c r="F304">
        <f>STDEV(B275:B304)</f>
        <v>4.1909864967677778E-4</v>
      </c>
      <c r="G304">
        <f>SQRT(alpha2*(B304-D304)^2+(1-alpha2)*G303^2)</f>
        <v>3.7407419906501492E-4</v>
      </c>
      <c r="H304">
        <f t="shared" si="14"/>
        <v>2.0272011528910733E-9</v>
      </c>
    </row>
    <row r="305" spans="1:8" x14ac:dyDescent="0.25">
      <c r="A305">
        <v>2586</v>
      </c>
      <c r="B305">
        <v>1.3496999999999999</v>
      </c>
      <c r="C305">
        <f t="shared" si="13"/>
        <v>1.3492566666666663</v>
      </c>
      <c r="D305" s="1">
        <f>alpha*B305+(1-alpha)*D304</f>
        <v>1.3494562445349874</v>
      </c>
      <c r="E305">
        <f t="shared" si="12"/>
        <v>1.3496775395565288</v>
      </c>
      <c r="F305">
        <f>STDEV(B276:B305)</f>
        <v>4.157944894671441E-4</v>
      </c>
      <c r="G305">
        <f>SQRT(alpha2*(B305-D305)^2+(1-alpha2)*G304^2)</f>
        <v>3.6266216291230878E-4</v>
      </c>
      <c r="H305">
        <f t="shared" si="14"/>
        <v>2.823044125129658E-9</v>
      </c>
    </row>
    <row r="306" spans="1:8" x14ac:dyDescent="0.25">
      <c r="A306">
        <v>2587</v>
      </c>
      <c r="B306">
        <v>1.3498000000000001</v>
      </c>
      <c r="C306">
        <f t="shared" si="13"/>
        <v>1.3492966666666666</v>
      </c>
      <c r="D306" s="1">
        <f>alpha*B306+(1-alpha)*D305</f>
        <v>1.3494868362305974</v>
      </c>
      <c r="E306">
        <f t="shared" si="12"/>
        <v>1.3497142776895701</v>
      </c>
      <c r="F306">
        <f>STDEV(B277:B306)</f>
        <v>4.0809340828423568E-4</v>
      </c>
      <c r="G306">
        <f>SQRT(alpha2*(B306-D306)^2+(1-alpha2)*G305^2)</f>
        <v>3.5781367664888109E-4</v>
      </c>
      <c r="H306">
        <f t="shared" si="14"/>
        <v>2.5280514133232776E-9</v>
      </c>
    </row>
    <row r="307" spans="1:8" x14ac:dyDescent="0.25">
      <c r="A307">
        <v>2595</v>
      </c>
      <c r="B307">
        <v>1.3496999999999999</v>
      </c>
      <c r="C307">
        <f t="shared" si="13"/>
        <v>1.3493299999999997</v>
      </c>
      <c r="D307" s="1">
        <f>alpha*B307+(1-alpha)*D306</f>
        <v>1.3495058062305316</v>
      </c>
      <c r="E307">
        <f t="shared" si="12"/>
        <v>1.3497099943826989</v>
      </c>
      <c r="F307">
        <f>STDEV(B278:B307)</f>
        <v>3.9840198033019495E-4</v>
      </c>
      <c r="G307">
        <f>SQRT(alpha2*(B307-D307)^2+(1-alpha2)*G306^2)</f>
        <v>3.4438224172042656E-4</v>
      </c>
      <c r="H307">
        <f t="shared" si="14"/>
        <v>2.9181321594677013E-9</v>
      </c>
    </row>
    <row r="308" spans="1:8" x14ac:dyDescent="0.25">
      <c r="A308">
        <v>2600</v>
      </c>
      <c r="B308">
        <v>1.3498000000000001</v>
      </c>
      <c r="C308">
        <f t="shared" si="13"/>
        <v>1.3493699999999997</v>
      </c>
      <c r="D308" s="1">
        <f>alpha*B308+(1-alpha)*D307</f>
        <v>1.3495319873015601</v>
      </c>
      <c r="E308">
        <f t="shared" si="12"/>
        <v>1.3497369960678891</v>
      </c>
      <c r="F308">
        <f>STDEV(B279:B308)</f>
        <v>3.8250535267833873E-4</v>
      </c>
      <c r="G308">
        <f>SQRT(alpha2*(B308-D308)^2+(1-alpha2)*G307^2)</f>
        <v>3.37217142099114E-4</v>
      </c>
      <c r="H308">
        <f t="shared" si="14"/>
        <v>2.0510220174682025E-9</v>
      </c>
    </row>
    <row r="309" spans="1:8" x14ac:dyDescent="0.25">
      <c r="A309">
        <v>2606</v>
      </c>
      <c r="B309">
        <v>1.3496999999999999</v>
      </c>
      <c r="C309">
        <f t="shared" si="13"/>
        <v>1.3494033333333328</v>
      </c>
      <c r="D309" s="1">
        <f>alpha*B309+(1-alpha)*D308</f>
        <v>1.3495469391899007</v>
      </c>
      <c r="E309">
        <f t="shared" si="12"/>
        <v>1.3497258972475223</v>
      </c>
      <c r="F309">
        <f>STDEV(B280:B309)</f>
        <v>3.6528999659064077E-4</v>
      </c>
      <c r="G309">
        <f>SQRT(alpha2*(B309-D309)^2+(1-alpha2)*G308^2)</f>
        <v>3.2293529350096897E-4</v>
      </c>
      <c r="H309">
        <f t="shared" si="14"/>
        <v>1.7939208738142544E-9</v>
      </c>
    </row>
    <row r="310" spans="1:8" x14ac:dyDescent="0.25">
      <c r="A310">
        <v>2620</v>
      </c>
      <c r="B310">
        <v>1.3496999999999999</v>
      </c>
      <c r="C310">
        <f t="shared" si="13"/>
        <v>1.3494399999999998</v>
      </c>
      <c r="D310" s="1">
        <f>alpha*B310+(1-alpha)*D309</f>
        <v>1.3495605604706917</v>
      </c>
      <c r="E310">
        <f t="shared" si="12"/>
        <v>1.3497181280732655</v>
      </c>
      <c r="F310">
        <f>STDEV(B281:B310)</f>
        <v>3.3589817833220491E-4</v>
      </c>
      <c r="G310">
        <f>SQRT(alpha2*(B310-D310)^2+(1-alpha2)*G309^2)</f>
        <v>3.0891339668381472E-4</v>
      </c>
      <c r="H310">
        <f t="shared" si="14"/>
        <v>7.2817844061129592E-10</v>
      </c>
    </row>
    <row r="311" spans="1:8" x14ac:dyDescent="0.25">
      <c r="A311">
        <v>2625</v>
      </c>
      <c r="B311">
        <v>1.3495999999999999</v>
      </c>
      <c r="C311">
        <f t="shared" si="13"/>
        <v>1.3494699999999997</v>
      </c>
      <c r="D311" s="1">
        <f>alpha*B311+(1-alpha)*D310</f>
        <v>1.3495640702972935</v>
      </c>
      <c r="E311">
        <f t="shared" si="12"/>
        <v>1.3496826896512857</v>
      </c>
      <c r="F311">
        <f>STDEV(B282:B311)</f>
        <v>3.0642544235774135E-4</v>
      </c>
      <c r="G311">
        <f>SQRT(alpha2*(B311-D311)^2+(1-alpha2)*G310^2)</f>
        <v>2.9257031272468699E-4</v>
      </c>
      <c r="H311">
        <f t="shared" si="14"/>
        <v>1.9196461714874088E-10</v>
      </c>
    </row>
    <row r="312" spans="1:8" x14ac:dyDescent="0.25">
      <c r="A312">
        <v>2630</v>
      </c>
      <c r="B312">
        <v>1.3494999999999999</v>
      </c>
      <c r="C312">
        <f t="shared" si="13"/>
        <v>1.3494933333333325</v>
      </c>
      <c r="D312" s="1">
        <f>alpha*B312+(1-alpha)*D311</f>
        <v>1.3495583685143928</v>
      </c>
      <c r="E312">
        <f t="shared" si="12"/>
        <v>1.3496278827558998</v>
      </c>
      <c r="F312">
        <f>STDEV(B283:B312)</f>
        <v>2.7907894487271153E-4</v>
      </c>
      <c r="G312">
        <f>SQRT(alpha2*(B312-D312)^2+(1-alpha2)*G311^2)</f>
        <v>2.7751529739529409E-4</v>
      </c>
      <c r="H312">
        <f t="shared" si="14"/>
        <v>2.444993433633915E-12</v>
      </c>
    </row>
    <row r="313" spans="1:8" x14ac:dyDescent="0.25">
      <c r="A313">
        <v>2631</v>
      </c>
      <c r="B313">
        <v>1.3495999999999999</v>
      </c>
      <c r="C313">
        <f t="shared" si="13"/>
        <v>1.349516666666666</v>
      </c>
      <c r="D313" s="1">
        <f>alpha*B313+(1-alpha)*D312</f>
        <v>1.349562073408904</v>
      </c>
      <c r="E313">
        <f t="shared" si="12"/>
        <v>1.3496195179291297</v>
      </c>
      <c r="F313">
        <f>STDEV(B284:B313)</f>
        <v>2.5607559946953378E-4</v>
      </c>
      <c r="G313">
        <f>SQRT(alpha2*(B313-D313)^2+(1-alpha2)*G312^2)</f>
        <v>2.6291209902596789E-4</v>
      </c>
      <c r="H313">
        <f t="shared" si="14"/>
        <v>4.6737726185123859E-11</v>
      </c>
    </row>
    <row r="314" spans="1:8" x14ac:dyDescent="0.25">
      <c r="A314">
        <v>2633</v>
      </c>
      <c r="B314">
        <v>1.3494999999999999</v>
      </c>
      <c r="C314">
        <f t="shared" si="13"/>
        <v>1.3495333333333328</v>
      </c>
      <c r="D314" s="1">
        <f>alpha*B314+(1-alpha)*D313</f>
        <v>1.3495565493343105</v>
      </c>
      <c r="E314">
        <f t="shared" si="12"/>
        <v>1.3495836625503908</v>
      </c>
      <c r="F314">
        <f>STDEV(B285:B314)</f>
        <v>2.3683739996671236E-4</v>
      </c>
      <c r="G314">
        <f>SQRT(alpha2*(B314-D314)^2+(1-alpha2)*G313^2)</f>
        <v>2.4947672503568085E-4</v>
      </c>
      <c r="H314">
        <f t="shared" si="14"/>
        <v>1.5975253819905525E-10</v>
      </c>
    </row>
    <row r="315" spans="1:8" x14ac:dyDescent="0.25">
      <c r="A315">
        <v>2637</v>
      </c>
      <c r="B315">
        <v>1.3493999999999999</v>
      </c>
      <c r="C315">
        <f t="shared" si="13"/>
        <v>1.3495499999999998</v>
      </c>
      <c r="D315" s="1">
        <f>alpha*B315+(1-alpha)*D314</f>
        <v>1.3495426176006491</v>
      </c>
      <c r="E315">
        <f t="shared" si="12"/>
        <v>1.3495285637852734</v>
      </c>
      <c r="F315">
        <f>STDEV(B286:B315)</f>
        <v>2.0636425779809267E-4</v>
      </c>
      <c r="G315">
        <f>SQRT(alpha2*(B315-D315)^2+(1-alpha2)*G314^2)</f>
        <v>2.4054811808105195E-4</v>
      </c>
      <c r="H315">
        <f t="shared" si="14"/>
        <v>1.1685363038448813E-9</v>
      </c>
    </row>
    <row r="316" spans="1:8" x14ac:dyDescent="0.25">
      <c r="A316">
        <v>2640</v>
      </c>
      <c r="B316">
        <v>1.3494999999999999</v>
      </c>
      <c r="C316">
        <f t="shared" si="13"/>
        <v>1.3495666666666664</v>
      </c>
      <c r="D316" s="1">
        <f>alpha*B316+(1-alpha)*D315</f>
        <v>1.349538824949188</v>
      </c>
      <c r="E316">
        <f t="shared" si="12"/>
        <v>1.3495199946496914</v>
      </c>
      <c r="F316">
        <f>STDEV(B287:B316)</f>
        <v>1.7875688235285652E-4</v>
      </c>
      <c r="G316">
        <f>SQRT(alpha2*(B316-D316)^2+(1-alpha2)*G315^2)</f>
        <v>2.2798790622073162E-4</v>
      </c>
      <c r="H316">
        <f t="shared" si="14"/>
        <v>2.423693711079288E-9</v>
      </c>
    </row>
    <row r="317" spans="1:8" x14ac:dyDescent="0.25">
      <c r="A317">
        <v>2643</v>
      </c>
      <c r="B317">
        <v>1.3493999999999999</v>
      </c>
      <c r="C317">
        <f t="shared" si="13"/>
        <v>1.3495766666666666</v>
      </c>
      <c r="D317" s="1">
        <f>alpha*B317+(1-alpha)*D316</f>
        <v>1.3495264705547976</v>
      </c>
      <c r="E317">
        <f t="shared" si="12"/>
        <v>1.3494839962547838</v>
      </c>
      <c r="F317">
        <f>STDEV(B288:B317)</f>
        <v>1.5905612397742108E-4</v>
      </c>
      <c r="G317">
        <f>SQRT(alpha2*(B317-D317)^2+(1-alpha2)*G316^2)</f>
        <v>2.1959264814182695E-4</v>
      </c>
      <c r="H317">
        <f t="shared" si="14"/>
        <v>3.6646707579076954E-9</v>
      </c>
    </row>
    <row r="318" spans="1:8" x14ac:dyDescent="0.25">
      <c r="A318">
        <v>2646</v>
      </c>
      <c r="B318">
        <v>1.3494999999999999</v>
      </c>
      <c r="C318">
        <f t="shared" si="13"/>
        <v>1.3495866666666665</v>
      </c>
      <c r="D318" s="1">
        <f>alpha*B318+(1-alpha)*D317</f>
        <v>1.3495241148710706</v>
      </c>
      <c r="E318">
        <f t="shared" si="12"/>
        <v>1.3494887973783485</v>
      </c>
      <c r="F318">
        <f>STDEV(B289:B318)</f>
        <v>1.4319827906244314E-4</v>
      </c>
      <c r="G318">
        <f>SQRT(alpha2*(B318-D318)^2+(1-alpha2)*G317^2)</f>
        <v>2.079573078432058E-4</v>
      </c>
      <c r="H318">
        <f t="shared" si="14"/>
        <v>4.1937318086276475E-9</v>
      </c>
    </row>
    <row r="319" spans="1:8" x14ac:dyDescent="0.25">
      <c r="A319">
        <v>2657</v>
      </c>
      <c r="B319">
        <v>1.3495999999999999</v>
      </c>
      <c r="C319">
        <f t="shared" si="13"/>
        <v>1.3495966666666666</v>
      </c>
      <c r="D319" s="1">
        <f>alpha*B319+(1-alpha)*D318</f>
        <v>1.3495308680866609</v>
      </c>
      <c r="E319">
        <f t="shared" si="12"/>
        <v>1.3495221581648438</v>
      </c>
      <c r="F319">
        <f>STDEV(B290:B319)</f>
        <v>1.3256965204633657E-4</v>
      </c>
      <c r="G319">
        <f>SQRT(alpha2*(B319-D319)^2+(1-alpha2)*G318^2)</f>
        <v>1.980640505580486E-4</v>
      </c>
      <c r="H319">
        <f t="shared" si="14"/>
        <v>4.2895162364109465E-9</v>
      </c>
    </row>
    <row r="320" spans="1:8" x14ac:dyDescent="0.25">
      <c r="A320">
        <v>2661</v>
      </c>
      <c r="B320">
        <v>1.3494999999999999</v>
      </c>
      <c r="C320">
        <f t="shared" si="13"/>
        <v>1.3495999999999997</v>
      </c>
      <c r="D320" s="1">
        <f>alpha*B320+(1-alpha)*D319</f>
        <v>1.3495281210551013</v>
      </c>
      <c r="E320">
        <f t="shared" si="12"/>
        <v>1.3495155107153907</v>
      </c>
      <c r="F320">
        <f>STDEV(B291:B320)</f>
        <v>1.286535041805688E-4</v>
      </c>
      <c r="G320">
        <f>SQRT(alpha2*(B320-D320)^2+(1-alpha2)*G319^2)</f>
        <v>1.8765783971948317E-4</v>
      </c>
      <c r="H320">
        <f t="shared" si="14"/>
        <v>3.4815116123887932E-9</v>
      </c>
    </row>
    <row r="321" spans="1:8" x14ac:dyDescent="0.25">
      <c r="A321">
        <v>2664</v>
      </c>
      <c r="B321">
        <v>1.3495999999999999</v>
      </c>
      <c r="C321">
        <f t="shared" si="13"/>
        <v>1.3496033333333333</v>
      </c>
      <c r="D321" s="1">
        <f>alpha*B321+(1-alpha)*D320</f>
        <v>1.3495345177499234</v>
      </c>
      <c r="E321">
        <f t="shared" si="12"/>
        <v>1.3495408575007735</v>
      </c>
      <c r="F321">
        <f>STDEV(B292:B321)</f>
        <v>1.2726115785603658E-4</v>
      </c>
      <c r="G321">
        <f>SQRT(alpha2*(B321-D321)^2+(1-alpha2)*G320^2)</f>
        <v>1.7884600227377909E-4</v>
      </c>
      <c r="H321">
        <f t="shared" si="14"/>
        <v>2.6609961736027011E-9</v>
      </c>
    </row>
    <row r="322" spans="1:8" x14ac:dyDescent="0.25">
      <c r="A322">
        <v>2667</v>
      </c>
      <c r="B322">
        <v>1.3494999999999999</v>
      </c>
      <c r="C322">
        <f t="shared" si="13"/>
        <v>1.3496066666666666</v>
      </c>
      <c r="D322" s="1">
        <f>alpha*B322+(1-alpha)*D321</f>
        <v>1.3495314459253089</v>
      </c>
      <c r="E322">
        <f t="shared" si="12"/>
        <v>1.3495286002505413</v>
      </c>
      <c r="F322">
        <f>STDEV(B293:B322)</f>
        <v>1.2298957997171022E-4</v>
      </c>
      <c r="G322">
        <f>SQRT(alpha2*(B322-D322)^2+(1-alpha2)*G321^2)</f>
        <v>1.6955548386031241E-4</v>
      </c>
      <c r="H322">
        <f t="shared" si="14"/>
        <v>2.1683834049625367E-9</v>
      </c>
    </row>
    <row r="323" spans="1:8" x14ac:dyDescent="0.25">
      <c r="A323">
        <v>2675</v>
      </c>
      <c r="B323">
        <v>1.3493999999999999</v>
      </c>
      <c r="C323">
        <f t="shared" si="13"/>
        <v>1.3496033333333333</v>
      </c>
      <c r="D323" s="1">
        <f>alpha*B323+(1-alpha)*D322</f>
        <v>1.3495197482095036</v>
      </c>
      <c r="E323">
        <f t="shared" si="12"/>
        <v>1.3494900201753788</v>
      </c>
      <c r="F323">
        <f>STDEV(B294:B323)</f>
        <v>1.2726115785603658E-4</v>
      </c>
      <c r="G323">
        <f>SQRT(alpha2*(B323-D323)^2+(1-alpha2)*G322^2)</f>
        <v>1.6505869968947315E-4</v>
      </c>
      <c r="H323">
        <f t="shared" si="14"/>
        <v>1.428654168650388E-9</v>
      </c>
    </row>
    <row r="324" spans="1:8" x14ac:dyDescent="0.25">
      <c r="A324">
        <v>2677</v>
      </c>
      <c r="B324">
        <v>1.3492999999999999</v>
      </c>
      <c r="C324">
        <f t="shared" si="13"/>
        <v>1.3495999999999999</v>
      </c>
      <c r="D324" s="1">
        <f>alpha*B324+(1-alpha)*D323</f>
        <v>1.3495001922430678</v>
      </c>
      <c r="E324">
        <f t="shared" ref="E324:E387" si="15">0.3*B324+(1-0.3)*E323</f>
        <v>1.3494330141227651</v>
      </c>
      <c r="F324">
        <f>STDEV(B295:B324)</f>
        <v>1.3390681268242823E-4</v>
      </c>
      <c r="G324">
        <f>SQRT(alpha2*(B324-D324)^2+(1-alpha2)*G323^2)</f>
        <v>1.6906921494881159E-4</v>
      </c>
      <c r="H324">
        <f t="shared" si="14"/>
        <v>1.2363945331429615E-9</v>
      </c>
    </row>
    <row r="325" spans="1:8" x14ac:dyDescent="0.25">
      <c r="A325">
        <v>2682</v>
      </c>
      <c r="B325">
        <v>1.3493999999999999</v>
      </c>
      <c r="C325">
        <f t="shared" si="13"/>
        <v>1.3495966666666666</v>
      </c>
      <c r="D325" s="1">
        <f>alpha*B325+(1-alpha)*D324</f>
        <v>1.3494912758739788</v>
      </c>
      <c r="E325">
        <f t="shared" si="15"/>
        <v>1.3494231098859353</v>
      </c>
      <c r="F325">
        <f>STDEV(B296:B325)</f>
        <v>1.376736103562118E-4</v>
      </c>
      <c r="G325">
        <f>SQRT(alpha2*(B325-D325)^2+(1-alpha2)*G324^2)</f>
        <v>1.6269447316409697E-4</v>
      </c>
      <c r="H325">
        <f t="shared" si="14"/>
        <v>6.2604357565101135E-10</v>
      </c>
    </row>
    <row r="326" spans="1:8" x14ac:dyDescent="0.25">
      <c r="A326">
        <v>2688</v>
      </c>
      <c r="B326">
        <v>1.3494999999999999</v>
      </c>
      <c r="C326">
        <f t="shared" si="13"/>
        <v>1.3495933333333334</v>
      </c>
      <c r="D326" s="1">
        <f>alpha*B326+(1-alpha)*D325</f>
        <v>1.3494920522567126</v>
      </c>
      <c r="E326">
        <f t="shared" si="15"/>
        <v>1.3494461769201547</v>
      </c>
      <c r="F326">
        <f>STDEV(B297:B326)</f>
        <v>1.3879613761232827E-4</v>
      </c>
      <c r="G326">
        <f>SQRT(alpha2*(B326-D326)^2+(1-alpha2)*G325^2)</f>
        <v>1.5398714848720941E-4</v>
      </c>
      <c r="H326">
        <f t="shared" si="14"/>
        <v>2.3076681140075703E-10</v>
      </c>
    </row>
    <row r="327" spans="1:8" x14ac:dyDescent="0.25">
      <c r="A327">
        <v>2694</v>
      </c>
      <c r="B327">
        <v>1.3493999999999999</v>
      </c>
      <c r="C327">
        <f t="shared" si="13"/>
        <v>1.3495833333333331</v>
      </c>
      <c r="D327" s="1">
        <f>alpha*B327+(1-alpha)*D326</f>
        <v>1.3494838602862447</v>
      </c>
      <c r="E327">
        <f t="shared" si="15"/>
        <v>1.3494323238441082</v>
      </c>
      <c r="F327">
        <f>STDEV(B298:B327)</f>
        <v>1.416244020795028E-4</v>
      </c>
      <c r="G327">
        <f>SQRT(alpha2*(B327-D327)^2+(1-alpha2)*G326^2)</f>
        <v>1.482238346361237E-4</v>
      </c>
      <c r="H327">
        <f t="shared" si="14"/>
        <v>4.3552510069387893E-11</v>
      </c>
    </row>
    <row r="328" spans="1:8" x14ac:dyDescent="0.25">
      <c r="A328">
        <v>2711</v>
      </c>
      <c r="B328">
        <v>1.3492999999999999</v>
      </c>
      <c r="C328">
        <f t="shared" si="13"/>
        <v>1.3495666666666666</v>
      </c>
      <c r="D328" s="1">
        <f>alpha*B328+(1-alpha)*D327</f>
        <v>1.349467498079723</v>
      </c>
      <c r="E328">
        <f t="shared" si="15"/>
        <v>1.3493926266908756</v>
      </c>
      <c r="F328">
        <f>STDEV(B299:B328)</f>
        <v>1.4463588845750272E-4</v>
      </c>
      <c r="G328">
        <f>SQRT(alpha2*(B328-D328)^2+(1-alpha2)*G327^2)</f>
        <v>1.5035210565392582E-4</v>
      </c>
      <c r="H328">
        <f t="shared" si="14"/>
        <v>3.2675139036683201E-11</v>
      </c>
    </row>
    <row r="329" spans="1:8" x14ac:dyDescent="0.25">
      <c r="A329">
        <v>2720</v>
      </c>
      <c r="B329">
        <v>1.3493999999999999</v>
      </c>
      <c r="C329">
        <f t="shared" si="13"/>
        <v>1.3495566666666667</v>
      </c>
      <c r="D329" s="1">
        <f>alpha*B329+(1-alpha)*D328</f>
        <v>1.3494614912495215</v>
      </c>
      <c r="E329">
        <f t="shared" si="15"/>
        <v>1.3493948386836128</v>
      </c>
      <c r="F329">
        <f>STDEV(B300:B329)</f>
        <v>1.454679330307419E-4</v>
      </c>
      <c r="G329">
        <f>SQRT(alpha2*(B329-D329)^2+(1-alpha2)*G328^2)</f>
        <v>1.4366635185778678E-4</v>
      </c>
      <c r="H329">
        <f t="shared" si="14"/>
        <v>3.2456947227463339E-12</v>
      </c>
    </row>
    <row r="330" spans="1:8" x14ac:dyDescent="0.25">
      <c r="A330">
        <v>2721</v>
      </c>
      <c r="B330">
        <v>1.3494999999999999</v>
      </c>
      <c r="C330">
        <f t="shared" si="13"/>
        <v>1.3495533333333332</v>
      </c>
      <c r="D330" s="1">
        <f>alpha*B330+(1-alpha)*D329</f>
        <v>1.3494649182436871</v>
      </c>
      <c r="E330">
        <f t="shared" si="15"/>
        <v>1.3494263870785288</v>
      </c>
      <c r="F330">
        <f>STDEV(B301:B330)</f>
        <v>1.4558640835894414E-4</v>
      </c>
      <c r="G330">
        <f>SQRT(alpha2*(B330-D330)^2+(1-alpha2)*G329^2)</f>
        <v>1.3643030480498775E-4</v>
      </c>
      <c r="H330">
        <f t="shared" si="14"/>
        <v>8.3834232290772839E-11</v>
      </c>
    </row>
    <row r="331" spans="1:8" x14ac:dyDescent="0.25">
      <c r="A331">
        <v>2723</v>
      </c>
      <c r="B331">
        <v>1.3495999999999999</v>
      </c>
      <c r="C331">
        <f t="shared" si="13"/>
        <v>1.34955</v>
      </c>
      <c r="D331" s="1">
        <f>alpha*B331+(1-alpha)*D330</f>
        <v>1.3494769395215784</v>
      </c>
      <c r="E331">
        <f t="shared" si="15"/>
        <v>1.3494784709549701</v>
      </c>
      <c r="F331">
        <f>STDEV(B302:B331)</f>
        <v>1.4323840748666996E-4</v>
      </c>
      <c r="G331">
        <f>SQRT(alpha2*(B331-D331)^2+(1-alpha2)*G330^2)</f>
        <v>1.350960605746809E-4</v>
      </c>
      <c r="H331">
        <f t="shared" si="14"/>
        <v>6.6297813235177818E-11</v>
      </c>
    </row>
    <row r="332" spans="1:8" x14ac:dyDescent="0.25">
      <c r="A332">
        <v>2724</v>
      </c>
      <c r="B332">
        <v>1.3494999999999999</v>
      </c>
      <c r="C332">
        <f t="shared" si="13"/>
        <v>1.34954</v>
      </c>
      <c r="D332" s="1">
        <f>alpha*B332+(1-alpha)*D331</f>
        <v>1.3494789917337127</v>
      </c>
      <c r="E332">
        <f t="shared" si="15"/>
        <v>1.349484929668479</v>
      </c>
      <c r="F332">
        <f>STDEV(B303:B332)</f>
        <v>1.3544307876820735E-4</v>
      </c>
      <c r="G332">
        <f>SQRT(alpha2*(B332-D332)^2+(1-alpha2)*G331^2)</f>
        <v>1.2802811816540975E-4</v>
      </c>
      <c r="H332">
        <f t="shared" si="14"/>
        <v>5.4981640741040599E-11</v>
      </c>
    </row>
    <row r="333" spans="1:8" x14ac:dyDescent="0.25">
      <c r="A333">
        <v>2736</v>
      </c>
      <c r="B333">
        <v>1.3495999999999999</v>
      </c>
      <c r="C333">
        <f t="shared" si="13"/>
        <v>1.3495366666666666</v>
      </c>
      <c r="D333" s="1">
        <f>alpha*B333+(1-alpha)*D332</f>
        <v>1.3494897605750122</v>
      </c>
      <c r="E333">
        <f t="shared" si="15"/>
        <v>1.3495194507679351</v>
      </c>
      <c r="F333">
        <f>STDEV(B304:B333)</f>
        <v>1.3256965204631998E-4</v>
      </c>
      <c r="G333">
        <f>SQRT(alpha2*(B333-D333)^2+(1-alpha2)*G332^2)</f>
        <v>1.2628777430420015E-4</v>
      </c>
      <c r="H333">
        <f t="shared" si="14"/>
        <v>3.9461987966940592E-11</v>
      </c>
    </row>
    <row r="334" spans="1:8" x14ac:dyDescent="0.25">
      <c r="A334">
        <v>2737</v>
      </c>
      <c r="B334">
        <v>1.3496999999999999</v>
      </c>
      <c r="C334">
        <f t="shared" si="13"/>
        <v>1.34954</v>
      </c>
      <c r="D334" s="1">
        <f>alpha*B334+(1-alpha)*D333</f>
        <v>1.3495084703299081</v>
      </c>
      <c r="E334">
        <f t="shared" si="15"/>
        <v>1.3495736155375544</v>
      </c>
      <c r="F334">
        <f>STDEV(B305:B334)</f>
        <v>1.3544307876820733E-4</v>
      </c>
      <c r="G334">
        <f>SQRT(alpha2*(B334-D334)^2+(1-alpha2)*G333^2)</f>
        <v>1.3458763484649932E-4</v>
      </c>
      <c r="H334">
        <f t="shared" si="14"/>
        <v>7.3178430318717153E-13</v>
      </c>
    </row>
    <row r="335" spans="1:8" x14ac:dyDescent="0.25">
      <c r="A335">
        <v>2740</v>
      </c>
      <c r="B335">
        <v>1.3495999999999999</v>
      </c>
      <c r="C335">
        <f t="shared" si="13"/>
        <v>1.3495366666666664</v>
      </c>
      <c r="D335" s="1">
        <f>alpha*B335+(1-alpha)*D334</f>
        <v>1.3495166157940293</v>
      </c>
      <c r="E335">
        <f t="shared" si="15"/>
        <v>1.349581530876288</v>
      </c>
      <c r="F335">
        <f>STDEV(B306:B335)</f>
        <v>1.3256965204632004E-4</v>
      </c>
      <c r="G335">
        <f>SQRT(alpha2*(B335-D335)^2+(1-alpha2)*G334^2)</f>
        <v>1.3018589360418804E-4</v>
      </c>
      <c r="H335">
        <f t="shared" si="14"/>
        <v>5.6823043104355577E-12</v>
      </c>
    </row>
    <row r="336" spans="1:8" x14ac:dyDescent="0.25">
      <c r="A336">
        <v>2743</v>
      </c>
      <c r="B336">
        <v>1.3496999999999999</v>
      </c>
      <c r="C336">
        <f t="shared" si="13"/>
        <v>1.349533333333333</v>
      </c>
      <c r="D336" s="1">
        <f>alpha*B336+(1-alpha)*D335</f>
        <v>1.3495329356329255</v>
      </c>
      <c r="E336">
        <f t="shared" si="15"/>
        <v>1.3496170716134015</v>
      </c>
      <c r="F336">
        <f>STDEV(B307:B336)</f>
        <v>1.2685406585123335E-4</v>
      </c>
      <c r="G336">
        <f>SQRT(alpha2*(B336-D336)^2+(1-alpha2)*G335^2)</f>
        <v>1.3451050200408743E-4</v>
      </c>
      <c r="H336">
        <f t="shared" si="14"/>
        <v>5.8621014562730936E-11</v>
      </c>
    </row>
    <row r="337" spans="1:8" x14ac:dyDescent="0.25">
      <c r="A337">
        <v>2748</v>
      </c>
      <c r="B337">
        <v>1.3498000000000001</v>
      </c>
      <c r="C337">
        <f t="shared" si="13"/>
        <v>1.3495366666666662</v>
      </c>
      <c r="D337" s="1">
        <f>alpha*B337+(1-alpha)*D336</f>
        <v>1.3495567023876607</v>
      </c>
      <c r="E337">
        <f t="shared" si="15"/>
        <v>1.349671950129381</v>
      </c>
      <c r="F337">
        <f>STDEV(B308:B337)</f>
        <v>1.3256965204632001E-4</v>
      </c>
      <c r="G337">
        <f>SQRT(alpha2*(B337-D337)^2+(1-alpha2)*G336^2)</f>
        <v>1.4961605168798569E-4</v>
      </c>
      <c r="H337">
        <f t="shared" si="14"/>
        <v>2.905797407433798E-10</v>
      </c>
    </row>
    <row r="338" spans="1:8" x14ac:dyDescent="0.25">
      <c r="A338">
        <v>2753</v>
      </c>
      <c r="B338">
        <v>1.3499000000000001</v>
      </c>
      <c r="C338">
        <f t="shared" si="13"/>
        <v>1.3495399999999997</v>
      </c>
      <c r="D338" s="1">
        <f>alpha*B338+(1-alpha)*D337</f>
        <v>1.3495872533377669</v>
      </c>
      <c r="E338">
        <f t="shared" si="15"/>
        <v>1.3497403650905666</v>
      </c>
      <c r="F338">
        <f>STDEV(B309:B338)</f>
        <v>1.4044264997157963E-4</v>
      </c>
      <c r="G338">
        <f>SQRT(alpha2*(B338-D338)^2+(1-alpha2)*G337^2)</f>
        <v>1.7395742024134598E-4</v>
      </c>
      <c r="H338">
        <f t="shared" si="14"/>
        <v>1.1232398262352144E-9</v>
      </c>
    </row>
    <row r="339" spans="1:8" x14ac:dyDescent="0.25">
      <c r="A339">
        <v>2756</v>
      </c>
      <c r="B339">
        <v>1.35</v>
      </c>
      <c r="C339">
        <f t="shared" si="13"/>
        <v>1.3495499999999998</v>
      </c>
      <c r="D339" s="1">
        <f>alpha*B339+(1-alpha)*D338</f>
        <v>1.3496239847399996</v>
      </c>
      <c r="E339">
        <f t="shared" si="15"/>
        <v>1.3498182555633966</v>
      </c>
      <c r="F339">
        <f>STDEV(B310:B339)</f>
        <v>1.613520460317471E-4</v>
      </c>
      <c r="G339">
        <f>SQRT(alpha2*(B339-D339)^2+(1-alpha2)*G338^2)</f>
        <v>2.046104042018229E-4</v>
      </c>
      <c r="H339">
        <f t="shared" si="14"/>
        <v>1.871285551570564E-9</v>
      </c>
    </row>
    <row r="340" spans="1:8" x14ac:dyDescent="0.25">
      <c r="A340">
        <v>2757</v>
      </c>
      <c r="B340">
        <v>1.3499000000000001</v>
      </c>
      <c r="C340">
        <f t="shared" si="13"/>
        <v>1.3495566666666663</v>
      </c>
      <c r="D340" s="1">
        <f>alpha*B340+(1-alpha)*D339</f>
        <v>1.3496485480580471</v>
      </c>
      <c r="E340">
        <f t="shared" si="15"/>
        <v>1.3498427788943776</v>
      </c>
      <c r="F340">
        <f>STDEV(B311:B340)</f>
        <v>1.715715058196143E-4</v>
      </c>
      <c r="G340">
        <f>SQRT(alpha2*(B340-D340)^2+(1-alpha2)*G339^2)</f>
        <v>2.0999092489769669E-4</v>
      </c>
      <c r="H340">
        <f t="shared" si="14"/>
        <v>1.4760517622973211E-9</v>
      </c>
    </row>
    <row r="341" spans="1:8" x14ac:dyDescent="0.25">
      <c r="A341">
        <v>2758</v>
      </c>
      <c r="B341">
        <v>1.35</v>
      </c>
      <c r="C341">
        <f t="shared" si="13"/>
        <v>1.3495699999999997</v>
      </c>
      <c r="D341" s="1">
        <f>alpha*B341+(1-alpha)*D340</f>
        <v>1.3496798246832185</v>
      </c>
      <c r="E341">
        <f t="shared" si="15"/>
        <v>1.3498899452260642</v>
      </c>
      <c r="F341">
        <f>STDEV(B312:B341)</f>
        <v>1.896457677919499E-4</v>
      </c>
      <c r="G341">
        <f>SQRT(alpha2*(B341-D341)^2+(1-alpha2)*G340^2)</f>
        <v>2.2404512029030896E-4</v>
      </c>
      <c r="H341">
        <f t="shared" si="14"/>
        <v>1.1833154523063624E-9</v>
      </c>
    </row>
    <row r="342" spans="1:8" x14ac:dyDescent="0.25">
      <c r="A342">
        <v>2759</v>
      </c>
      <c r="B342">
        <v>1.3499000000000001</v>
      </c>
      <c r="C342">
        <f t="shared" si="13"/>
        <v>1.3495833333333329</v>
      </c>
      <c r="D342" s="1">
        <f>alpha*B342+(1-alpha)*D341</f>
        <v>1.3496994186590454</v>
      </c>
      <c r="E342">
        <f t="shared" si="15"/>
        <v>1.3498929616582449</v>
      </c>
      <c r="F342">
        <f>STDEV(B313:B342)</f>
        <v>1.9841324575737372E-4</v>
      </c>
      <c r="G342">
        <f>SQRT(alpha2*(B342-D342)^2+(1-alpha2)*G341^2)</f>
        <v>2.217110858679672E-4</v>
      </c>
      <c r="H342">
        <f t="shared" si="14"/>
        <v>5.427893538187785E-10</v>
      </c>
    </row>
    <row r="343" spans="1:8" x14ac:dyDescent="0.25">
      <c r="A343">
        <v>2760</v>
      </c>
      <c r="B343">
        <v>1.35</v>
      </c>
      <c r="C343">
        <f t="shared" si="13"/>
        <v>1.3495966666666663</v>
      </c>
      <c r="D343" s="1">
        <f>alpha*B343+(1-alpha)*D342</f>
        <v>1.3497261681767243</v>
      </c>
      <c r="E343">
        <f t="shared" si="15"/>
        <v>1.3499250731607715</v>
      </c>
      <c r="F343">
        <f>STDEV(B314:B343)</f>
        <v>2.1251098686951578E-4</v>
      </c>
      <c r="G343">
        <f>SQRT(alpha2*(B343-D343)^2+(1-alpha2)*G342^2)</f>
        <v>2.2771225448402164E-4</v>
      </c>
      <c r="H343">
        <f t="shared" si="14"/>
        <v>2.3107853708782484E-10</v>
      </c>
    </row>
    <row r="344" spans="1:8" x14ac:dyDescent="0.25">
      <c r="A344">
        <v>2762</v>
      </c>
      <c r="B344">
        <v>1.3498000000000001</v>
      </c>
      <c r="C344">
        <f t="shared" si="13"/>
        <v>1.3496066666666662</v>
      </c>
      <c r="D344" s="1">
        <f>alpha*B344+(1-alpha)*D343</f>
        <v>1.3497327386632878</v>
      </c>
      <c r="E344">
        <f t="shared" si="15"/>
        <v>1.3498875512125399</v>
      </c>
      <c r="F344">
        <f>STDEV(B315:B344)</f>
        <v>2.1485092399209545E-4</v>
      </c>
      <c r="G344">
        <f>SQRT(alpha2*(B344-D344)^2+(1-alpha2)*G343^2)</f>
        <v>2.1658859114128692E-4</v>
      </c>
      <c r="H344">
        <f t="shared" si="14"/>
        <v>3.0194871213792067E-12</v>
      </c>
    </row>
    <row r="345" spans="1:8" x14ac:dyDescent="0.25">
      <c r="A345">
        <v>2764</v>
      </c>
      <c r="B345">
        <v>1.3499000000000001</v>
      </c>
      <c r="C345">
        <f t="shared" si="13"/>
        <v>1.349623333333333</v>
      </c>
      <c r="D345" s="1">
        <f>alpha*B345+(1-alpha)*D344</f>
        <v>1.349747623685988</v>
      </c>
      <c r="E345">
        <f t="shared" si="15"/>
        <v>1.3498912858487779</v>
      </c>
      <c r="F345">
        <f>STDEV(B316:B345)</f>
        <v>2.1764148522738778E-4</v>
      </c>
      <c r="G345">
        <f>SQRT(alpha2*(B345-D345)^2+(1-alpha2)*G344^2)</f>
        <v>2.1079990588473079E-4</v>
      </c>
      <c r="H345">
        <f t="shared" si="14"/>
        <v>4.6807207901870835E-11</v>
      </c>
    </row>
    <row r="346" spans="1:8" x14ac:dyDescent="0.25">
      <c r="A346">
        <v>2765</v>
      </c>
      <c r="B346">
        <v>1.3498000000000001</v>
      </c>
      <c r="C346">
        <f t="shared" si="13"/>
        <v>1.3496333333333332</v>
      </c>
      <c r="D346" s="1">
        <f>alpha*B346+(1-alpha)*D345</f>
        <v>1.3497522847908097</v>
      </c>
      <c r="E346">
        <f t="shared" si="15"/>
        <v>1.3498639000941446</v>
      </c>
      <c r="F346">
        <f>STDEV(B317:B346)</f>
        <v>2.1866890943628294E-4</v>
      </c>
      <c r="G346">
        <f>SQRT(alpha2*(B346-D346)^2+(1-alpha2)*G345^2)</f>
        <v>2.000852472930862E-4</v>
      </c>
      <c r="H346">
        <f t="shared" si="14"/>
        <v>3.4535249865248362E-10</v>
      </c>
    </row>
    <row r="347" spans="1:8" x14ac:dyDescent="0.25">
      <c r="A347">
        <v>2767</v>
      </c>
      <c r="B347">
        <v>1.35</v>
      </c>
      <c r="C347">
        <f t="shared" si="13"/>
        <v>1.3496533333333331</v>
      </c>
      <c r="D347" s="1">
        <f>alpha*B347+(1-alpha)*D346</f>
        <v>1.3497743296135074</v>
      </c>
      <c r="E347">
        <f t="shared" si="15"/>
        <v>1.3499047300659011</v>
      </c>
      <c r="F347">
        <f>STDEV(B318:B347)</f>
        <v>2.2396633572986348E-4</v>
      </c>
      <c r="G347">
        <f>SQRT(alpha2*(B347-D347)^2+(1-alpha2)*G346^2)</f>
        <v>2.0290785297975578E-4</v>
      </c>
      <c r="H347">
        <f t="shared" si="14"/>
        <v>4.4345969573658347E-10</v>
      </c>
    </row>
    <row r="348" spans="1:8" x14ac:dyDescent="0.25">
      <c r="A348">
        <v>2770</v>
      </c>
      <c r="B348">
        <v>1.3501000000000001</v>
      </c>
      <c r="C348">
        <f t="shared" si="13"/>
        <v>1.3496733333333331</v>
      </c>
      <c r="D348" s="1">
        <f>alpha*B348+(1-alpha)*D347</f>
        <v>1.3498033118707999</v>
      </c>
      <c r="E348">
        <f t="shared" si="15"/>
        <v>1.3499633110461307</v>
      </c>
      <c r="F348">
        <f>STDEV(B319:B348)</f>
        <v>2.362542951018181E-4</v>
      </c>
      <c r="G348">
        <f>SQRT(alpha2*(B348-D348)^2+(1-alpha2)*G347^2)</f>
        <v>2.1462546051273252E-4</v>
      </c>
      <c r="H348">
        <f t="shared" si="14"/>
        <v>4.678064856820246E-10</v>
      </c>
    </row>
    <row r="349" spans="1:8" x14ac:dyDescent="0.25">
      <c r="A349">
        <v>2771</v>
      </c>
      <c r="B349">
        <v>1.3502000000000001</v>
      </c>
      <c r="C349">
        <f t="shared" si="13"/>
        <v>1.3496933333333332</v>
      </c>
      <c r="D349" s="1">
        <f>alpha*B349+(1-alpha)*D348</f>
        <v>1.3498386141822849</v>
      </c>
      <c r="E349">
        <f t="shared" si="15"/>
        <v>1.3500343177322913</v>
      </c>
      <c r="F349">
        <f>STDEV(B320:B349)</f>
        <v>2.5452231571207733E-4</v>
      </c>
      <c r="G349">
        <f>SQRT(alpha2*(B349-D349)^2+(1-alpha2)*G348^2)</f>
        <v>2.3428961129176378E-4</v>
      </c>
      <c r="H349">
        <f t="shared" si="14"/>
        <v>4.0936232815977538E-10</v>
      </c>
    </row>
    <row r="350" spans="1:8" x14ac:dyDescent="0.25">
      <c r="A350">
        <v>2775</v>
      </c>
      <c r="B350">
        <v>1.3503000000000001</v>
      </c>
      <c r="C350">
        <f t="shared" si="13"/>
        <v>1.34972</v>
      </c>
      <c r="D350" s="1">
        <f>alpha*B350+(1-alpha)*D349</f>
        <v>1.3498796741098522</v>
      </c>
      <c r="E350">
        <f t="shared" si="15"/>
        <v>1.3501140224126038</v>
      </c>
      <c r="F350">
        <f>STDEV(B321:B350)</f>
        <v>2.7467849544896353E-4</v>
      </c>
      <c r="G350">
        <f>SQRT(alpha2*(B350-D350)^2+(1-alpha2)*G349^2)</f>
        <v>2.6001651783942321E-4</v>
      </c>
      <c r="H350">
        <f t="shared" si="14"/>
        <v>2.1497358742266163E-10</v>
      </c>
    </row>
    <row r="351" spans="1:8" x14ac:dyDescent="0.25">
      <c r="A351">
        <v>2777</v>
      </c>
      <c r="B351">
        <v>1.3506</v>
      </c>
      <c r="C351">
        <f t="shared" si="13"/>
        <v>1.3497533333333331</v>
      </c>
      <c r="D351" s="1">
        <f>alpha*B351+(1-alpha)*D350</f>
        <v>1.3499437777899801</v>
      </c>
      <c r="E351">
        <f t="shared" si="15"/>
        <v>1.3502598156888226</v>
      </c>
      <c r="F351">
        <f>STDEV(B322:B351)</f>
        <v>3.1702641392551879E-4</v>
      </c>
      <c r="G351">
        <f>SQRT(alpha2*(B351-D351)^2+(1-alpha2)*G350^2)</f>
        <v>3.2483291908745805E-4</v>
      </c>
      <c r="H351">
        <f t="shared" si="14"/>
        <v>6.0941522843384252E-11</v>
      </c>
    </row>
    <row r="352" spans="1:8" x14ac:dyDescent="0.25">
      <c r="A352">
        <v>2779</v>
      </c>
      <c r="B352">
        <v>1.3505</v>
      </c>
      <c r="C352">
        <f t="shared" ref="C352:C415" si="16">AVERAGE(B323:B352)</f>
        <v>1.3497866666666667</v>
      </c>
      <c r="D352" s="1">
        <f>alpha*B352+(1-alpha)*D351</f>
        <v>1.3499932774555048</v>
      </c>
      <c r="E352">
        <f t="shared" si="15"/>
        <v>1.3503318709821759</v>
      </c>
      <c r="F352">
        <f>STDEV(B323:B352)</f>
        <v>3.4112727257138413E-4</v>
      </c>
      <c r="G352">
        <f>SQRT(alpha2*(B352-D352)^2+(1-alpha2)*G351^2)</f>
        <v>3.4829680907884E-4</v>
      </c>
      <c r="H352">
        <f t="shared" ref="H352:H415" si="17">(F352-G352)^2</f>
        <v>5.1402253731742633E-11</v>
      </c>
    </row>
    <row r="353" spans="1:8" x14ac:dyDescent="0.25">
      <c r="A353">
        <v>2780</v>
      </c>
      <c r="B353">
        <v>1.3504</v>
      </c>
      <c r="C353">
        <f t="shared" si="16"/>
        <v>1.34982</v>
      </c>
      <c r="D353" s="1">
        <f>alpha*B353+(1-alpha)*D352</f>
        <v>1.3500294727557844</v>
      </c>
      <c r="E353">
        <f t="shared" si="15"/>
        <v>1.350352309687523</v>
      </c>
      <c r="F353">
        <f>STDEV(B324:B353)</f>
        <v>3.5076271574763657E-4</v>
      </c>
      <c r="G353">
        <f>SQRT(alpha2*(B353-D353)^2+(1-alpha2)*G352^2)</f>
        <v>3.5068409747524628E-4</v>
      </c>
      <c r="H353">
        <f t="shared" si="17"/>
        <v>6.1808327536349829E-15</v>
      </c>
    </row>
    <row r="354" spans="1:8" x14ac:dyDescent="0.25">
      <c r="A354">
        <v>2781</v>
      </c>
      <c r="B354">
        <v>1.3506</v>
      </c>
      <c r="C354">
        <f t="shared" si="16"/>
        <v>1.3498633333333336</v>
      </c>
      <c r="D354" s="1">
        <f>alpha*B354+(1-alpha)*D353</f>
        <v>1.3500802454636209</v>
      </c>
      <c r="E354">
        <f t="shared" si="15"/>
        <v>1.350426616781266</v>
      </c>
      <c r="F354">
        <f>STDEV(B325:B354)</f>
        <v>3.6434479059925648E-4</v>
      </c>
      <c r="G354">
        <f>SQRT(alpha2*(B354-D354)^2+(1-alpha2)*G353^2)</f>
        <v>3.719501524555327E-4</v>
      </c>
      <c r="H354">
        <f t="shared" si="17"/>
        <v>5.7841528964901242E-11</v>
      </c>
    </row>
    <row r="355" spans="1:8" x14ac:dyDescent="0.25">
      <c r="A355">
        <v>2785</v>
      </c>
      <c r="B355">
        <v>1.3505</v>
      </c>
      <c r="C355">
        <f t="shared" si="16"/>
        <v>1.3499000000000001</v>
      </c>
      <c r="D355" s="1">
        <f>alpha*B355+(1-alpha)*D354</f>
        <v>1.3501176005148559</v>
      </c>
      <c r="E355">
        <f t="shared" si="15"/>
        <v>1.350448631746886</v>
      </c>
      <c r="F355">
        <f>STDEV(B326:B355)</f>
        <v>3.7139067635414736E-4</v>
      </c>
      <c r="G355">
        <f>SQRT(alpha2*(B355-D355)^2+(1-alpha2)*G354^2)</f>
        <v>3.7305499808619875E-4</v>
      </c>
      <c r="H355">
        <f t="shared" si="17"/>
        <v>2.7699668277785396E-12</v>
      </c>
    </row>
    <row r="356" spans="1:8" x14ac:dyDescent="0.25">
      <c r="A356">
        <v>2788</v>
      </c>
      <c r="B356">
        <v>1.3504</v>
      </c>
      <c r="C356">
        <f t="shared" si="16"/>
        <v>1.3499300000000003</v>
      </c>
      <c r="D356" s="1">
        <f>alpha*B356+(1-alpha)*D355</f>
        <v>1.3501427319817538</v>
      </c>
      <c r="E356">
        <f t="shared" si="15"/>
        <v>1.35043404222282</v>
      </c>
      <c r="F356">
        <f>STDEV(B327:B356)</f>
        <v>3.7430395172358583E-4</v>
      </c>
      <c r="G356">
        <f>SQRT(alpha2*(B356-D356)^2+(1-alpha2)*G355^2)</f>
        <v>3.6269663107798238E-4</v>
      </c>
      <c r="H356">
        <f t="shared" si="17"/>
        <v>1.3472989256985214E-10</v>
      </c>
    </row>
    <row r="357" spans="1:8" x14ac:dyDescent="0.25">
      <c r="A357">
        <v>2790</v>
      </c>
      <c r="B357">
        <v>1.3503000000000001</v>
      </c>
      <c r="C357">
        <f t="shared" si="16"/>
        <v>1.34996</v>
      </c>
      <c r="D357" s="1">
        <f>alpha*B357+(1-alpha)*D356</f>
        <v>1.3501567276729733</v>
      </c>
      <c r="E357">
        <f t="shared" si="15"/>
        <v>1.3503938295559739</v>
      </c>
      <c r="F357">
        <f>STDEV(B328:B357)</f>
        <v>3.6634259450922692E-4</v>
      </c>
      <c r="G357">
        <f>SQRT(alpha2*(B357-D357)^2+(1-alpha2)*G356^2)</f>
        <v>3.4634594719040593E-4</v>
      </c>
      <c r="H357">
        <f t="shared" si="17"/>
        <v>3.9986590399331049E-10</v>
      </c>
    </row>
    <row r="358" spans="1:8" x14ac:dyDescent="0.25">
      <c r="A358">
        <v>2793</v>
      </c>
      <c r="B358">
        <v>1.3505</v>
      </c>
      <c r="C358">
        <f t="shared" si="16"/>
        <v>1.35</v>
      </c>
      <c r="D358" s="1">
        <f>alpha*B358+(1-alpha)*D357</f>
        <v>1.3501872763728735</v>
      </c>
      <c r="E358">
        <f t="shared" si="15"/>
        <v>1.3504256806891817</v>
      </c>
      <c r="F358">
        <f>STDEV(B329:B358)</f>
        <v>3.5719211482978695E-4</v>
      </c>
      <c r="G358">
        <f>SQRT(alpha2*(B358-D358)^2+(1-alpha2)*G357^2)</f>
        <v>3.4298912605953139E-4</v>
      </c>
      <c r="H358">
        <f t="shared" si="17"/>
        <v>2.0172489000800545E-10</v>
      </c>
    </row>
    <row r="359" spans="1:8" x14ac:dyDescent="0.25">
      <c r="A359">
        <v>2799</v>
      </c>
      <c r="B359">
        <v>1.3503000000000001</v>
      </c>
      <c r="C359">
        <f t="shared" si="16"/>
        <v>1.3500299999999998</v>
      </c>
      <c r="D359" s="1">
        <f>alpha*B359+(1-alpha)*D358</f>
        <v>1.3501973079425214</v>
      </c>
      <c r="E359">
        <f t="shared" si="15"/>
        <v>1.3503879764824271</v>
      </c>
      <c r="F359">
        <f>STDEV(B330:B359)</f>
        <v>3.4255631301470302E-4</v>
      </c>
      <c r="G359">
        <f>SQRT(alpha2*(B359-D359)^2+(1-alpha2)*G358^2)</f>
        <v>3.2627929444844356E-4</v>
      </c>
      <c r="H359">
        <f t="shared" si="17"/>
        <v>2.6494133340635509E-10</v>
      </c>
    </row>
    <row r="360" spans="1:8" x14ac:dyDescent="0.25">
      <c r="A360">
        <v>2800</v>
      </c>
      <c r="B360">
        <v>1.3502000000000001</v>
      </c>
      <c r="C360">
        <f t="shared" si="16"/>
        <v>1.3500533333333329</v>
      </c>
      <c r="D360" s="1">
        <f>alpha*B360+(1-alpha)*D359</f>
        <v>1.3501975475157393</v>
      </c>
      <c r="E360">
        <f t="shared" si="15"/>
        <v>1.350331583537699</v>
      </c>
      <c r="F360">
        <f>STDEV(B331:B360)</f>
        <v>3.2877340832707992E-4</v>
      </c>
      <c r="G360">
        <f>SQRT(alpha2*(B360-D360)^2+(1-alpha2)*G359^2)</f>
        <v>3.0877505557083744E-4</v>
      </c>
      <c r="H360">
        <f t="shared" si="17"/>
        <v>3.9993411296311108E-10</v>
      </c>
    </row>
    <row r="361" spans="1:8" x14ac:dyDescent="0.25">
      <c r="A361">
        <v>2801</v>
      </c>
      <c r="B361">
        <v>1.3503000000000001</v>
      </c>
      <c r="C361">
        <f t="shared" si="16"/>
        <v>1.3500766666666664</v>
      </c>
      <c r="D361" s="1">
        <f>alpha*B361+(1-alpha)*D360</f>
        <v>1.3502066650295885</v>
      </c>
      <c r="E361">
        <f t="shared" si="15"/>
        <v>1.3503221084763892</v>
      </c>
      <c r="F361">
        <f>STDEV(B332:B361)</f>
        <v>3.202190342329291E-4</v>
      </c>
      <c r="G361">
        <f>SQRT(alpha2*(B361-D361)^2+(1-alpha2)*G360^2)</f>
        <v>2.937613549017978E-4</v>
      </c>
      <c r="H361">
        <f t="shared" si="17"/>
        <v>7.000087955889724E-10</v>
      </c>
    </row>
    <row r="362" spans="1:8" x14ac:dyDescent="0.25">
      <c r="A362">
        <v>2802</v>
      </c>
      <c r="B362">
        <v>1.3502000000000001</v>
      </c>
      <c r="C362">
        <f t="shared" si="16"/>
        <v>1.3500999999999999</v>
      </c>
      <c r="D362" s="1">
        <f>alpha*B362+(1-alpha)*D361</f>
        <v>1.3502060718912179</v>
      </c>
      <c r="E362">
        <f t="shared" si="15"/>
        <v>1.3502854759334724</v>
      </c>
      <c r="F362">
        <f>STDEV(B333:B362)</f>
        <v>3.017192117824588E-4</v>
      </c>
      <c r="G362">
        <f>SQRT(alpha2*(B362-D362)^2+(1-alpha2)*G361^2)</f>
        <v>2.780076476340108E-4</v>
      </c>
      <c r="H362">
        <f t="shared" si="17"/>
        <v>5.6223827436596449E-10</v>
      </c>
    </row>
    <row r="363" spans="1:8" x14ac:dyDescent="0.25">
      <c r="A363">
        <v>2810</v>
      </c>
      <c r="B363">
        <v>1.3501000000000001</v>
      </c>
      <c r="C363">
        <f t="shared" si="16"/>
        <v>1.3501166666666664</v>
      </c>
      <c r="D363" s="1">
        <f>alpha*B363+(1-alpha)*D362</f>
        <v>1.3501966322769015</v>
      </c>
      <c r="E363">
        <f t="shared" si="15"/>
        <v>1.3502298331534306</v>
      </c>
      <c r="F363">
        <f>STDEV(B334:B363)</f>
        <v>2.8657710442673499E-4</v>
      </c>
      <c r="G363">
        <f>SQRT(alpha2*(B363-D363)^2+(1-alpha2)*G362^2)</f>
        <v>2.6493887045943065E-4</v>
      </c>
      <c r="H363">
        <f t="shared" si="17"/>
        <v>4.6821316922380322E-10</v>
      </c>
    </row>
    <row r="364" spans="1:8" x14ac:dyDescent="0.25">
      <c r="A364">
        <v>2815</v>
      </c>
      <c r="B364">
        <v>1.35</v>
      </c>
      <c r="C364">
        <f t="shared" si="16"/>
        <v>1.3501266666666667</v>
      </c>
      <c r="D364" s="1">
        <f>alpha*B364+(1-alpha)*D363</f>
        <v>1.3501791334576121</v>
      </c>
      <c r="E364">
        <f t="shared" si="15"/>
        <v>1.3501608832074012</v>
      </c>
      <c r="F364">
        <f>STDEV(B335:B364)</f>
        <v>2.7659672291340421E-4</v>
      </c>
      <c r="G364">
        <f>SQRT(alpha2*(B364-D364)^2+(1-alpha2)*G363^2)</f>
        <v>2.5732014923732086E-4</v>
      </c>
      <c r="H364">
        <f t="shared" si="17"/>
        <v>3.7158629268946937E-10</v>
      </c>
    </row>
    <row r="365" spans="1:8" x14ac:dyDescent="0.25">
      <c r="A365">
        <v>2822</v>
      </c>
      <c r="B365">
        <v>1.3501000000000001</v>
      </c>
      <c r="C365">
        <f t="shared" si="16"/>
        <v>1.3501433333333333</v>
      </c>
      <c r="D365" s="1">
        <f>alpha*B365+(1-alpha)*D364</f>
        <v>1.3501720911647783</v>
      </c>
      <c r="E365">
        <f t="shared" si="15"/>
        <v>1.3501426182451808</v>
      </c>
      <c r="F365">
        <f>STDEV(B336:B365)</f>
        <v>2.5822114731278756E-4</v>
      </c>
      <c r="G365">
        <f>SQRT(alpha2*(B365-D365)^2+(1-alpha2)*G364^2)</f>
        <v>2.446264088563063E-4</v>
      </c>
      <c r="H365">
        <f t="shared" si="17"/>
        <v>1.8481691370013044E-10</v>
      </c>
    </row>
    <row r="366" spans="1:8" x14ac:dyDescent="0.25">
      <c r="A366">
        <v>2838</v>
      </c>
      <c r="B366">
        <v>1.3502000000000001</v>
      </c>
      <c r="C366">
        <f t="shared" si="16"/>
        <v>1.3501599999999998</v>
      </c>
      <c r="D366" s="1">
        <f>alpha*B366+(1-alpha)*D365</f>
        <v>1.3501745748448324</v>
      </c>
      <c r="E366">
        <f t="shared" si="15"/>
        <v>1.3501598327716264</v>
      </c>
      <c r="F366">
        <f>STDEV(B337:B366)</f>
        <v>2.4438522445315985E-4</v>
      </c>
      <c r="G366">
        <f>SQRT(alpha2*(B366-D366)^2+(1-alpha2)*G365^2)</f>
        <v>2.3164767227890011E-4</v>
      </c>
      <c r="H366">
        <f t="shared" si="17"/>
        <v>1.6224523539198893E-10</v>
      </c>
    </row>
    <row r="367" spans="1:8" x14ac:dyDescent="0.25">
      <c r="A367">
        <v>2845</v>
      </c>
      <c r="B367">
        <v>1.3503000000000001</v>
      </c>
      <c r="C367">
        <f t="shared" si="16"/>
        <v>1.3501766666666666</v>
      </c>
      <c r="D367" s="1">
        <f>alpha*B367+(1-alpha)*D366</f>
        <v>1.3501857367565959</v>
      </c>
      <c r="E367">
        <f t="shared" si="15"/>
        <v>1.3502018829401385</v>
      </c>
      <c r="F367">
        <f>STDEV(B338:B367)</f>
        <v>2.3588912259980805E-4</v>
      </c>
      <c r="G367">
        <f>SQRT(alpha2*(B367-D367)^2+(1-alpha2)*G366^2)</f>
        <v>2.2230735643969849E-4</v>
      </c>
      <c r="H367">
        <f t="shared" si="17"/>
        <v>1.8446437202789725E-10</v>
      </c>
    </row>
    <row r="368" spans="1:8" x14ac:dyDescent="0.25">
      <c r="A368">
        <v>2855</v>
      </c>
      <c r="B368">
        <v>1.3502000000000001</v>
      </c>
      <c r="C368">
        <f t="shared" si="16"/>
        <v>1.3501866666666666</v>
      </c>
      <c r="D368" s="1">
        <f>alpha*B368+(1-alpha)*D367</f>
        <v>1.350187006079836</v>
      </c>
      <c r="E368">
        <f t="shared" si="15"/>
        <v>1.350201318058097</v>
      </c>
      <c r="F368">
        <f>STDEV(B339:B368)</f>
        <v>2.3004247483861192E-4</v>
      </c>
      <c r="G368">
        <f>SQRT(alpha2*(B368-D368)^2+(1-alpha2)*G367^2)</f>
        <v>2.104222122699915E-4</v>
      </c>
      <c r="H368">
        <f t="shared" si="17"/>
        <v>3.8495470326160738E-10</v>
      </c>
    </row>
    <row r="369" spans="1:8" x14ac:dyDescent="0.25">
      <c r="A369">
        <v>2857</v>
      </c>
      <c r="B369">
        <v>1.3503000000000001</v>
      </c>
      <c r="C369">
        <f t="shared" si="16"/>
        <v>1.3501966666666667</v>
      </c>
      <c r="D369" s="1">
        <f>alpha*B369+(1-alpha)*D368</f>
        <v>1.3501970617035663</v>
      </c>
      <c r="E369">
        <f t="shared" si="15"/>
        <v>1.3502309226406679</v>
      </c>
      <c r="F369">
        <f>STDEV(B340:B369)</f>
        <v>2.2816106430404893E-4</v>
      </c>
      <c r="G369">
        <f>SQRT(alpha2*(B369-D369)^2+(1-alpha2)*G368^2)</f>
        <v>2.0189201533507231E-4</v>
      </c>
      <c r="H369">
        <f t="shared" si="17"/>
        <v>6.9006293373449166E-10</v>
      </c>
    </row>
    <row r="370" spans="1:8" x14ac:dyDescent="0.25">
      <c r="A370">
        <v>2867</v>
      </c>
      <c r="B370">
        <v>1.3504</v>
      </c>
      <c r="C370">
        <f t="shared" si="16"/>
        <v>1.3502133333333333</v>
      </c>
      <c r="D370" s="1">
        <f>alpha*B370+(1-alpha)*D369</f>
        <v>1.3502151217119851</v>
      </c>
      <c r="E370">
        <f t="shared" si="15"/>
        <v>1.3502816458484674</v>
      </c>
      <c r="F370">
        <f>STDEV(B341:B370)</f>
        <v>2.2396633572976731E-4</v>
      </c>
      <c r="G370">
        <f>SQRT(alpha2*(B370-D370)^2+(1-alpha2)*G369^2)</f>
        <v>2.0018300325084706E-4</v>
      </c>
      <c r="H370">
        <f t="shared" si="17"/>
        <v>5.6564690380286283E-10</v>
      </c>
    </row>
    <row r="371" spans="1:8" x14ac:dyDescent="0.25">
      <c r="A371">
        <v>2870</v>
      </c>
      <c r="B371">
        <v>1.3503000000000001</v>
      </c>
      <c r="C371">
        <f t="shared" si="16"/>
        <v>1.3502233333333333</v>
      </c>
      <c r="D371" s="1">
        <f>alpha*B371+(1-alpha)*D370</f>
        <v>1.3502226752522635</v>
      </c>
      <c r="E371">
        <f t="shared" si="15"/>
        <v>1.3502871520939272</v>
      </c>
      <c r="F371">
        <f>STDEV(B342:B371)</f>
        <v>2.2078751422299875E-4</v>
      </c>
      <c r="G371">
        <f>SQRT(alpha2*(B371-D371)^2+(1-alpha2)*G370^2)</f>
        <v>1.9108374145749611E-4</v>
      </c>
      <c r="H371">
        <f t="shared" si="17"/>
        <v>8.8231411650461636E-10</v>
      </c>
    </row>
    <row r="372" spans="1:8" x14ac:dyDescent="0.25">
      <c r="A372">
        <v>2886</v>
      </c>
      <c r="B372">
        <v>1.3502000000000001</v>
      </c>
      <c r="C372">
        <f t="shared" si="16"/>
        <v>1.3502333333333334</v>
      </c>
      <c r="D372" s="1">
        <f>alpha*B372+(1-alpha)*D371</f>
        <v>1.35022065732241</v>
      </c>
      <c r="E372">
        <f t="shared" si="15"/>
        <v>1.350261006465749</v>
      </c>
      <c r="F372">
        <f>STDEV(B343:B372)</f>
        <v>2.1226745220206955E-4</v>
      </c>
      <c r="G372">
        <f>SQRT(alpha2*(B372-D372)^2+(1-alpha2)*G371^2)</f>
        <v>1.8095504812844749E-4</v>
      </c>
      <c r="H372">
        <f t="shared" si="17"/>
        <v>9.8046664886978321E-10</v>
      </c>
    </row>
    <row r="373" spans="1:8" x14ac:dyDescent="0.25">
      <c r="A373">
        <v>2887</v>
      </c>
      <c r="B373">
        <v>1.3503000000000001</v>
      </c>
      <c r="C373">
        <f t="shared" si="16"/>
        <v>1.3502433333333335</v>
      </c>
      <c r="D373" s="1">
        <f>alpha*B373+(1-alpha)*D372</f>
        <v>1.3502277182342755</v>
      </c>
      <c r="E373">
        <f t="shared" si="15"/>
        <v>1.3502727045260243</v>
      </c>
      <c r="F373">
        <f>STDEV(B344:B373)</f>
        <v>2.0791797675396358E-4</v>
      </c>
      <c r="G373">
        <f>SQRT(alpha2*(B373-D373)^2+(1-alpha2)*G372^2)</f>
        <v>1.7283222388834278E-4</v>
      </c>
      <c r="H373">
        <f t="shared" si="17"/>
        <v>1.2310100541474185E-9</v>
      </c>
    </row>
    <row r="374" spans="1:8" x14ac:dyDescent="0.25">
      <c r="A374">
        <v>2902</v>
      </c>
      <c r="B374">
        <v>1.3502000000000001</v>
      </c>
      <c r="C374">
        <f t="shared" si="16"/>
        <v>1.3502566666666669</v>
      </c>
      <c r="D374" s="1">
        <f>alpha*B374+(1-alpha)*D373</f>
        <v>1.3502252515162969</v>
      </c>
      <c r="E374">
        <f t="shared" si="15"/>
        <v>1.3502508931682169</v>
      </c>
      <c r="F374">
        <f>STDEV(B345:B374)</f>
        <v>1.9061304607325631E-4</v>
      </c>
      <c r="G374">
        <f>SQRT(alpha2*(B374-D374)^2+(1-alpha2)*G373^2)</f>
        <v>1.6376300046039337E-4</v>
      </c>
      <c r="H374">
        <f t="shared" si="17"/>
        <v>7.2092494941282021E-10</v>
      </c>
    </row>
    <row r="375" spans="1:8" x14ac:dyDescent="0.25">
      <c r="A375">
        <v>2904</v>
      </c>
      <c r="B375">
        <v>1.3503000000000001</v>
      </c>
      <c r="C375">
        <f t="shared" si="16"/>
        <v>1.3502700000000003</v>
      </c>
      <c r="D375" s="1">
        <f>alpha*B375+(1-alpha)*D374</f>
        <v>1.3502319035788632</v>
      </c>
      <c r="E375">
        <f t="shared" si="15"/>
        <v>1.3502656252177518</v>
      </c>
      <c r="F375">
        <f>STDEV(B346:B375)</f>
        <v>1.7840287611720147E-4</v>
      </c>
      <c r="G375">
        <f>SQRT(alpha2*(B375-D375)^2+(1-alpha2)*G374^2)</f>
        <v>1.5653138536895789E-4</v>
      </c>
      <c r="H375">
        <f t="shared" si="17"/>
        <v>4.7836210755050436E-10</v>
      </c>
    </row>
    <row r="376" spans="1:8" x14ac:dyDescent="0.25">
      <c r="A376">
        <v>2905</v>
      </c>
      <c r="B376">
        <v>1.3504</v>
      </c>
      <c r="C376">
        <f t="shared" si="16"/>
        <v>1.3502900000000002</v>
      </c>
      <c r="D376" s="1">
        <f>alpha*B376+(1-alpha)*D375</f>
        <v>1.350246862917905</v>
      </c>
      <c r="E376">
        <f t="shared" si="15"/>
        <v>1.3503059376524262</v>
      </c>
      <c r="F376">
        <f>STDEV(B347:B376)</f>
        <v>1.5613875350092371E-4</v>
      </c>
      <c r="G376">
        <f>SQRT(alpha2*(B376-D376)^2+(1-alpha2)*G375^2)</f>
        <v>1.5618038867198125E-4</v>
      </c>
      <c r="H376">
        <f t="shared" si="17"/>
        <v>1.7334874689903481E-15</v>
      </c>
    </row>
    <row r="377" spans="1:8" x14ac:dyDescent="0.25">
      <c r="A377">
        <v>2910</v>
      </c>
      <c r="B377">
        <v>1.3503000000000001</v>
      </c>
      <c r="C377">
        <f t="shared" si="16"/>
        <v>1.3503000000000003</v>
      </c>
      <c r="D377" s="1">
        <f>alpha*B377+(1-alpha)*D376</f>
        <v>1.3502515917254629</v>
      </c>
      <c r="E377">
        <f t="shared" si="15"/>
        <v>1.3503041563566982</v>
      </c>
      <c r="F377">
        <f>STDEV(B348:B377)</f>
        <v>1.4621665549732315E-4</v>
      </c>
      <c r="G377">
        <f>SQRT(alpha2*(B377-D377)^2+(1-alpha2)*G376^2)</f>
        <v>1.4862663832555451E-4</v>
      </c>
      <c r="H377">
        <f t="shared" si="17"/>
        <v>5.8080172323699924E-12</v>
      </c>
    </row>
    <row r="378" spans="1:8" x14ac:dyDescent="0.25">
      <c r="A378">
        <v>2918</v>
      </c>
      <c r="B378">
        <v>1.3504</v>
      </c>
      <c r="C378">
        <f t="shared" si="16"/>
        <v>1.3503100000000001</v>
      </c>
      <c r="D378" s="1">
        <f>alpha*B378+(1-alpha)*D377</f>
        <v>1.350264798964977</v>
      </c>
      <c r="E378">
        <f t="shared" si="15"/>
        <v>1.3503329094496888</v>
      </c>
      <c r="F378">
        <f>STDEV(B349:B378)</f>
        <v>1.4227220146725912E-4</v>
      </c>
      <c r="G378">
        <f>SQRT(alpha2*(B378-D378)^2+(1-alpha2)*G377^2)</f>
        <v>1.4728192207362297E-4</v>
      </c>
      <c r="H378">
        <f t="shared" si="17"/>
        <v>2.5097300553826596E-11</v>
      </c>
    </row>
    <row r="379" spans="1:8" x14ac:dyDescent="0.25">
      <c r="A379">
        <v>2922</v>
      </c>
      <c r="B379">
        <v>1.3503000000000001</v>
      </c>
      <c r="C379">
        <f t="shared" si="16"/>
        <v>1.3503133333333335</v>
      </c>
      <c r="D379" s="1">
        <f>alpha*B379+(1-alpha)*D378</f>
        <v>1.350267931596915</v>
      </c>
      <c r="E379">
        <f t="shared" si="15"/>
        <v>1.350323036614782</v>
      </c>
      <c r="F379">
        <f>STDEV(B350:B379)</f>
        <v>1.4076964145020275E-4</v>
      </c>
      <c r="G379">
        <f>SQRT(alpha2*(B379-D379)^2+(1-alpha2)*G378^2)</f>
        <v>1.3976478133220592E-4</v>
      </c>
      <c r="H379">
        <f t="shared" si="17"/>
        <v>1.0097438567405917E-12</v>
      </c>
    </row>
    <row r="380" spans="1:8" x14ac:dyDescent="0.25">
      <c r="A380">
        <v>2929</v>
      </c>
      <c r="B380">
        <v>1.3503000000000001</v>
      </c>
      <c r="C380">
        <f t="shared" si="16"/>
        <v>1.3503133333333335</v>
      </c>
      <c r="D380" s="1">
        <f>alpha*B380+(1-alpha)*D379</f>
        <v>1.3502707854477647</v>
      </c>
      <c r="E380">
        <f t="shared" si="15"/>
        <v>1.3503161256303473</v>
      </c>
      <c r="F380">
        <f>STDEV(B351:B380)</f>
        <v>1.4076964145020275E-4</v>
      </c>
      <c r="G380">
        <f>SQRT(alpha2*(B380-D380)^2+(1-alpha2)*G379^2)</f>
        <v>1.3260272757771696E-4</v>
      </c>
      <c r="H380">
        <f t="shared" si="17"/>
        <v>6.6698482200600775E-11</v>
      </c>
    </row>
    <row r="381" spans="1:8" x14ac:dyDescent="0.25">
      <c r="A381">
        <v>2934</v>
      </c>
      <c r="B381">
        <v>1.3502000000000001</v>
      </c>
      <c r="C381">
        <f t="shared" si="16"/>
        <v>1.3503000000000003</v>
      </c>
      <c r="D381" s="1">
        <f>alpha*B381+(1-alpha)*D380</f>
        <v>1.3502644860661053</v>
      </c>
      <c r="E381">
        <f t="shared" si="15"/>
        <v>1.3502812879412431</v>
      </c>
      <c r="F381">
        <f>STDEV(B352:B381)</f>
        <v>1.313064328597081E-4</v>
      </c>
      <c r="G381">
        <f>SQRT(alpha2*(B381-D381)^2+(1-alpha2)*G380^2)</f>
        <v>1.2720687948572311E-4</v>
      </c>
      <c r="H381">
        <f t="shared" si="17"/>
        <v>1.6806337866151666E-11</v>
      </c>
    </row>
    <row r="382" spans="1:8" x14ac:dyDescent="0.25">
      <c r="A382">
        <v>2935</v>
      </c>
      <c r="B382">
        <v>1.3503000000000001</v>
      </c>
      <c r="C382">
        <f t="shared" si="16"/>
        <v>1.3502933333333333</v>
      </c>
      <c r="D382" s="1">
        <f>alpha*B382+(1-alpha)*D381</f>
        <v>1.3502676465437302</v>
      </c>
      <c r="E382">
        <f t="shared" si="15"/>
        <v>1.3502869015588701</v>
      </c>
      <c r="F382">
        <f>STDEV(B353:B382)</f>
        <v>1.2576204496595749E-4</v>
      </c>
      <c r="G382">
        <f>SQRT(alpha2*(B382-D382)^2+(1-alpha2)*G381^2)</f>
        <v>1.2083522558985202E-4</v>
      </c>
      <c r="H382">
        <f t="shared" si="17"/>
        <v>2.4273549164768311E-11</v>
      </c>
    </row>
    <row r="383" spans="1:8" x14ac:dyDescent="0.25">
      <c r="A383">
        <v>2936</v>
      </c>
      <c r="B383">
        <v>1.3502000000000001</v>
      </c>
      <c r="C383">
        <f t="shared" si="16"/>
        <v>1.3502866666666666</v>
      </c>
      <c r="D383" s="1">
        <f>alpha*B383+(1-alpha)*D382</f>
        <v>1.3502616265013294</v>
      </c>
      <c r="E383">
        <f t="shared" si="15"/>
        <v>1.350260831091209</v>
      </c>
      <c r="F383">
        <f>STDEV(B354:B383)</f>
        <v>1.2521246311584467E-4</v>
      </c>
      <c r="G383">
        <f>SQRT(alpha2*(B383-D383)^2+(1-alpha2)*G382^2)</f>
        <v>1.1607336909515621E-4</v>
      </c>
      <c r="H383">
        <f t="shared" si="17"/>
        <v>8.3523039518983562E-11</v>
      </c>
    </row>
    <row r="384" spans="1:8" x14ac:dyDescent="0.25">
      <c r="A384">
        <v>2937</v>
      </c>
      <c r="B384">
        <v>1.3503000000000001</v>
      </c>
      <c r="C384">
        <f t="shared" si="16"/>
        <v>1.3502766666666666</v>
      </c>
      <c r="D384" s="1">
        <f>alpha*B384+(1-alpha)*D383</f>
        <v>1.3502650414590838</v>
      </c>
      <c r="E384">
        <f t="shared" si="15"/>
        <v>1.3502725817638461</v>
      </c>
      <c r="F384">
        <f>STDEV(B355:B384)</f>
        <v>1.1043279539542544E-4</v>
      </c>
      <c r="G384">
        <f>SQRT(alpha2*(B384-D384)^2+(1-alpha2)*G383^2)</f>
        <v>1.1042526069385755E-4</v>
      </c>
      <c r="H384">
        <f t="shared" si="17"/>
        <v>5.6771727717249858E-17</v>
      </c>
    </row>
    <row r="385" spans="1:8" x14ac:dyDescent="0.25">
      <c r="A385">
        <v>2941</v>
      </c>
      <c r="B385">
        <v>1.3504</v>
      </c>
      <c r="C385">
        <f t="shared" si="16"/>
        <v>1.3502733333333334</v>
      </c>
      <c r="D385" s="1">
        <f>alpha*B385+(1-alpha)*D384</f>
        <v>1.3502770517717155</v>
      </c>
      <c r="E385">
        <f t="shared" si="15"/>
        <v>1.3503108072346921</v>
      </c>
      <c r="F385">
        <f>STDEV(B356:B385)</f>
        <v>1.0482607379428091E-4</v>
      </c>
      <c r="G385">
        <f>SQRT(alpha2*(B385-D385)^2+(1-alpha2)*G384^2)</f>
        <v>1.1179856817115176E-4</v>
      </c>
      <c r="H385">
        <f t="shared" si="17"/>
        <v>4.8615677835495601E-11</v>
      </c>
    </row>
    <row r="386" spans="1:8" x14ac:dyDescent="0.25">
      <c r="A386">
        <v>2947</v>
      </c>
      <c r="B386">
        <v>1.3505</v>
      </c>
      <c r="C386">
        <f t="shared" si="16"/>
        <v>1.3502766666666666</v>
      </c>
      <c r="D386" s="1">
        <f>alpha*B386+(1-alpha)*D385</f>
        <v>1.3502968925161709</v>
      </c>
      <c r="E386">
        <f t="shared" si="15"/>
        <v>1.3503675650642846</v>
      </c>
      <c r="F386">
        <f>STDEV(B357:B386)</f>
        <v>1.1043279539542543E-4</v>
      </c>
      <c r="G386">
        <f>SQRT(alpha2*(B386-D386)^2+(1-alpha2)*G385^2)</f>
        <v>1.2450499826057986E-4</v>
      </c>
      <c r="H386">
        <f t="shared" si="17"/>
        <v>1.9802689347806048E-10</v>
      </c>
    </row>
    <row r="387" spans="1:8" x14ac:dyDescent="0.25">
      <c r="A387">
        <v>2957</v>
      </c>
      <c r="B387">
        <v>1.3504</v>
      </c>
      <c r="C387">
        <f t="shared" si="16"/>
        <v>1.3502800000000001</v>
      </c>
      <c r="D387" s="1">
        <f>alpha*B387+(1-alpha)*D386</f>
        <v>1.3503060683201404</v>
      </c>
      <c r="E387">
        <f t="shared" si="15"/>
        <v>1.3503772955449991</v>
      </c>
      <c r="F387">
        <f>STDEV(B358:B387)</f>
        <v>1.1264836959499682E-4</v>
      </c>
      <c r="G387">
        <f>SQRT(alpha2*(B387-D387)^2+(1-alpha2)*G386^2)</f>
        <v>1.2167217158616296E-4</v>
      </c>
      <c r="H387">
        <f t="shared" si="17"/>
        <v>8.1429002375774041E-11</v>
      </c>
    </row>
    <row r="388" spans="1:8" x14ac:dyDescent="0.25">
      <c r="A388">
        <v>2960</v>
      </c>
      <c r="B388">
        <v>1.3505</v>
      </c>
      <c r="C388">
        <f t="shared" si="16"/>
        <v>1.3502800000000001</v>
      </c>
      <c r="D388" s="1">
        <f>alpha*B388+(1-alpha)*D387</f>
        <v>1.350323326806254</v>
      </c>
      <c r="E388">
        <f t="shared" ref="E388:E451" si="18">0.3*B388+(1-0.3)*E387</f>
        <v>1.3504141068814994</v>
      </c>
      <c r="F388">
        <f>STDEV(B359:B388)</f>
        <v>1.1264836959499677E-4</v>
      </c>
      <c r="G388">
        <f>SQRT(alpha2*(B388-D388)^2+(1-alpha2)*G387^2)</f>
        <v>1.2852096858082809E-4</v>
      </c>
      <c r="H388">
        <f t="shared" si="17"/>
        <v>2.519393985650132E-10</v>
      </c>
    </row>
    <row r="389" spans="1:8" x14ac:dyDescent="0.25">
      <c r="A389">
        <v>2967</v>
      </c>
      <c r="B389">
        <v>1.3504</v>
      </c>
      <c r="C389">
        <f t="shared" si="16"/>
        <v>1.3502833333333335</v>
      </c>
      <c r="D389" s="1">
        <f>alpha*B389+(1-alpha)*D388</f>
        <v>1.3503301501537881</v>
      </c>
      <c r="E389">
        <f t="shared" si="18"/>
        <v>1.3504098748170494</v>
      </c>
      <c r="F389">
        <f>STDEV(B360:B389)</f>
        <v>1.147210509898989E-4</v>
      </c>
      <c r="G389">
        <f>SQRT(alpha2*(B389-D389)^2+(1-alpha2)*G388^2)</f>
        <v>1.2370241761819816E-4</v>
      </c>
      <c r="H389">
        <f t="shared" si="17"/>
        <v>8.0664946511927755E-11</v>
      </c>
    </row>
    <row r="390" spans="1:8" x14ac:dyDescent="0.25">
      <c r="A390">
        <v>2968</v>
      </c>
      <c r="B390">
        <v>1.3505</v>
      </c>
      <c r="C390">
        <f t="shared" si="16"/>
        <v>1.3502933333333333</v>
      </c>
      <c r="D390" s="1">
        <f>alpha*B390+(1-alpha)*D389</f>
        <v>1.3503452655347015</v>
      </c>
      <c r="E390">
        <f t="shared" si="18"/>
        <v>1.3504369123719346</v>
      </c>
      <c r="F390">
        <f>STDEV(B361:B390)</f>
        <v>1.2015315896468235E-4</v>
      </c>
      <c r="G390">
        <f>SQRT(alpha2*(B390-D390)^2+(1-alpha2)*G389^2)</f>
        <v>1.2729712792651331E-4</v>
      </c>
      <c r="H390">
        <f t="shared" si="17"/>
        <v>5.103629252760413E-11</v>
      </c>
    </row>
    <row r="391" spans="1:8" x14ac:dyDescent="0.25">
      <c r="A391">
        <v>2974</v>
      </c>
      <c r="B391">
        <v>1.3504</v>
      </c>
      <c r="C391">
        <f t="shared" si="16"/>
        <v>1.3502966666666667</v>
      </c>
      <c r="D391" s="1">
        <f>alpha*B391+(1-alpha)*D390</f>
        <v>1.3503501364975581</v>
      </c>
      <c r="E391">
        <f t="shared" si="18"/>
        <v>1.3504258386603543</v>
      </c>
      <c r="F391">
        <f>STDEV(B362:B391)</f>
        <v>1.2172137016161019E-4</v>
      </c>
      <c r="G391">
        <f>SQRT(alpha2*(B391-D391)^2+(1-alpha2)*G390^2)</f>
        <v>1.2154033401101467E-4</v>
      </c>
      <c r="H391">
        <f t="shared" si="17"/>
        <v>3.277408782244677E-14</v>
      </c>
    </row>
    <row r="392" spans="1:8" x14ac:dyDescent="0.25">
      <c r="A392">
        <v>2975</v>
      </c>
      <c r="B392">
        <v>1.3505</v>
      </c>
      <c r="C392">
        <f t="shared" si="16"/>
        <v>1.3503066666666668</v>
      </c>
      <c r="D392" s="1">
        <f>alpha*B392+(1-alpha)*D391</f>
        <v>1.3503634732415997</v>
      </c>
      <c r="E392">
        <f t="shared" si="18"/>
        <v>1.3504480870622479</v>
      </c>
      <c r="F392">
        <f>STDEV(B363:B392)</f>
        <v>1.2576204496595749E-4</v>
      </c>
      <c r="G392">
        <f>SQRT(alpha2*(B392-D392)^2+(1-alpha2)*G391^2)</f>
        <v>1.2319055272171951E-4</v>
      </c>
      <c r="H392">
        <f t="shared" si="17"/>
        <v>6.6125723621760741E-12</v>
      </c>
    </row>
    <row r="393" spans="1:8" x14ac:dyDescent="0.25">
      <c r="A393">
        <v>2976</v>
      </c>
      <c r="B393">
        <v>1.3506</v>
      </c>
      <c r="C393">
        <f t="shared" si="16"/>
        <v>1.3503233333333333</v>
      </c>
      <c r="D393" s="1">
        <f>alpha*B393+(1-alpha)*D392</f>
        <v>1.3503845223748734</v>
      </c>
      <c r="E393">
        <f t="shared" si="18"/>
        <v>1.3504936609435734</v>
      </c>
      <c r="F393">
        <f>STDEV(B364:B393)</f>
        <v>1.3047217521657014E-4</v>
      </c>
      <c r="G393">
        <f>SQRT(alpha2*(B393-D393)^2+(1-alpha2)*G392^2)</f>
        <v>1.357926630181563E-4</v>
      </c>
      <c r="H393">
        <f t="shared" si="17"/>
        <v>2.8307590446827155E-11</v>
      </c>
    </row>
    <row r="394" spans="1:8" x14ac:dyDescent="0.25">
      <c r="A394">
        <v>2984</v>
      </c>
      <c r="B394">
        <v>1.3505</v>
      </c>
      <c r="C394">
        <f t="shared" si="16"/>
        <v>1.3503399999999999</v>
      </c>
      <c r="D394" s="1">
        <f>alpha*B394+(1-alpha)*D393</f>
        <v>1.3503947990299878</v>
      </c>
      <c r="E394">
        <f t="shared" si="18"/>
        <v>1.3504955626605013</v>
      </c>
      <c r="F394">
        <f>STDEV(B365:B394)</f>
        <v>1.191926866536744E-4</v>
      </c>
      <c r="G394">
        <f>SQRT(alpha2*(B394-D394)^2+(1-alpha2)*G393^2)</f>
        <v>1.3292777255621347E-4</v>
      </c>
      <c r="H394">
        <f t="shared" si="17"/>
        <v>1.8865258475012758E-10</v>
      </c>
    </row>
    <row r="395" spans="1:8" x14ac:dyDescent="0.25">
      <c r="A395">
        <v>2985</v>
      </c>
      <c r="B395">
        <v>1.3506</v>
      </c>
      <c r="C395">
        <f t="shared" si="16"/>
        <v>1.3503566666666666</v>
      </c>
      <c r="D395" s="1">
        <f>alpha*B395+(1-alpha)*D394</f>
        <v>1.3504130603996312</v>
      </c>
      <c r="E395">
        <f t="shared" si="18"/>
        <v>1.3505268938623507</v>
      </c>
      <c r="F395">
        <f>STDEV(B366:B395)</f>
        <v>1.1943352886057084E-4</v>
      </c>
      <c r="G395">
        <f>SQRT(alpha2*(B395-D395)^2+(1-alpha2)*G394^2)</f>
        <v>1.3954885800767202E-4</v>
      </c>
      <c r="H395">
        <f t="shared" si="17"/>
        <v>4.0462646669621837E-10</v>
      </c>
    </row>
    <row r="396" spans="1:8" x14ac:dyDescent="0.25">
      <c r="A396">
        <v>2992</v>
      </c>
      <c r="B396">
        <v>1.3505</v>
      </c>
      <c r="C396">
        <f t="shared" si="16"/>
        <v>1.3503666666666665</v>
      </c>
      <c r="D396" s="1">
        <f>alpha*B396+(1-alpha)*D395</f>
        <v>1.3504207973814735</v>
      </c>
      <c r="E396">
        <f t="shared" si="18"/>
        <v>1.3505188257036456</v>
      </c>
      <c r="F396">
        <f>STDEV(B367:B396)</f>
        <v>1.1841869998333894E-4</v>
      </c>
      <c r="G396">
        <f>SQRT(alpha2*(B396-D396)^2+(1-alpha2)*G395^2)</f>
        <v>1.3451915326284281E-4</v>
      </c>
      <c r="H396">
        <f t="shared" si="17"/>
        <v>2.5922459580548688E-10</v>
      </c>
    </row>
    <row r="397" spans="1:8" x14ac:dyDescent="0.25">
      <c r="A397">
        <v>2994</v>
      </c>
      <c r="B397">
        <v>1.3506</v>
      </c>
      <c r="C397">
        <f t="shared" si="16"/>
        <v>1.3503766666666666</v>
      </c>
      <c r="D397" s="1">
        <f>alpha*B397+(1-alpha)*D396</f>
        <v>1.3504367450899943</v>
      </c>
      <c r="E397">
        <f t="shared" si="18"/>
        <v>1.3505431779925519</v>
      </c>
      <c r="F397">
        <f>STDEV(B368:B397)</f>
        <v>1.2507469032908337E-4</v>
      </c>
      <c r="G397">
        <f>SQRT(alpha2*(B397-D397)^2+(1-alpha2)*G396^2)</f>
        <v>1.3780033599206638E-4</v>
      </c>
      <c r="H397">
        <f t="shared" si="17"/>
        <v>1.619420575397983E-10</v>
      </c>
    </row>
    <row r="398" spans="1:8" x14ac:dyDescent="0.25">
      <c r="A398">
        <v>3000</v>
      </c>
      <c r="B398">
        <v>1.3505</v>
      </c>
      <c r="C398">
        <f t="shared" si="16"/>
        <v>1.3503866666666666</v>
      </c>
      <c r="D398" s="1">
        <f>alpha*B398+(1-alpha)*D397</f>
        <v>1.3504423743094534</v>
      </c>
      <c r="E398">
        <f t="shared" si="18"/>
        <v>1.3505302245947863</v>
      </c>
      <c r="F398">
        <f>STDEV(B369:B398)</f>
        <v>1.2242755305536061E-4</v>
      </c>
      <c r="G398">
        <f>SQRT(alpha2*(B398-D398)^2+(1-alpha2)*G397^2)</f>
        <v>1.3173001855342961E-4</v>
      </c>
      <c r="H398">
        <f t="shared" si="17"/>
        <v>8.6535864342764229E-11</v>
      </c>
    </row>
    <row r="399" spans="1:8" x14ac:dyDescent="0.25">
      <c r="A399">
        <v>3008</v>
      </c>
      <c r="B399">
        <v>1.3506</v>
      </c>
      <c r="C399">
        <f t="shared" si="16"/>
        <v>1.3503966666666665</v>
      </c>
      <c r="D399" s="1">
        <f>alpha*B399+(1-alpha)*D398</f>
        <v>1.3504564018308642</v>
      </c>
      <c r="E399">
        <f t="shared" si="18"/>
        <v>1.3505511572163504</v>
      </c>
      <c r="F399">
        <f>STDEV(B370:B399)</f>
        <v>1.2726115785598923E-4</v>
      </c>
      <c r="G399">
        <f>SQRT(alpha2*(B399-D399)^2+(1-alpha2)*G398^2)</f>
        <v>1.3301885922137536E-4</v>
      </c>
      <c r="H399">
        <f t="shared" si="17"/>
        <v>3.3151125012969313E-11</v>
      </c>
    </row>
    <row r="400" spans="1:8" x14ac:dyDescent="0.25">
      <c r="A400">
        <v>3015</v>
      </c>
      <c r="B400">
        <v>1.3505</v>
      </c>
      <c r="C400">
        <f t="shared" si="16"/>
        <v>1.3503999999999998</v>
      </c>
      <c r="D400" s="1">
        <f>alpha*B400+(1-alpha)*D399</f>
        <v>1.3504602817456732</v>
      </c>
      <c r="E400">
        <f t="shared" si="18"/>
        <v>1.3505358100514453</v>
      </c>
      <c r="F400">
        <f>STDEV(B371:B400)</f>
        <v>1.2865350418052123E-4</v>
      </c>
      <c r="G400">
        <f>SQRT(alpha2*(B400-D400)^2+(1-alpha2)*G399^2)</f>
        <v>1.2653486700789064E-4</v>
      </c>
      <c r="H400">
        <f t="shared" si="17"/>
        <v>4.4886234692521181E-12</v>
      </c>
    </row>
    <row r="401" spans="1:8" x14ac:dyDescent="0.25">
      <c r="A401">
        <v>3024</v>
      </c>
      <c r="B401">
        <v>1.3506</v>
      </c>
      <c r="C401">
        <f t="shared" si="16"/>
        <v>1.3504099999999999</v>
      </c>
      <c r="D401" s="1">
        <f>alpha*B401+(1-alpha)*D400</f>
        <v>1.3504727156376184</v>
      </c>
      <c r="E401">
        <f t="shared" si="18"/>
        <v>1.3505550670360116</v>
      </c>
      <c r="F401">
        <f>STDEV(B372:B401)</f>
        <v>1.3222238320604346E-4</v>
      </c>
      <c r="G401">
        <f>SQRT(alpha2*(B401-D401)^2+(1-alpha2)*G400^2)</f>
        <v>1.2661333964684743E-4</v>
      </c>
      <c r="H401">
        <f t="shared" si="17"/>
        <v>3.1461369648958406E-11</v>
      </c>
    </row>
    <row r="402" spans="1:8" x14ac:dyDescent="0.25">
      <c r="A402">
        <v>3025</v>
      </c>
      <c r="B402">
        <v>1.3505</v>
      </c>
      <c r="C402">
        <f t="shared" si="16"/>
        <v>1.3504199999999997</v>
      </c>
      <c r="D402" s="1">
        <f>alpha*B402+(1-alpha)*D401</f>
        <v>1.3504751437442055</v>
      </c>
      <c r="E402">
        <f t="shared" si="18"/>
        <v>1.350538546925208</v>
      </c>
      <c r="F402">
        <f>STDEV(B373:B402)</f>
        <v>1.27035156686955E-4</v>
      </c>
      <c r="G402">
        <f>SQRT(alpha2*(B402-D402)^2+(1-alpha2)*G401^2)</f>
        <v>1.2008930979592289E-4</v>
      </c>
      <c r="H402">
        <f t="shared" si="17"/>
        <v>4.824478903366044E-11</v>
      </c>
    </row>
    <row r="403" spans="1:8" x14ac:dyDescent="0.25">
      <c r="A403">
        <v>3026</v>
      </c>
      <c r="B403">
        <v>1.3504</v>
      </c>
      <c r="C403">
        <f t="shared" si="16"/>
        <v>1.3504233333333333</v>
      </c>
      <c r="D403" s="1">
        <f>alpha*B403+(1-alpha)*D402</f>
        <v>1.350468456506376</v>
      </c>
      <c r="E403">
        <f t="shared" si="18"/>
        <v>1.3504969828476456</v>
      </c>
      <c r="F403">
        <f>STDEV(B374:B403)</f>
        <v>1.2507469032908337E-4</v>
      </c>
      <c r="G403">
        <f>SQRT(alpha2*(B403-D403)^2+(1-alpha2)*G402^2)</f>
        <v>1.1577936230804903E-4</v>
      </c>
      <c r="H403">
        <f t="shared" si="17"/>
        <v>8.6403123018626136E-11</v>
      </c>
    </row>
    <row r="404" spans="1:8" x14ac:dyDescent="0.25">
      <c r="A404">
        <v>3028</v>
      </c>
      <c r="B404">
        <v>1.3505</v>
      </c>
      <c r="C404">
        <f t="shared" si="16"/>
        <v>1.3504333333333334</v>
      </c>
      <c r="D404" s="1">
        <f>alpha*B404+(1-alpha)*D403</f>
        <v>1.3504712636441634</v>
      </c>
      <c r="E404">
        <f t="shared" si="18"/>
        <v>1.350497887993352</v>
      </c>
      <c r="F404">
        <f>STDEV(B375:B404)</f>
        <v>1.1841869998333896E-4</v>
      </c>
      <c r="G404">
        <f>SQRT(alpha2*(B404-D404)^2+(1-alpha2)*G403^2)</f>
        <v>1.099604688181814E-4</v>
      </c>
      <c r="H404">
        <f t="shared" si="17"/>
        <v>7.1541674443242472E-11</v>
      </c>
    </row>
    <row r="405" spans="1:8" x14ac:dyDescent="0.25">
      <c r="A405">
        <v>3046</v>
      </c>
      <c r="B405">
        <v>1.3504</v>
      </c>
      <c r="C405">
        <f t="shared" si="16"/>
        <v>1.3504366666666665</v>
      </c>
      <c r="D405" s="1">
        <f>alpha*B405+(1-alpha)*D404</f>
        <v>1.350464921706559</v>
      </c>
      <c r="E405">
        <f t="shared" si="18"/>
        <v>1.3504685215953462</v>
      </c>
      <c r="F405">
        <f>STDEV(B376:B405)</f>
        <v>1.1591713250935965E-4</v>
      </c>
      <c r="G405">
        <f>SQRT(alpha2*(B405-D405)^2+(1-alpha2)*G404^2)</f>
        <v>1.0615466454294053E-4</v>
      </c>
      <c r="H405">
        <f t="shared" si="17"/>
        <v>9.5305780795359477E-11</v>
      </c>
    </row>
    <row r="406" spans="1:8" x14ac:dyDescent="0.25">
      <c r="A406">
        <v>3055</v>
      </c>
      <c r="B406">
        <v>1.3505</v>
      </c>
      <c r="C406">
        <f t="shared" si="16"/>
        <v>1.3504399999999999</v>
      </c>
      <c r="D406" s="1">
        <f>alpha*B406+(1-alpha)*D405</f>
        <v>1.3504680434154035</v>
      </c>
      <c r="E406">
        <f t="shared" si="18"/>
        <v>1.3504779651167422</v>
      </c>
      <c r="F406">
        <f>STDEV(B377:B406)</f>
        <v>1.1626367179522318E-4</v>
      </c>
      <c r="G406">
        <f>SQRT(alpha2*(B406-D406)^2+(1-alpha2)*G405^2)</f>
        <v>1.0098871331785006E-4</v>
      </c>
      <c r="H406">
        <f t="shared" si="17"/>
        <v>2.333243564854728E-10</v>
      </c>
    </row>
    <row r="407" spans="1:8" x14ac:dyDescent="0.25">
      <c r="A407">
        <v>3061</v>
      </c>
      <c r="B407">
        <v>1.3504</v>
      </c>
      <c r="C407">
        <f t="shared" si="16"/>
        <v>1.3504433333333332</v>
      </c>
      <c r="D407" s="1">
        <f>alpha*B407+(1-alpha)*D406</f>
        <v>1.3504619880543574</v>
      </c>
      <c r="E407">
        <f t="shared" si="18"/>
        <v>1.3504545755817194</v>
      </c>
      <c r="F407">
        <f>STDEV(B378:B407)</f>
        <v>1.135123670410477E-4</v>
      </c>
      <c r="G407">
        <f>SQRT(alpha2*(B407-D407)^2+(1-alpha2)*G406^2)</f>
        <v>9.7647228858732863E-5</v>
      </c>
      <c r="H407">
        <f t="shared" si="17"/>
        <v>2.5170260954394396E-10</v>
      </c>
    </row>
    <row r="408" spans="1:8" x14ac:dyDescent="0.25">
      <c r="A408">
        <v>3064</v>
      </c>
      <c r="B408">
        <v>1.3505</v>
      </c>
      <c r="C408">
        <f t="shared" si="16"/>
        <v>1.3504466666666666</v>
      </c>
      <c r="D408" s="1">
        <f>alpha*B408+(1-alpha)*D407</f>
        <v>1.3504653708365646</v>
      </c>
      <c r="E408">
        <f t="shared" si="18"/>
        <v>1.3504682029072037</v>
      </c>
      <c r="F408">
        <f>STDEV(B379:B408)</f>
        <v>1.1366415543117456E-4</v>
      </c>
      <c r="G408">
        <f>SQRT(alpha2*(B408-D408)^2+(1-alpha2)*G407^2)</f>
        <v>9.3083429581200869E-5</v>
      </c>
      <c r="H408">
        <f t="shared" si="17"/>
        <v>4.2356627651177552E-10</v>
      </c>
    </row>
    <row r="409" spans="1:8" x14ac:dyDescent="0.25">
      <c r="A409">
        <v>3092</v>
      </c>
      <c r="B409">
        <v>1.3504</v>
      </c>
      <c r="C409">
        <f t="shared" si="16"/>
        <v>1.3504499999999997</v>
      </c>
      <c r="D409" s="1">
        <f>alpha*B409+(1-alpha)*D408</f>
        <v>1.3504595533152814</v>
      </c>
      <c r="E409">
        <f t="shared" si="18"/>
        <v>1.3504477420350425</v>
      </c>
      <c r="F409">
        <f>STDEV(B380:B409)</f>
        <v>1.106407669457426E-4</v>
      </c>
      <c r="G409">
        <f>SQRT(alpha2*(B409-D409)^2+(1-alpha2)*G408^2)</f>
        <v>9.0167018638341419E-5</v>
      </c>
      <c r="H409">
        <f t="shared" si="17"/>
        <v>4.1917436975481285E-10</v>
      </c>
    </row>
    <row r="410" spans="1:8" x14ac:dyDescent="0.25">
      <c r="A410">
        <v>3096</v>
      </c>
      <c r="B410">
        <v>1.3505</v>
      </c>
      <c r="C410">
        <f t="shared" si="16"/>
        <v>1.3504566666666664</v>
      </c>
      <c r="D410" s="1">
        <f>alpha*B410+(1-alpha)*D409</f>
        <v>1.3504631527712707</v>
      </c>
      <c r="E410">
        <f t="shared" si="18"/>
        <v>1.3504634194245297</v>
      </c>
      <c r="F410">
        <f>STDEV(B381:B410)</f>
        <v>1.072648457157994E-4</v>
      </c>
      <c r="G410">
        <f>SQRT(alpha2*(B410-D410)^2+(1-alpha2)*G409^2)</f>
        <v>8.6156219142458933E-5</v>
      </c>
      <c r="H410">
        <f t="shared" si="17"/>
        <v>4.4557411581273537E-10</v>
      </c>
    </row>
    <row r="411" spans="1:8" x14ac:dyDescent="0.25">
      <c r="A411">
        <v>3104</v>
      </c>
      <c r="B411">
        <v>1.3504</v>
      </c>
      <c r="C411">
        <f t="shared" si="16"/>
        <v>1.3504633333333331</v>
      </c>
      <c r="D411" s="1">
        <f>alpha*B411+(1-alpha)*D410</f>
        <v>1.3504575326414046</v>
      </c>
      <c r="E411">
        <f t="shared" si="18"/>
        <v>1.3504443935971708</v>
      </c>
      <c r="F411">
        <f>STDEV(B382:B411)</f>
        <v>9.6430547933269514E-5</v>
      </c>
      <c r="G411">
        <f>SQRT(alpha2*(B411-D411)^2+(1-alpha2)*G410^2)</f>
        <v>8.3626613168532471E-5</v>
      </c>
      <c r="H411">
        <f t="shared" si="17"/>
        <v>1.6394074545964184E-10</v>
      </c>
    </row>
    <row r="412" spans="1:8" x14ac:dyDescent="0.25">
      <c r="A412">
        <v>3105</v>
      </c>
      <c r="B412">
        <v>1.3505</v>
      </c>
      <c r="C412">
        <f t="shared" si="16"/>
        <v>1.3504699999999998</v>
      </c>
      <c r="D412" s="1">
        <f>alpha*B412+(1-alpha)*D411</f>
        <v>1.3504613119224336</v>
      </c>
      <c r="E412">
        <f t="shared" si="18"/>
        <v>1.3504610755180195</v>
      </c>
      <c r="F412">
        <f>STDEV(B383:B412)</f>
        <v>9.1538572988799301E-5</v>
      </c>
      <c r="G412">
        <f>SQRT(alpha2*(B412-D412)^2+(1-alpha2)*G411^2)</f>
        <v>8.0121344748982441E-5</v>
      </c>
      <c r="H412">
        <f t="shared" si="17"/>
        <v>1.3035310068007161E-10</v>
      </c>
    </row>
    <row r="413" spans="1:8" x14ac:dyDescent="0.25">
      <c r="A413">
        <v>3115</v>
      </c>
      <c r="B413">
        <v>1.3504</v>
      </c>
      <c r="C413">
        <f t="shared" si="16"/>
        <v>1.3504766666666665</v>
      </c>
      <c r="D413" s="1">
        <f>alpha*B413+(1-alpha)*D412</f>
        <v>1.3504558556145076</v>
      </c>
      <c r="E413">
        <f t="shared" si="18"/>
        <v>1.3504427528626135</v>
      </c>
      <c r="F413">
        <f>STDEV(B384:B413)</f>
        <v>7.7385436272758187E-5</v>
      </c>
      <c r="G413">
        <f>SQRT(alpha2*(B413-D413)^2+(1-alpha2)*G412^2)</f>
        <v>7.7941484894883785E-5</v>
      </c>
      <c r="H413">
        <f t="shared" si="17"/>
        <v>3.0919007016777687E-13</v>
      </c>
    </row>
    <row r="414" spans="1:8" x14ac:dyDescent="0.25">
      <c r="A414">
        <v>3132</v>
      </c>
      <c r="B414">
        <v>1.3505</v>
      </c>
      <c r="C414">
        <f t="shared" si="16"/>
        <v>1.350483333333333</v>
      </c>
      <c r="D414" s="1">
        <f>alpha*B414+(1-alpha)*D413</f>
        <v>1.3504597841385353</v>
      </c>
      <c r="E414">
        <f t="shared" si="18"/>
        <v>1.3504599270038296</v>
      </c>
      <c r="F414">
        <f>STDEV(B385:B414)</f>
        <v>6.9893186157616899E-5</v>
      </c>
      <c r="G414">
        <f>SQRT(alpha2*(B414-D414)^2+(1-alpha2)*G413^2)</f>
        <v>7.4895925177131459E-5</v>
      </c>
      <c r="H414">
        <f t="shared" si="17"/>
        <v>2.5027397697373505E-11</v>
      </c>
    </row>
    <row r="415" spans="1:8" x14ac:dyDescent="0.25">
      <c r="A415">
        <v>3133</v>
      </c>
      <c r="B415">
        <v>1.3504</v>
      </c>
      <c r="C415">
        <f t="shared" si="16"/>
        <v>1.3504833333333333</v>
      </c>
      <c r="D415" s="1">
        <f>alpha*B415+(1-alpha)*D414</f>
        <v>1.3504544637920841</v>
      </c>
      <c r="E415">
        <f t="shared" si="18"/>
        <v>1.3504419489026807</v>
      </c>
      <c r="F415">
        <f>STDEV(B386:B415)</f>
        <v>6.9893186157616899E-5</v>
      </c>
      <c r="G415">
        <f>SQRT(alpha2*(B415-D415)^2+(1-alpha2)*G414^2)</f>
        <v>7.3030113641377094E-5</v>
      </c>
      <c r="H415">
        <f t="shared" si="17"/>
        <v>9.8403140383700704E-12</v>
      </c>
    </row>
    <row r="416" spans="1:8" x14ac:dyDescent="0.25">
      <c r="A416">
        <v>3136</v>
      </c>
      <c r="B416">
        <v>1.3504</v>
      </c>
      <c r="C416">
        <f t="shared" ref="C416:C479" si="19">AVERAGE(B387:B416)</f>
        <v>1.3504799999999999</v>
      </c>
      <c r="D416" s="1">
        <f>alpha*B416+(1-alpha)*D415</f>
        <v>1.3504496169171432</v>
      </c>
      <c r="E416">
        <f t="shared" si="18"/>
        <v>1.3504293642318763</v>
      </c>
      <c r="F416">
        <f>STDEV(B387:B416)</f>
        <v>7.1438422965942818E-5</v>
      </c>
      <c r="G416">
        <f>SQRT(alpha2*(B416-D416)^2+(1-alpha2)*G415^2)</f>
        <v>7.0947433318464901E-5</v>
      </c>
      <c r="H416">
        <f t="shared" ref="H416:H479" si="20">(F416-G416)^2</f>
        <v>2.410708339304888E-13</v>
      </c>
    </row>
    <row r="417" spans="1:8" x14ac:dyDescent="0.25">
      <c r="A417">
        <v>3143</v>
      </c>
      <c r="B417">
        <v>1.3504</v>
      </c>
      <c r="C417">
        <f t="shared" si="19"/>
        <v>1.3504800000000001</v>
      </c>
      <c r="D417" s="1">
        <f>alpha*B417+(1-alpha)*D416</f>
        <v>1.3504452013782475</v>
      </c>
      <c r="E417">
        <f t="shared" si="18"/>
        <v>1.3504205549623134</v>
      </c>
      <c r="F417">
        <f>STDEV(B388:B417)</f>
        <v>7.1438422965942791E-5</v>
      </c>
      <c r="G417">
        <f>SQRT(alpha2*(B417-D417)^2+(1-alpha2)*G416^2)</f>
        <v>6.8711512917211891E-5</v>
      </c>
      <c r="H417">
        <f t="shared" si="20"/>
        <v>7.4360384138695584E-12</v>
      </c>
    </row>
    <row r="418" spans="1:8" x14ac:dyDescent="0.25">
      <c r="A418">
        <v>3150</v>
      </c>
      <c r="B418">
        <v>1.3503000000000001</v>
      </c>
      <c r="C418">
        <f t="shared" si="19"/>
        <v>1.3504733333333332</v>
      </c>
      <c r="D418" s="1">
        <f>alpha*B418+(1-alpha)*D417</f>
        <v>1.3504322795288006</v>
      </c>
      <c r="E418">
        <f t="shared" si="18"/>
        <v>1.3503843884736193</v>
      </c>
      <c r="F418">
        <f>STDEV(B389:B418)</f>
        <v>7.8491525276481468E-5</v>
      </c>
      <c r="G418">
        <f>SQRT(alpha2*(B418-D418)^2+(1-alpha2)*G417^2)</f>
        <v>7.7816796048818906E-5</v>
      </c>
      <c r="H418">
        <f t="shared" si="20"/>
        <v>4.5525953066211829E-13</v>
      </c>
    </row>
    <row r="419" spans="1:8" x14ac:dyDescent="0.25">
      <c r="A419">
        <v>3157</v>
      </c>
      <c r="B419">
        <v>1.3503000000000001</v>
      </c>
      <c r="C419">
        <f t="shared" si="19"/>
        <v>1.3504700000000001</v>
      </c>
      <c r="D419" s="1">
        <f>alpha*B419+(1-alpha)*D418</f>
        <v>1.3504205076284461</v>
      </c>
      <c r="E419">
        <f t="shared" si="18"/>
        <v>1.3503590719315335</v>
      </c>
      <c r="F419">
        <f>STDEV(B390:B419)</f>
        <v>8.3666002653398343E-5</v>
      </c>
      <c r="G419">
        <f>SQRT(alpha2*(B419-D419)^2+(1-alpha2)*G418^2)</f>
        <v>8.3304094807609491E-5</v>
      </c>
      <c r="H419">
        <f t="shared" si="20"/>
        <v>1.3097728884352765E-13</v>
      </c>
    </row>
    <row r="420" spans="1:8" x14ac:dyDescent="0.25">
      <c r="A420">
        <v>3159</v>
      </c>
      <c r="B420">
        <v>1.3503000000000001</v>
      </c>
      <c r="C420">
        <f t="shared" si="19"/>
        <v>1.3504633333333331</v>
      </c>
      <c r="D420" s="1">
        <f>alpha*B420+(1-alpha)*D419</f>
        <v>1.3504097833402142</v>
      </c>
      <c r="E420">
        <f t="shared" si="18"/>
        <v>1.3503413503520734</v>
      </c>
      <c r="F420">
        <f>STDEV(B391:B420)</f>
        <v>8.8991798666412589E-5</v>
      </c>
      <c r="G420">
        <f>SQRT(alpha2*(B420-D420)^2+(1-alpha2)*G419^2)</f>
        <v>8.6449241702074356E-5</v>
      </c>
      <c r="H420">
        <f t="shared" si="20"/>
        <v>6.4645959169048517E-12</v>
      </c>
    </row>
    <row r="421" spans="1:8" x14ac:dyDescent="0.25">
      <c r="A421">
        <v>3166</v>
      </c>
      <c r="B421">
        <v>1.3502000000000001</v>
      </c>
      <c r="C421">
        <f t="shared" si="19"/>
        <v>1.3504566666666666</v>
      </c>
      <c r="D421" s="1">
        <f>alpha*B421+(1-alpha)*D420</f>
        <v>1.3503911141734923</v>
      </c>
      <c r="E421">
        <f t="shared" si="18"/>
        <v>1.3502989452464513</v>
      </c>
      <c r="F421">
        <f>STDEV(B392:B421)</f>
        <v>1.0063019815943403E-4</v>
      </c>
      <c r="G421">
        <f>SQRT(alpha2*(B421-D421)^2+(1-alpha2)*G420^2)</f>
        <v>1.0250416809846674E-4</v>
      </c>
      <c r="H421">
        <f t="shared" si="20"/>
        <v>3.5117633323982605E-12</v>
      </c>
    </row>
    <row r="422" spans="1:8" x14ac:dyDescent="0.25">
      <c r="A422">
        <v>3185</v>
      </c>
      <c r="B422">
        <v>1.3503000000000001</v>
      </c>
      <c r="C422">
        <f t="shared" si="19"/>
        <v>1.3504499999999997</v>
      </c>
      <c r="D422" s="1">
        <f>alpha*B422+(1-alpha)*D421</f>
        <v>1.3503830056854975</v>
      </c>
      <c r="E422">
        <f t="shared" si="18"/>
        <v>1.3502992616725158</v>
      </c>
      <c r="F422">
        <f>STDEV(B393:B422)</f>
        <v>1.0422125006693618E-4</v>
      </c>
      <c r="G422">
        <f>SQRT(alpha2*(B422-D422)^2+(1-alpha2)*G421^2)</f>
        <v>1.0064485428264864E-4</v>
      </c>
      <c r="H422">
        <f t="shared" si="20"/>
        <v>1.2790606805869688E-11</v>
      </c>
    </row>
    <row r="423" spans="1:8" x14ac:dyDescent="0.25">
      <c r="A423">
        <v>3187</v>
      </c>
      <c r="B423">
        <v>1.3504</v>
      </c>
      <c r="C423">
        <f t="shared" si="19"/>
        <v>1.3504433333333332</v>
      </c>
      <c r="D423" s="1">
        <f>alpha*B423+(1-alpha)*D422</f>
        <v>1.3503845180538794</v>
      </c>
      <c r="E423">
        <f t="shared" si="18"/>
        <v>1.3503294831707611</v>
      </c>
      <c r="F423">
        <f>STDEV(B394:B423)</f>
        <v>1.0063019815943404E-4</v>
      </c>
      <c r="G423">
        <f>SQRT(alpha2*(B423-D423)^2+(1-alpha2)*G422^2)</f>
        <v>9.5376447380913311E-5</v>
      </c>
      <c r="H423">
        <f t="shared" si="20"/>
        <v>2.7601897242807195E-11</v>
      </c>
    </row>
    <row r="424" spans="1:8" x14ac:dyDescent="0.25">
      <c r="A424">
        <v>3190</v>
      </c>
      <c r="B424">
        <v>1.3505</v>
      </c>
      <c r="C424">
        <f t="shared" si="19"/>
        <v>1.3504433333333332</v>
      </c>
      <c r="D424" s="1">
        <f>alpha*B424+(1-alpha)*D423</f>
        <v>1.3503947950935304</v>
      </c>
      <c r="E424">
        <f t="shared" si="18"/>
        <v>1.3503806382195327</v>
      </c>
      <c r="F424">
        <f>STDEV(B395:B424)</f>
        <v>1.0063019815943404E-4</v>
      </c>
      <c r="G424">
        <f>SQRT(alpha2*(B424-D424)^2+(1-alpha2)*G423^2)</f>
        <v>9.6449616119119317E-5</v>
      </c>
      <c r="H424">
        <f t="shared" si="20"/>
        <v>1.7477266195802035E-11</v>
      </c>
    </row>
    <row r="425" spans="1:8" x14ac:dyDescent="0.25">
      <c r="A425">
        <v>3194</v>
      </c>
      <c r="B425">
        <v>1.3506</v>
      </c>
      <c r="C425">
        <f t="shared" si="19"/>
        <v>1.3504433333333334</v>
      </c>
      <c r="D425" s="1">
        <f>alpha*B425+(1-alpha)*D424</f>
        <v>1.3504130568134893</v>
      </c>
      <c r="E425">
        <f t="shared" si="18"/>
        <v>1.3504464467536728</v>
      </c>
      <c r="F425">
        <f>STDEV(B396:B425)</f>
        <v>1.0063019815943407E-4</v>
      </c>
      <c r="G425">
        <f>SQRT(alpha2*(B425-D425)^2+(1-alpha2)*G424^2)</f>
        <v>1.0945547647805279E-4</v>
      </c>
      <c r="H425">
        <f t="shared" si="20"/>
        <v>7.7885537401081646E-11</v>
      </c>
    </row>
    <row r="426" spans="1:8" x14ac:dyDescent="0.25">
      <c r="A426">
        <v>3196</v>
      </c>
      <c r="B426">
        <v>1.3505</v>
      </c>
      <c r="C426">
        <f t="shared" si="19"/>
        <v>1.3504433333333334</v>
      </c>
      <c r="D426" s="1">
        <f>alpha*B426+(1-alpha)*D425</f>
        <v>1.3504207941144717</v>
      </c>
      <c r="E426">
        <f t="shared" si="18"/>
        <v>1.3504625127275709</v>
      </c>
      <c r="F426">
        <f>STDEV(B397:B426)</f>
        <v>1.0063019815943407E-4</v>
      </c>
      <c r="G426">
        <f>SQRT(alpha2*(B426-D426)^2+(1-alpha2)*G425^2)</f>
        <v>1.0669846259811524E-4</v>
      </c>
      <c r="H426">
        <f t="shared" si="20"/>
        <v>3.6823833297762465E-11</v>
      </c>
    </row>
    <row r="427" spans="1:8" x14ac:dyDescent="0.25">
      <c r="A427">
        <v>3202</v>
      </c>
      <c r="B427">
        <v>1.3506</v>
      </c>
      <c r="C427">
        <f t="shared" si="19"/>
        <v>1.3504433333333334</v>
      </c>
      <c r="D427" s="1">
        <f>alpha*B427+(1-alpha)*D426</f>
        <v>1.3504367421137318</v>
      </c>
      <c r="E427">
        <f t="shared" si="18"/>
        <v>1.3505037589092996</v>
      </c>
      <c r="F427">
        <f>STDEV(B398:B427)</f>
        <v>1.0063019815943407E-4</v>
      </c>
      <c r="G427">
        <f>SQRT(alpha2*(B427-D427)^2+(1-alpha2)*G426^2)</f>
        <v>1.1392526110093255E-4</v>
      </c>
      <c r="H427">
        <f t="shared" si="20"/>
        <v>1.7675869861840612E-10</v>
      </c>
    </row>
    <row r="428" spans="1:8" x14ac:dyDescent="0.25">
      <c r="A428">
        <v>3206</v>
      </c>
      <c r="B428">
        <v>1.3505</v>
      </c>
      <c r="C428">
        <f t="shared" si="19"/>
        <v>1.3504433333333334</v>
      </c>
      <c r="D428" s="1">
        <f>alpha*B428+(1-alpha)*D427</f>
        <v>1.350442371598056</v>
      </c>
      <c r="E428">
        <f t="shared" si="18"/>
        <v>1.3505026312365098</v>
      </c>
      <c r="F428">
        <f>STDEV(B399:B428)</f>
        <v>1.0063019815943407E-4</v>
      </c>
      <c r="G428">
        <f>SQRT(alpha2*(B428-D428)^2+(1-alpha2)*G427^2)</f>
        <v>1.0940953699456667E-4</v>
      </c>
      <c r="H428">
        <f t="shared" si="20"/>
        <v>7.7076790382067528E-11</v>
      </c>
    </row>
    <row r="429" spans="1:8" x14ac:dyDescent="0.25">
      <c r="A429">
        <v>3207</v>
      </c>
      <c r="B429">
        <v>1.3506</v>
      </c>
      <c r="C429">
        <f t="shared" si="19"/>
        <v>1.3504433333333334</v>
      </c>
      <c r="D429" s="1">
        <f>alpha*B429+(1-alpha)*D428</f>
        <v>1.3504563993607612</v>
      </c>
      <c r="E429">
        <f t="shared" si="18"/>
        <v>1.3505318418655567</v>
      </c>
      <c r="F429">
        <f>STDEV(B400:B429)</f>
        <v>1.0063019815943407E-4</v>
      </c>
      <c r="G429">
        <f>SQRT(alpha2*(B429-D429)^2+(1-alpha2)*G428^2)</f>
        <v>1.1346270626732303E-4</v>
      </c>
      <c r="H429">
        <f t="shared" si="20"/>
        <v>1.6467326433903598E-10</v>
      </c>
    </row>
    <row r="430" spans="1:8" x14ac:dyDescent="0.25">
      <c r="A430">
        <v>3218</v>
      </c>
      <c r="B430">
        <v>1.3507</v>
      </c>
      <c r="C430">
        <f t="shared" si="19"/>
        <v>1.3504500000000002</v>
      </c>
      <c r="D430" s="1">
        <f>alpha*B430+(1-alpha)*D429</f>
        <v>1.350478078017145</v>
      </c>
      <c r="E430">
        <f t="shared" si="18"/>
        <v>1.3505822893058896</v>
      </c>
      <c r="F430">
        <f>STDEV(B401:B430)</f>
        <v>1.106407669457426E-4</v>
      </c>
      <c r="G430">
        <f>SQRT(alpha2*(B430-D430)^2+(1-alpha2)*G429^2)</f>
        <v>1.2912111881848123E-4</v>
      </c>
      <c r="H430">
        <f t="shared" si="20"/>
        <v>3.4152340534023412E-10</v>
      </c>
    </row>
    <row r="431" spans="1:8" x14ac:dyDescent="0.25">
      <c r="A431">
        <v>3225</v>
      </c>
      <c r="B431">
        <v>1.3508</v>
      </c>
      <c r="C431">
        <f t="shared" si="19"/>
        <v>1.3504566666666669</v>
      </c>
      <c r="D431" s="1">
        <f>alpha*B431+(1-alpha)*D430</f>
        <v>1.3505067266942192</v>
      </c>
      <c r="E431">
        <f t="shared" si="18"/>
        <v>1.3506476025141227</v>
      </c>
      <c r="F431">
        <f>STDEV(B402:B431)</f>
        <v>1.2507469032908337E-4</v>
      </c>
      <c r="G431">
        <f>SQRT(alpha2*(B431-D431)^2+(1-alpha2)*G430^2)</f>
        <v>1.5463730283531759E-4</v>
      </c>
      <c r="H431">
        <f t="shared" si="20"/>
        <v>8.7394805819375602E-10</v>
      </c>
    </row>
    <row r="432" spans="1:8" x14ac:dyDescent="0.25">
      <c r="A432">
        <v>3227</v>
      </c>
      <c r="B432">
        <v>1.3509</v>
      </c>
      <c r="C432">
        <f t="shared" si="19"/>
        <v>1.3504700000000003</v>
      </c>
      <c r="D432" s="1">
        <f>alpha*B432+(1-alpha)*D431</f>
        <v>1.3505417251116596</v>
      </c>
      <c r="E432">
        <f t="shared" si="18"/>
        <v>1.3507233217598857</v>
      </c>
      <c r="F432">
        <f>STDEV(B403:B432)</f>
        <v>1.4890404223223279E-4</v>
      </c>
      <c r="G432">
        <f>SQRT(alpha2*(B432-D432)^2+(1-alpha2)*G431^2)</f>
        <v>1.8660004544157328E-4</v>
      </c>
      <c r="H432">
        <f t="shared" si="20"/>
        <v>1.4209886579586089E-9</v>
      </c>
    </row>
    <row r="433" spans="1:8" x14ac:dyDescent="0.25">
      <c r="A433">
        <v>3228</v>
      </c>
      <c r="B433">
        <v>1.3508</v>
      </c>
      <c r="C433">
        <f t="shared" si="19"/>
        <v>1.3504833333333335</v>
      </c>
      <c r="D433" s="1">
        <f>alpha*B433+(1-alpha)*D432</f>
        <v>1.3505647096677524</v>
      </c>
      <c r="E433">
        <f t="shared" si="18"/>
        <v>1.3507463252319198</v>
      </c>
      <c r="F433">
        <f>STDEV(B404:B433)</f>
        <v>1.5992095748735538E-4</v>
      </c>
      <c r="G433">
        <f>SQRT(alpha2*(B433-D433)^2+(1-alpha2)*G432^2)</f>
        <v>1.9226192432939638E-4</v>
      </c>
      <c r="H433">
        <f t="shared" si="20"/>
        <v>1.0459381362779956E-9</v>
      </c>
    </row>
    <row r="434" spans="1:8" x14ac:dyDescent="0.25">
      <c r="A434">
        <v>3230</v>
      </c>
      <c r="B434">
        <v>1.3509</v>
      </c>
      <c r="C434">
        <f t="shared" si="19"/>
        <v>1.3504966666666671</v>
      </c>
      <c r="D434" s="1">
        <f>alpha*B434+(1-alpha)*D433</f>
        <v>1.3505945480291139</v>
      </c>
      <c r="E434">
        <f t="shared" si="18"/>
        <v>1.3507924276623438</v>
      </c>
      <c r="F434">
        <f>STDEV(B405:B434)</f>
        <v>1.7710961603466683E-4</v>
      </c>
      <c r="G434">
        <f>SQRT(alpha2*(B434-D434)^2+(1-alpha2)*G433^2)</f>
        <v>2.0699636641420105E-4</v>
      </c>
      <c r="H434">
        <f t="shared" si="20"/>
        <v>8.9321784824858865E-10</v>
      </c>
    </row>
    <row r="435" spans="1:8" x14ac:dyDescent="0.25">
      <c r="A435">
        <v>3231</v>
      </c>
      <c r="B435">
        <v>1.3508</v>
      </c>
      <c r="C435">
        <f t="shared" si="19"/>
        <v>1.3505100000000005</v>
      </c>
      <c r="D435" s="1">
        <f>alpha*B435+(1-alpha)*D434</f>
        <v>1.3506128317359798</v>
      </c>
      <c r="E435">
        <f t="shared" si="18"/>
        <v>1.3507946993636406</v>
      </c>
      <c r="F435">
        <f>STDEV(B406:B435)</f>
        <v>1.8448436995749311E-4</v>
      </c>
      <c r="G435">
        <f>SQRT(alpha2*(B435-D435)^2+(1-alpha2)*G434^2)</f>
        <v>2.0501552966965348E-4</v>
      </c>
      <c r="H435">
        <f t="shared" si="20"/>
        <v>4.2152851912623683E-10</v>
      </c>
    </row>
    <row r="436" spans="1:8" x14ac:dyDescent="0.25">
      <c r="A436">
        <v>3237</v>
      </c>
      <c r="B436">
        <v>1.3509</v>
      </c>
      <c r="C436">
        <f t="shared" si="19"/>
        <v>1.350523333333334</v>
      </c>
      <c r="D436" s="1">
        <f>alpha*B436+(1-alpha)*D435</f>
        <v>1.3506383875889505</v>
      </c>
      <c r="E436">
        <f t="shared" si="18"/>
        <v>1.3508262895545484</v>
      </c>
      <c r="F436">
        <f>STDEV(B407:B436)</f>
        <v>1.9771685315870239E-4</v>
      </c>
      <c r="G436">
        <f>SQRT(alpha2*(B436-D436)^2+(1-alpha2)*G435^2)</f>
        <v>2.11634515374161E-4</v>
      </c>
      <c r="H436">
        <f t="shared" si="20"/>
        <v>1.9370132154360433E-10</v>
      </c>
    </row>
    <row r="437" spans="1:8" x14ac:dyDescent="0.25">
      <c r="A437">
        <v>3239</v>
      </c>
      <c r="B437">
        <v>1.351</v>
      </c>
      <c r="C437">
        <f t="shared" si="19"/>
        <v>1.3505433333333339</v>
      </c>
      <c r="D437" s="1">
        <f>alpha*B437+(1-alpha)*D436</f>
        <v>1.3506705684207729</v>
      </c>
      <c r="E437">
        <f t="shared" si="18"/>
        <v>1.3508784026881839</v>
      </c>
      <c r="F437">
        <f>STDEV(B408:B437)</f>
        <v>2.1444930810593984E-4</v>
      </c>
      <c r="G437">
        <f>SQRT(alpha2*(B437-D437)^2+(1-alpha2)*G436^2)</f>
        <v>2.2681429696269617E-4</v>
      </c>
      <c r="H437">
        <f t="shared" si="20"/>
        <v>1.5289294942770825E-10</v>
      </c>
    </row>
    <row r="438" spans="1:8" x14ac:dyDescent="0.25">
      <c r="A438">
        <v>3241</v>
      </c>
      <c r="B438">
        <v>1.3509</v>
      </c>
      <c r="C438">
        <f t="shared" si="19"/>
        <v>1.3505566666666671</v>
      </c>
      <c r="D438" s="1">
        <f>alpha*B438+(1-alpha)*D437</f>
        <v>1.3506909861355423</v>
      </c>
      <c r="E438">
        <f t="shared" si="18"/>
        <v>1.3508848818817287</v>
      </c>
      <c r="F438">
        <f>STDEV(B409:B438)</f>
        <v>2.2388934048229753E-4</v>
      </c>
      <c r="G438">
        <f>SQRT(alpha2*(B438-D438)^2+(1-alpha2)*G437^2)</f>
        <v>2.2502136017528605E-4</v>
      </c>
      <c r="H438">
        <f t="shared" si="20"/>
        <v>1.2814685853138246E-12</v>
      </c>
    </row>
    <row r="439" spans="1:8" x14ac:dyDescent="0.25">
      <c r="A439">
        <v>3243</v>
      </c>
      <c r="B439">
        <v>1.351</v>
      </c>
      <c r="C439">
        <f t="shared" si="19"/>
        <v>1.3505766666666672</v>
      </c>
      <c r="D439" s="1">
        <f>alpha*B439+(1-alpha)*D438</f>
        <v>1.3507184860854862</v>
      </c>
      <c r="E439">
        <f t="shared" si="18"/>
        <v>1.3509194173172099</v>
      </c>
      <c r="F439">
        <f>STDEV(B410:B439)</f>
        <v>2.358891225998081E-4</v>
      </c>
      <c r="G439">
        <f>SQRT(alpha2*(B439-D439)^2+(1-alpha2)*G438^2)</f>
        <v>2.3156586490124772E-4</v>
      </c>
      <c r="H439">
        <f t="shared" si="20"/>
        <v>1.8690557128161649E-11</v>
      </c>
    </row>
    <row r="440" spans="1:8" x14ac:dyDescent="0.25">
      <c r="A440">
        <v>3246</v>
      </c>
      <c r="B440">
        <v>1.3511</v>
      </c>
      <c r="C440">
        <f t="shared" si="19"/>
        <v>1.3505966666666671</v>
      </c>
      <c r="D440" s="1">
        <f>alpha*B440+(1-alpha)*D439</f>
        <v>1.3507524380040203</v>
      </c>
      <c r="E440">
        <f t="shared" si="18"/>
        <v>1.3509735921220467</v>
      </c>
      <c r="F440">
        <f>STDEV(B411:B440)</f>
        <v>2.539119224609233E-4</v>
      </c>
      <c r="G440">
        <f>SQRT(alpha2*(B440-D440)^2+(1-alpha2)*G439^2)</f>
        <v>2.4624700406346327E-4</v>
      </c>
      <c r="H440">
        <f t="shared" si="20"/>
        <v>5.8750974039721133E-11</v>
      </c>
    </row>
    <row r="441" spans="1:8" x14ac:dyDescent="0.25">
      <c r="A441">
        <v>3248</v>
      </c>
      <c r="B441">
        <v>1.3512</v>
      </c>
      <c r="C441">
        <f t="shared" si="19"/>
        <v>1.3506233333333337</v>
      </c>
      <c r="D441" s="1">
        <f>alpha*B441+(1-alpha)*D440</f>
        <v>1.3507922677136284</v>
      </c>
      <c r="E441">
        <f t="shared" si="18"/>
        <v>1.3510415144854326</v>
      </c>
      <c r="F441">
        <f>STDEV(B412:B441)</f>
        <v>2.7377732372950328E-4</v>
      </c>
      <c r="G441">
        <f>SQRT(alpha2*(B441-D441)^2+(1-alpha2)*G440^2)</f>
        <v>2.6770428172200235E-4</v>
      </c>
      <c r="H441">
        <f t="shared" si="20"/>
        <v>3.6881839224870964E-11</v>
      </c>
    </row>
    <row r="442" spans="1:8" x14ac:dyDescent="0.25">
      <c r="A442">
        <v>3249</v>
      </c>
      <c r="B442">
        <v>1.3511</v>
      </c>
      <c r="C442">
        <f t="shared" si="19"/>
        <v>1.3506433333333336</v>
      </c>
      <c r="D442" s="1">
        <f>alpha*B442+(1-alpha)*D441</f>
        <v>1.3508196536125949</v>
      </c>
      <c r="E442">
        <f t="shared" si="18"/>
        <v>1.3510590601398027</v>
      </c>
      <c r="F442">
        <f>STDEV(B413:B442)</f>
        <v>2.8609539442749798E-4</v>
      </c>
      <c r="G442">
        <f>SQRT(alpha2*(B442-D442)^2+(1-alpha2)*G441^2)</f>
        <v>2.6905219660677544E-4</v>
      </c>
      <c r="H442">
        <f t="shared" si="20"/>
        <v>2.9047059195628145E-10</v>
      </c>
    </row>
    <row r="443" spans="1:8" x14ac:dyDescent="0.25">
      <c r="A443">
        <v>3250</v>
      </c>
      <c r="B443">
        <v>1.3512</v>
      </c>
      <c r="C443">
        <f t="shared" si="19"/>
        <v>1.3506700000000003</v>
      </c>
      <c r="D443" s="1">
        <f>alpha*B443+(1-alpha)*D442</f>
        <v>1.350853501629846</v>
      </c>
      <c r="E443">
        <f t="shared" si="18"/>
        <v>1.3511013420978619</v>
      </c>
      <c r="F443">
        <f>STDEV(B414:B443)</f>
        <v>2.9959743104645512E-4</v>
      </c>
      <c r="G443">
        <f>SQRT(alpha2*(B443-D443)^2+(1-alpha2)*G442^2)</f>
        <v>2.7814956638570661E-4</v>
      </c>
      <c r="H443">
        <f t="shared" si="20"/>
        <v>4.6001089850578459E-10</v>
      </c>
    </row>
    <row r="444" spans="1:8" x14ac:dyDescent="0.25">
      <c r="A444">
        <v>3251</v>
      </c>
      <c r="B444">
        <v>1.3511</v>
      </c>
      <c r="C444">
        <f t="shared" si="19"/>
        <v>1.3506900000000002</v>
      </c>
      <c r="D444" s="1">
        <f>alpha*B444+(1-alpha)*D443</f>
        <v>1.3508754381628632</v>
      </c>
      <c r="E444">
        <f t="shared" si="18"/>
        <v>1.3511009394685032</v>
      </c>
      <c r="F444">
        <f>STDEV(B415:B444)</f>
        <v>3.0777286743800797E-4</v>
      </c>
      <c r="G444">
        <f>SQRT(alpha2*(B444-D444)^2+(1-alpha2)*G443^2)</f>
        <v>2.7304594967824552E-4</v>
      </c>
      <c r="H444">
        <f t="shared" si="20"/>
        <v>1.2059588170933049E-9</v>
      </c>
    </row>
    <row r="445" spans="1:8" x14ac:dyDescent="0.25">
      <c r="A445">
        <v>3252</v>
      </c>
      <c r="B445">
        <v>1.3512</v>
      </c>
      <c r="C445">
        <f t="shared" si="19"/>
        <v>1.3507166666666668</v>
      </c>
      <c r="D445" s="1">
        <f>alpha*B445+(1-alpha)*D444</f>
        <v>1.3509043217674568</v>
      </c>
      <c r="E445">
        <f t="shared" si="18"/>
        <v>1.3511306576279523</v>
      </c>
      <c r="F445">
        <f>STDEV(B416:B445)</f>
        <v>3.163186230122181E-4</v>
      </c>
      <c r="G445">
        <f>SQRT(alpha2*(B445-D445)^2+(1-alpha2)*G444^2)</f>
        <v>2.7549625186292344E-4</v>
      </c>
      <c r="H445">
        <f t="shared" si="20"/>
        <v>1.6664659862507649E-9</v>
      </c>
    </row>
    <row r="446" spans="1:8" x14ac:dyDescent="0.25">
      <c r="A446">
        <v>3256</v>
      </c>
      <c r="B446">
        <v>1.3511</v>
      </c>
      <c r="C446">
        <f t="shared" si="19"/>
        <v>1.3507399999999998</v>
      </c>
      <c r="D446" s="1">
        <f>alpha*B446+(1-alpha)*D445</f>
        <v>1.3509217356838501</v>
      </c>
      <c r="E446">
        <f t="shared" si="18"/>
        <v>1.3511214603395665</v>
      </c>
      <c r="F446">
        <f>STDEV(B417:B446)</f>
        <v>3.1796768432631615E-4</v>
      </c>
      <c r="G446">
        <f>SQRT(alpha2*(B446-D446)^2+(1-alpha2)*G445^2)</f>
        <v>2.6700375149044174E-4</v>
      </c>
      <c r="H446">
        <f t="shared" si="20"/>
        <v>2.5973224500995183E-9</v>
      </c>
    </row>
    <row r="447" spans="1:8" x14ac:dyDescent="0.25">
      <c r="A447">
        <v>3259</v>
      </c>
      <c r="B447">
        <v>1.351</v>
      </c>
      <c r="C447">
        <f t="shared" si="19"/>
        <v>1.35076</v>
      </c>
      <c r="D447" s="1">
        <f>alpha*B447+(1-alpha)*D446</f>
        <v>1.3509287006295179</v>
      </c>
      <c r="E447">
        <f t="shared" si="18"/>
        <v>1.3510850222376964</v>
      </c>
      <c r="F447">
        <f>STDEV(B418:B447)</f>
        <v>3.1469744638080381E-4</v>
      </c>
      <c r="G447">
        <f>SQRT(alpha2*(B447-D447)^2+(1-alpha2)*G446^2)</f>
        <v>2.5372696434013684E-4</v>
      </c>
      <c r="H447">
        <f t="shared" si="20"/>
        <v>3.7173996802712931E-9</v>
      </c>
    </row>
    <row r="448" spans="1:8" x14ac:dyDescent="0.25">
      <c r="A448">
        <v>3266</v>
      </c>
      <c r="B448">
        <v>1.351</v>
      </c>
      <c r="C448">
        <f t="shared" si="19"/>
        <v>1.350783333333333</v>
      </c>
      <c r="D448" s="1">
        <f>alpha*B448+(1-alpha)*D447</f>
        <v>1.3509350457465006</v>
      </c>
      <c r="E448">
        <f t="shared" si="18"/>
        <v>1.3510595155663876</v>
      </c>
      <c r="F448">
        <f>STDEV(B419:B448)</f>
        <v>3.0522273758717484E-4</v>
      </c>
      <c r="G448">
        <f>SQRT(alpha2*(B448-D448)^2+(1-alpha2)*G447^2)</f>
        <v>2.4102989498725642E-4</v>
      </c>
      <c r="H448">
        <f t="shared" si="20"/>
        <v>4.1207210410579002E-9</v>
      </c>
    </row>
    <row r="449" spans="1:8" x14ac:dyDescent="0.25">
      <c r="A449">
        <v>3270</v>
      </c>
      <c r="B449">
        <v>1.3509</v>
      </c>
      <c r="C449">
        <f t="shared" si="19"/>
        <v>1.3508033333333331</v>
      </c>
      <c r="D449" s="1">
        <f>alpha*B449+(1-alpha)*D448</f>
        <v>1.3509319269340934</v>
      </c>
      <c r="E449">
        <f t="shared" si="18"/>
        <v>1.3510116608964713</v>
      </c>
      <c r="F449">
        <f>STDEV(B420:B449)</f>
        <v>2.9182343898359359E-4</v>
      </c>
      <c r="G449">
        <f>SQRT(alpha2*(B449-D449)^2+(1-alpha2)*G448^2)</f>
        <v>2.28331572601198E-4</v>
      </c>
      <c r="H449">
        <f t="shared" si="20"/>
        <v>4.0312170967199745E-9</v>
      </c>
    </row>
    <row r="450" spans="1:8" x14ac:dyDescent="0.25">
      <c r="A450">
        <v>3277</v>
      </c>
      <c r="B450">
        <v>1.351</v>
      </c>
      <c r="C450">
        <f t="shared" si="19"/>
        <v>1.3508266666666664</v>
      </c>
      <c r="D450" s="1">
        <f>alpha*B450+(1-alpha)*D449</f>
        <v>1.3509379849338152</v>
      </c>
      <c r="E450">
        <f t="shared" si="18"/>
        <v>1.3510081626275299</v>
      </c>
      <c r="F450">
        <f>STDEV(B421:B450)</f>
        <v>2.7784060592151317E-4</v>
      </c>
      <c r="G450">
        <f>SQRT(alpha2*(B450-D450)^2+(1-alpha2)*G449^2)</f>
        <v>2.1700861438900756E-4</v>
      </c>
      <c r="H450">
        <f t="shared" si="20"/>
        <v>3.7005311938108343E-9</v>
      </c>
    </row>
    <row r="451" spans="1:8" x14ac:dyDescent="0.25">
      <c r="A451">
        <v>3281</v>
      </c>
      <c r="B451">
        <v>1.3511</v>
      </c>
      <c r="C451">
        <f t="shared" si="19"/>
        <v>1.3508566666666664</v>
      </c>
      <c r="D451" s="1">
        <f>alpha*B451+(1-alpha)*D450</f>
        <v>1.3509524030772149</v>
      </c>
      <c r="E451">
        <f t="shared" si="18"/>
        <v>1.3510357138392708</v>
      </c>
      <c r="F451">
        <f>STDEV(B422:B451)</f>
        <v>2.555363977493191E-4</v>
      </c>
      <c r="G451">
        <f>SQRT(alpha2*(B451-D451)^2+(1-alpha2)*G450^2)</f>
        <v>2.1083166772140508E-4</v>
      </c>
      <c r="H451">
        <f t="shared" si="20"/>
        <v>1.9985128868686778E-9</v>
      </c>
    </row>
    <row r="452" spans="1:8" x14ac:dyDescent="0.25">
      <c r="A452">
        <v>3287</v>
      </c>
      <c r="B452">
        <v>1.351</v>
      </c>
      <c r="C452">
        <f t="shared" si="19"/>
        <v>1.3508799999999996</v>
      </c>
      <c r="D452" s="1">
        <f>alpha*B452+(1-alpha)*D451</f>
        <v>1.3509566388515428</v>
      </c>
      <c r="E452">
        <f t="shared" ref="E452:E502" si="21">0.3*B452+(1-0.3)*E451</f>
        <v>1.3510249996874895</v>
      </c>
      <c r="F452">
        <f>STDEV(B423:B452)</f>
        <v>2.3400559969719345E-4</v>
      </c>
      <c r="G452">
        <f>SQRT(alpha2*(B452-D452)^2+(1-alpha2)*G451^2)</f>
        <v>2.0001172484539911E-4</v>
      </c>
      <c r="H452">
        <f t="shared" si="20"/>
        <v>1.1555835274394561E-9</v>
      </c>
    </row>
    <row r="453" spans="1:8" x14ac:dyDescent="0.25">
      <c r="A453">
        <v>3288</v>
      </c>
      <c r="B453">
        <v>1.3511</v>
      </c>
      <c r="C453">
        <f t="shared" si="19"/>
        <v>1.3509033333333329</v>
      </c>
      <c r="D453" s="1">
        <f>alpha*B453+(1-alpha)*D452</f>
        <v>1.3509693969341401</v>
      </c>
      <c r="E453">
        <f t="shared" si="21"/>
        <v>1.3510474997812425</v>
      </c>
      <c r="F453">
        <f>STDEV(B424:B453)</f>
        <v>2.1890532252522897E-4</v>
      </c>
      <c r="G453">
        <f>SQRT(alpha2*(B453-D453)^2+(1-alpha2)*G452^2)</f>
        <v>1.9392890729932801E-4</v>
      </c>
      <c r="H453">
        <f t="shared" si="20"/>
        <v>6.2382131753661716E-10</v>
      </c>
    </row>
    <row r="454" spans="1:8" x14ac:dyDescent="0.25">
      <c r="A454">
        <v>3289</v>
      </c>
      <c r="B454">
        <v>1.351</v>
      </c>
      <c r="C454">
        <f t="shared" si="19"/>
        <v>1.3509199999999997</v>
      </c>
      <c r="D454" s="1">
        <f>alpha*B454+(1-alpha)*D453</f>
        <v>1.3509721203808074</v>
      </c>
      <c r="E454">
        <f t="shared" si="21"/>
        <v>1.3510332498468696</v>
      </c>
      <c r="F454">
        <f>STDEV(B425:B454)</f>
        <v>2.0577858874576229E-4</v>
      </c>
      <c r="G454">
        <f>SQRT(alpha2*(B454-D454)^2+(1-alpha2)*G453^2)</f>
        <v>1.8374539832446328E-4</v>
      </c>
      <c r="H454">
        <f t="shared" si="20"/>
        <v>4.8546148014122224E-10</v>
      </c>
    </row>
    <row r="455" spans="1:8" x14ac:dyDescent="0.25">
      <c r="A455">
        <v>3291</v>
      </c>
      <c r="B455">
        <v>1.3511</v>
      </c>
      <c r="C455">
        <f t="shared" si="19"/>
        <v>1.3509366666666662</v>
      </c>
      <c r="D455" s="1">
        <f>alpha*B455+(1-alpha)*D454</f>
        <v>1.3509835007217277</v>
      </c>
      <c r="E455">
        <f t="shared" si="21"/>
        <v>1.3510532748928086</v>
      </c>
      <c r="F455">
        <f>STDEV(B426:B455)</f>
        <v>1.9910720268466125E-4</v>
      </c>
      <c r="G455">
        <f>SQRT(alpha2*(B455-D455)^2+(1-alpha2)*G454^2)</f>
        <v>1.7791577770608771E-4</v>
      </c>
      <c r="H455">
        <f t="shared" si="20"/>
        <v>4.4907649262251052E-10</v>
      </c>
    </row>
    <row r="456" spans="1:8" x14ac:dyDescent="0.25">
      <c r="A456">
        <v>3293</v>
      </c>
      <c r="B456">
        <v>1.3512</v>
      </c>
      <c r="C456">
        <f t="shared" si="19"/>
        <v>1.3509599999999997</v>
      </c>
      <c r="D456" s="1">
        <f>alpha*B456+(1-alpha)*D455</f>
        <v>1.3510027675572978</v>
      </c>
      <c r="E456">
        <f t="shared" si="21"/>
        <v>1.351097292424966</v>
      </c>
      <c r="F456">
        <f>STDEV(B427:B456)</f>
        <v>1.8680618759594193E-4</v>
      </c>
      <c r="G456">
        <f>SQRT(alpha2*(B456-D456)^2+(1-alpha2)*G455^2)</f>
        <v>1.8002983924378811E-4</v>
      </c>
      <c r="H456">
        <f t="shared" si="20"/>
        <v>4.5918896989737814E-11</v>
      </c>
    </row>
    <row r="457" spans="1:8" x14ac:dyDescent="0.25">
      <c r="A457">
        <v>3294</v>
      </c>
      <c r="B457">
        <v>1.3511</v>
      </c>
      <c r="C457">
        <f t="shared" si="19"/>
        <v>1.3509766666666665</v>
      </c>
      <c r="D457" s="1">
        <f>alpha*B457+(1-alpha)*D456</f>
        <v>1.3510114205260308</v>
      </c>
      <c r="E457">
        <f t="shared" si="21"/>
        <v>1.3510981046974762</v>
      </c>
      <c r="F457">
        <f>STDEV(B428:B457)</f>
        <v>1.7554512797003562E-4</v>
      </c>
      <c r="G457">
        <f>SQRT(alpha2*(B457-D457)^2+(1-alpha2)*G456^2)</f>
        <v>1.7275888434077684E-4</v>
      </c>
      <c r="H457">
        <f t="shared" si="20"/>
        <v>7.7631535615851707E-12</v>
      </c>
    </row>
    <row r="458" spans="1:8" x14ac:dyDescent="0.25">
      <c r="A458">
        <v>3301</v>
      </c>
      <c r="B458">
        <v>1.351</v>
      </c>
      <c r="C458">
        <f t="shared" si="19"/>
        <v>1.3509933333333328</v>
      </c>
      <c r="D458" s="1">
        <f>alpha*B458+(1-alpha)*D457</f>
        <v>1.3510104041836259</v>
      </c>
      <c r="E458">
        <f t="shared" si="21"/>
        <v>1.3510686732882333</v>
      </c>
      <c r="F458">
        <f>STDEV(B429:B458)</f>
        <v>1.507071454117419E-4</v>
      </c>
      <c r="G458">
        <f>SQRT(alpha2*(B458-D458)^2+(1-alpha2)*G457^2)</f>
        <v>1.6352473926501402E-4</v>
      </c>
      <c r="H458">
        <f t="shared" si="20"/>
        <v>1.6429071218743929E-10</v>
      </c>
    </row>
    <row r="459" spans="1:8" x14ac:dyDescent="0.25">
      <c r="A459">
        <v>3304</v>
      </c>
      <c r="B459">
        <v>1.3509</v>
      </c>
      <c r="C459">
        <f t="shared" si="19"/>
        <v>1.3510033333333331</v>
      </c>
      <c r="D459" s="1">
        <f>alpha*B459+(1-alpha)*D458</f>
        <v>1.3510005790273061</v>
      </c>
      <c r="E459">
        <f t="shared" si="21"/>
        <v>1.3510180713017632</v>
      </c>
      <c r="F459">
        <f>STDEV(B430:B459)</f>
        <v>1.325696520462896E-4</v>
      </c>
      <c r="G459">
        <f>SQRT(alpha2*(B459-D459)^2+(1-alpha2)*G458^2)</f>
        <v>1.5812772586866632E-4</v>
      </c>
      <c r="H459">
        <f t="shared" si="20"/>
        <v>6.5321513751005815E-10</v>
      </c>
    </row>
    <row r="460" spans="1:8" x14ac:dyDescent="0.25">
      <c r="A460">
        <v>3305</v>
      </c>
      <c r="B460">
        <v>1.351</v>
      </c>
      <c r="C460">
        <f t="shared" si="19"/>
        <v>1.3510133333333332</v>
      </c>
      <c r="D460" s="1">
        <f>alpha*B460+(1-alpha)*D459</f>
        <v>1.3510005274981556</v>
      </c>
      <c r="E460">
        <f t="shared" si="21"/>
        <v>1.351012649911234</v>
      </c>
      <c r="F460">
        <f>STDEV(B431:B460)</f>
        <v>1.1957780134585806E-4</v>
      </c>
      <c r="G460">
        <f>SQRT(alpha2*(B460-D460)^2+(1-alpha2)*G459^2)</f>
        <v>1.4964409028336772E-4</v>
      </c>
      <c r="H460">
        <f t="shared" si="20"/>
        <v>9.0398173047381533E-10</v>
      </c>
    </row>
    <row r="461" spans="1:8" x14ac:dyDescent="0.25">
      <c r="A461">
        <v>3306</v>
      </c>
      <c r="B461">
        <v>1.3511</v>
      </c>
      <c r="C461">
        <f t="shared" si="19"/>
        <v>1.3510233333333332</v>
      </c>
      <c r="D461" s="1">
        <f>alpha*B461+(1-alpha)*D460</f>
        <v>1.3510093798155955</v>
      </c>
      <c r="E461">
        <f t="shared" si="21"/>
        <v>1.3510388549378636</v>
      </c>
      <c r="F461">
        <f>STDEV(B432:B461)</f>
        <v>1.135123670410477E-4</v>
      </c>
      <c r="G461">
        <f>SQRT(alpha2*(B461-D461)^2+(1-alpha2)*G460^2)</f>
        <v>1.4461149430600428E-4</v>
      </c>
      <c r="H461">
        <f t="shared" si="20"/>
        <v>9.6715571664196596E-10</v>
      </c>
    </row>
    <row r="462" spans="1:8" x14ac:dyDescent="0.25">
      <c r="A462">
        <v>3309</v>
      </c>
      <c r="B462">
        <v>1.3512</v>
      </c>
      <c r="C462">
        <f t="shared" si="19"/>
        <v>1.3510333333333331</v>
      </c>
      <c r="D462" s="1">
        <f>alpha*B462+(1-alpha)*D461</f>
        <v>1.3510263436030898</v>
      </c>
      <c r="E462">
        <f t="shared" si="21"/>
        <v>1.3510871984565045</v>
      </c>
      <c r="F462">
        <f>STDEV(B433:B462)</f>
        <v>1.154700538379124E-4</v>
      </c>
      <c r="G462">
        <f>SQRT(alpha2*(B462-D462)^2+(1-alpha2)*G461^2)</f>
        <v>1.4791140748188127E-4</v>
      </c>
      <c r="H462">
        <f t="shared" si="20"/>
        <v>1.0524414262530523E-9</v>
      </c>
    </row>
    <row r="463" spans="1:8" x14ac:dyDescent="0.25">
      <c r="A463">
        <v>3311</v>
      </c>
      <c r="B463">
        <v>1.3512999999999999</v>
      </c>
      <c r="C463">
        <f t="shared" si="19"/>
        <v>1.3510499999999999</v>
      </c>
      <c r="D463" s="1">
        <f>alpha*B463+(1-alpha)*D462</f>
        <v>1.3510506969997571</v>
      </c>
      <c r="E463">
        <f t="shared" si="21"/>
        <v>1.3511510389195531</v>
      </c>
      <c r="F463">
        <f>STDEV(B434:B463)</f>
        <v>1.1670771035012817E-4</v>
      </c>
      <c r="G463">
        <f>SQRT(alpha2*(B463-D463)^2+(1-alpha2)*G462^2)</f>
        <v>1.6150347054045368E-4</v>
      </c>
      <c r="H463">
        <f t="shared" si="20"/>
        <v>2.0066601310291514E-9</v>
      </c>
    </row>
    <row r="464" spans="1:8" x14ac:dyDescent="0.25">
      <c r="A464">
        <v>3314</v>
      </c>
      <c r="B464">
        <v>1.3512</v>
      </c>
      <c r="C464">
        <f t="shared" si="19"/>
        <v>1.3510599999999999</v>
      </c>
      <c r="D464" s="1">
        <f>alpha*B464+(1-alpha)*D463</f>
        <v>1.3510639838632459</v>
      </c>
      <c r="E464">
        <f t="shared" si="21"/>
        <v>1.3511657272436872</v>
      </c>
      <c r="F464">
        <f>STDEV(B435:B464)</f>
        <v>1.1626367179522312E-4</v>
      </c>
      <c r="G464">
        <f>SQRT(alpha2*(B464-D464)^2+(1-alpha2)*G463^2)</f>
        <v>1.590331002974725E-4</v>
      </c>
      <c r="H464">
        <f t="shared" si="20"/>
        <v>1.829224014409021E-9</v>
      </c>
    </row>
    <row r="465" spans="1:8" x14ac:dyDescent="0.25">
      <c r="A465">
        <v>3316</v>
      </c>
      <c r="B465">
        <v>1.3512999999999999</v>
      </c>
      <c r="C465">
        <f t="shared" si="19"/>
        <v>1.3510766666666665</v>
      </c>
      <c r="D465" s="1">
        <f>alpha*B465+(1-alpha)*D464</f>
        <v>1.3510849875549673</v>
      </c>
      <c r="E465">
        <f t="shared" si="21"/>
        <v>1.3512060090705809</v>
      </c>
      <c r="F465">
        <f>STDEV(B436:B465)</f>
        <v>1.1351236704104771E-4</v>
      </c>
      <c r="G465">
        <f>SQRT(alpha2*(B465-D465)^2+(1-alpha2)*G464^2)</f>
        <v>1.6576501238049475E-4</v>
      </c>
      <c r="H465">
        <f t="shared" si="20"/>
        <v>2.7303389449700367E-9</v>
      </c>
    </row>
    <row r="466" spans="1:8" x14ac:dyDescent="0.25">
      <c r="A466">
        <v>3317</v>
      </c>
      <c r="B466">
        <v>1.3512</v>
      </c>
      <c r="C466">
        <f t="shared" si="19"/>
        <v>1.3510866666666665</v>
      </c>
      <c r="D466" s="1">
        <f>alpha*B466+(1-alpha)*D465</f>
        <v>1.3510952228124917</v>
      </c>
      <c r="E466">
        <f t="shared" si="21"/>
        <v>1.3512042063494065</v>
      </c>
      <c r="F466">
        <f>STDEV(B437:B466)</f>
        <v>1.1058881072454199E-4</v>
      </c>
      <c r="G466">
        <f>SQRT(alpha2*(B466-D466)^2+(1-alpha2)*G465^2)</f>
        <v>1.6048385902529261E-4</v>
      </c>
      <c r="H466">
        <f t="shared" si="20"/>
        <v>2.489515844934237E-9</v>
      </c>
    </row>
    <row r="467" spans="1:8" x14ac:dyDescent="0.25">
      <c r="A467">
        <v>3318</v>
      </c>
      <c r="B467">
        <v>1.3512999999999999</v>
      </c>
      <c r="C467">
        <f t="shared" si="19"/>
        <v>1.3510966666666664</v>
      </c>
      <c r="D467" s="1">
        <f>alpha*B467+(1-alpha)*D466</f>
        <v>1.3511134464686245</v>
      </c>
      <c r="E467">
        <f t="shared" si="21"/>
        <v>1.3512329444445845</v>
      </c>
      <c r="F467">
        <f>STDEV(B438:B467)</f>
        <v>1.1591713250935965E-4</v>
      </c>
      <c r="G467">
        <f>SQRT(alpha2*(B467-D467)^2+(1-alpha2)*G466^2)</f>
        <v>1.6340075645269721E-4</v>
      </c>
      <c r="H467">
        <f t="shared" si="20"/>
        <v>2.2546945427922993E-9</v>
      </c>
    </row>
    <row r="468" spans="1:8" x14ac:dyDescent="0.25">
      <c r="A468">
        <v>3321</v>
      </c>
      <c r="B468">
        <v>1.3513999999999999</v>
      </c>
      <c r="C468">
        <f t="shared" si="19"/>
        <v>1.3511133333333329</v>
      </c>
      <c r="D468" s="1">
        <f>alpha*B468+(1-alpha)*D467</f>
        <v>1.3511389476149334</v>
      </c>
      <c r="E468">
        <f t="shared" si="21"/>
        <v>1.351283061111209</v>
      </c>
      <c r="F468">
        <f>STDEV(B439:B468)</f>
        <v>1.2242755305536061E-4</v>
      </c>
      <c r="G468">
        <f>SQRT(alpha2*(B468-D468)^2+(1-alpha2)*G467^2)</f>
        <v>1.7614772984968154E-4</v>
      </c>
      <c r="H468">
        <f t="shared" si="20"/>
        <v>2.8858573948130972E-9</v>
      </c>
    </row>
    <row r="469" spans="1:8" x14ac:dyDescent="0.25">
      <c r="A469">
        <v>3322</v>
      </c>
      <c r="B469">
        <v>1.3513999999999999</v>
      </c>
      <c r="C469">
        <f t="shared" si="19"/>
        <v>1.3511266666666661</v>
      </c>
      <c r="D469" s="1">
        <f>alpha*B469+(1-alpha)*D468</f>
        <v>1.3511621793477055</v>
      </c>
      <c r="E469">
        <f t="shared" si="21"/>
        <v>1.3513181427778462</v>
      </c>
      <c r="F469">
        <f>STDEV(B440:B469)</f>
        <v>1.3113124074318365E-4</v>
      </c>
      <c r="G469">
        <f>SQRT(alpha2*(B469-D469)^2+(1-alpha2)*G468^2)</f>
        <v>1.8355933656421928E-4</v>
      </c>
      <c r="H469">
        <f t="shared" si="20"/>
        <v>2.7487052314196936E-9</v>
      </c>
    </row>
    <row r="470" spans="1:8" x14ac:dyDescent="0.25">
      <c r="A470">
        <v>3323</v>
      </c>
      <c r="B470">
        <v>1.3514999999999999</v>
      </c>
      <c r="C470">
        <f t="shared" si="19"/>
        <v>1.3511399999999996</v>
      </c>
      <c r="D470" s="1">
        <f>alpha*B470+(1-alpha)*D469</f>
        <v>1.3511922428888492</v>
      </c>
      <c r="E470">
        <f t="shared" si="21"/>
        <v>1.3513726999444922</v>
      </c>
      <c r="F470">
        <f>STDEV(B441:B470)</f>
        <v>1.4762487408384489E-4</v>
      </c>
      <c r="G470">
        <f>SQRT(alpha2*(B470-D470)^2+(1-alpha2)*G469^2)</f>
        <v>2.0016496984137547E-4</v>
      </c>
      <c r="H470">
        <f t="shared" si="20"/>
        <v>2.7604616622104824E-9</v>
      </c>
    </row>
    <row r="471" spans="1:8" x14ac:dyDescent="0.25">
      <c r="A471">
        <v>3324</v>
      </c>
      <c r="B471">
        <v>1.3515999999999999</v>
      </c>
      <c r="C471">
        <f t="shared" si="19"/>
        <v>1.3511533333333328</v>
      </c>
      <c r="D471" s="1">
        <f>alpha*B471+(1-alpha)*D470</f>
        <v>1.3512285302579146</v>
      </c>
      <c r="E471">
        <f t="shared" si="21"/>
        <v>1.3514408899611445</v>
      </c>
      <c r="F471">
        <f>STDEV(B442:B471)</f>
        <v>1.6965143440418051E-4</v>
      </c>
      <c r="G471">
        <f>SQRT(alpha2*(B471-D471)^2+(1-alpha2)*G470^2)</f>
        <v>2.242578627601728E-4</v>
      </c>
      <c r="H471">
        <f t="shared" si="20"/>
        <v>2.981862017798119E-9</v>
      </c>
    </row>
    <row r="472" spans="1:8" x14ac:dyDescent="0.25">
      <c r="A472">
        <v>3326</v>
      </c>
      <c r="B472">
        <v>1.3516999999999999</v>
      </c>
      <c r="C472">
        <f t="shared" si="19"/>
        <v>1.3511733333333329</v>
      </c>
      <c r="D472" s="1">
        <f>alpha*B472+(1-alpha)*D471</f>
        <v>1.3512704875802182</v>
      </c>
      <c r="E472">
        <f t="shared" si="21"/>
        <v>1.3515186229728011</v>
      </c>
      <c r="F472">
        <f>STDEV(B443:B472)</f>
        <v>1.9640446187311954E-4</v>
      </c>
      <c r="G472">
        <f>SQRT(alpha2*(B472-D472)^2+(1-alpha2)*G471^2)</f>
        <v>2.5358263607564281E-4</v>
      </c>
      <c r="H472">
        <f t="shared" si="20"/>
        <v>3.2693436051340976E-9</v>
      </c>
    </row>
    <row r="473" spans="1:8" x14ac:dyDescent="0.25">
      <c r="A473">
        <v>3336</v>
      </c>
      <c r="B473">
        <v>1.3517999999999999</v>
      </c>
      <c r="C473">
        <f t="shared" si="19"/>
        <v>1.3511933333333326</v>
      </c>
      <c r="D473" s="1">
        <f>alpha*B473+(1-alpha)*D472</f>
        <v>1.3513176102718301</v>
      </c>
      <c r="E473">
        <f t="shared" si="21"/>
        <v>1.3516030360809608</v>
      </c>
      <c r="F473">
        <f>STDEV(B444:B473)</f>
        <v>2.2732831086234916E-4</v>
      </c>
      <c r="G473">
        <f>SQRT(alpha2*(B473-D473)^2+(1-alpha2)*G472^2)</f>
        <v>2.8616197790712084E-4</v>
      </c>
      <c r="H473">
        <f t="shared" si="20"/>
        <v>3.4614003779350537E-9</v>
      </c>
    </row>
    <row r="474" spans="1:8" x14ac:dyDescent="0.25">
      <c r="A474">
        <v>3338</v>
      </c>
      <c r="B474">
        <v>1.3516999999999999</v>
      </c>
      <c r="C474">
        <f t="shared" si="19"/>
        <v>1.3512133333333329</v>
      </c>
      <c r="D474" s="1">
        <f>alpha*B474+(1-alpha)*D473</f>
        <v>1.3513516401313062</v>
      </c>
      <c r="E474">
        <f t="shared" si="21"/>
        <v>1.3516321252566725</v>
      </c>
      <c r="F474">
        <f>STDEV(B445:B474)</f>
        <v>2.4457328544632553E-4</v>
      </c>
      <c r="G474">
        <f>SQRT(alpha2*(B474-D474)^2+(1-alpha2)*G473^2)</f>
        <v>2.9327437722581292E-4</v>
      </c>
      <c r="H474">
        <f t="shared" si="20"/>
        <v>2.3717963405140545E-9</v>
      </c>
    </row>
    <row r="475" spans="1:8" x14ac:dyDescent="0.25">
      <c r="A475">
        <v>3340</v>
      </c>
      <c r="B475">
        <v>1.3517999999999999</v>
      </c>
      <c r="C475">
        <f t="shared" si="19"/>
        <v>1.3512333333333328</v>
      </c>
      <c r="D475" s="1">
        <f>alpha*B475+(1-alpha)*D474</f>
        <v>1.3513915408456885</v>
      </c>
      <c r="E475">
        <f t="shared" si="21"/>
        <v>1.3516824876796707</v>
      </c>
      <c r="F475">
        <f>STDEV(B446:B475)</f>
        <v>2.6695386832948541E-4</v>
      </c>
      <c r="G475">
        <f>SQRT(alpha2*(B475-D475)^2+(1-alpha2)*G474^2)</f>
        <v>3.0732773476535905E-4</v>
      </c>
      <c r="H475">
        <f t="shared" si="20"/>
        <v>1.6300490909817638E-9</v>
      </c>
    </row>
    <row r="476" spans="1:8" x14ac:dyDescent="0.25">
      <c r="A476">
        <v>3341</v>
      </c>
      <c r="B476">
        <v>1.3516999999999999</v>
      </c>
      <c r="C476">
        <f t="shared" si="19"/>
        <v>1.3512533333333328</v>
      </c>
      <c r="D476" s="1">
        <f>alpha*B476+(1-alpha)*D475</f>
        <v>1.3514189914305292</v>
      </c>
      <c r="E476">
        <f t="shared" si="21"/>
        <v>1.3516877413757693</v>
      </c>
      <c r="F476">
        <f>STDEV(B447:B476)</f>
        <v>2.7883171705665857E-4</v>
      </c>
      <c r="G476">
        <f>SQRT(alpha2*(B476-D476)^2+(1-alpha2)*G475^2)</f>
        <v>3.0468571276337465E-4</v>
      </c>
      <c r="H476">
        <f t="shared" si="20"/>
        <v>6.6842909400289337E-10</v>
      </c>
    </row>
    <row r="477" spans="1:8" x14ac:dyDescent="0.25">
      <c r="A477">
        <v>3342</v>
      </c>
      <c r="B477">
        <v>1.3515999999999999</v>
      </c>
      <c r="C477">
        <f t="shared" si="19"/>
        <v>1.3512733333333327</v>
      </c>
      <c r="D477" s="1">
        <f>alpha*B477+(1-alpha)*D476</f>
        <v>1.3514350998553359</v>
      </c>
      <c r="E477">
        <f t="shared" si="21"/>
        <v>1.3516614189630385</v>
      </c>
      <c r="F477">
        <f>STDEV(B448:B477)</f>
        <v>2.8153928290040539E-4</v>
      </c>
      <c r="G477">
        <f>SQRT(alpha2*(B477-D477)^2+(1-alpha2)*G476^2)</f>
        <v>2.93221528268063E-4</v>
      </c>
      <c r="H477">
        <f t="shared" si="20"/>
        <v>1.3647485683015785E-10</v>
      </c>
    </row>
    <row r="478" spans="1:8" x14ac:dyDescent="0.25">
      <c r="A478">
        <v>3343</v>
      </c>
      <c r="B478">
        <v>1.3515999999999999</v>
      </c>
      <c r="C478">
        <f t="shared" si="19"/>
        <v>1.3512933333333328</v>
      </c>
      <c r="D478" s="1">
        <f>alpha*B478+(1-alpha)*D477</f>
        <v>1.3514497747493959</v>
      </c>
      <c r="E478">
        <f t="shared" si="21"/>
        <v>1.351642993274127</v>
      </c>
      <c r="F478">
        <f>STDEV(B449:B478)</f>
        <v>2.8276142415203698E-4</v>
      </c>
      <c r="G478">
        <f>SQRT(alpha2*(B478-D478)^2+(1-alpha2)*G477^2)</f>
        <v>2.8170413551498863E-4</v>
      </c>
      <c r="H478">
        <f t="shared" si="20"/>
        <v>1.1178592620315462E-12</v>
      </c>
    </row>
    <row r="479" spans="1:8" x14ac:dyDescent="0.25">
      <c r="A479">
        <v>3348</v>
      </c>
      <c r="B479">
        <v>1.3514999999999999</v>
      </c>
      <c r="C479">
        <f t="shared" si="19"/>
        <v>1.3513133333333329</v>
      </c>
      <c r="D479" s="1">
        <f>alpha*B479+(1-alpha)*D478</f>
        <v>1.3514542444254731</v>
      </c>
      <c r="E479">
        <f t="shared" si="21"/>
        <v>1.3516000952918887</v>
      </c>
      <c r="F479">
        <f>STDEV(B450:B479)</f>
        <v>2.7509663923705712E-4</v>
      </c>
      <c r="G479">
        <f>SQRT(alpha2*(B479-D479)^2+(1-alpha2)*G478^2)</f>
        <v>2.6700010050577226E-4</v>
      </c>
      <c r="H479">
        <f t="shared" si="20"/>
        <v>6.5553939427195994E-11</v>
      </c>
    </row>
    <row r="480" spans="1:8" x14ac:dyDescent="0.25">
      <c r="A480">
        <v>3350</v>
      </c>
      <c r="B480">
        <v>1.3515999999999999</v>
      </c>
      <c r="C480">
        <f t="shared" ref="C480:C502" si="22">AVERAGE(B451:B480)</f>
        <v>1.3513333333333328</v>
      </c>
      <c r="D480" s="1">
        <f>alpha*B480+(1-alpha)*D479</f>
        <v>1.3514672155942928</v>
      </c>
      <c r="E480">
        <f t="shared" si="21"/>
        <v>1.351600066704322</v>
      </c>
      <c r="F480">
        <f>STDEV(B451:B480)</f>
        <v>2.7333613679523687E-4</v>
      </c>
      <c r="G480">
        <f>SQRT(alpha2*(B480-D480)^2+(1-alpha2)*G479^2)</f>
        <v>2.5629269771858812E-4</v>
      </c>
      <c r="H480">
        <f t="shared" ref="H480:H502" si="23">(F480-G480)^2</f>
        <v>2.9047881555943735E-10</v>
      </c>
    </row>
    <row r="481" spans="1:8" x14ac:dyDescent="0.25">
      <c r="A481">
        <v>3353</v>
      </c>
      <c r="B481">
        <v>1.3516999999999999</v>
      </c>
      <c r="C481">
        <f t="shared" si="22"/>
        <v>1.351353333333333</v>
      </c>
      <c r="D481" s="1">
        <f>alpha*B481+(1-alpha)*D480</f>
        <v>1.3514879316858375</v>
      </c>
      <c r="E481">
        <f t="shared" si="21"/>
        <v>1.3516300466930253</v>
      </c>
      <c r="F481">
        <f>STDEV(B452:B481)</f>
        <v>2.7759227522456542E-4</v>
      </c>
      <c r="G481">
        <f>SQRT(alpha2*(B481-D481)^2+(1-alpha2)*G480^2)</f>
        <v>2.5203773214759758E-4</v>
      </c>
      <c r="H481">
        <f t="shared" si="23"/>
        <v>6.5303467187260506E-10</v>
      </c>
    </row>
    <row r="482" spans="1:8" x14ac:dyDescent="0.25">
      <c r="A482">
        <v>3355</v>
      </c>
      <c r="B482">
        <v>1.3517999999999999</v>
      </c>
      <c r="C482">
        <f t="shared" si="22"/>
        <v>1.3513799999999996</v>
      </c>
      <c r="D482" s="1">
        <f>alpha*B482+(1-alpha)*D481</f>
        <v>1.3515157034592289</v>
      </c>
      <c r="E482">
        <f t="shared" si="21"/>
        <v>1.3516810326851176</v>
      </c>
      <c r="F482">
        <f>STDEV(B453:B482)</f>
        <v>2.8088529994309166E-4</v>
      </c>
      <c r="G482">
        <f>SQRT(alpha2*(B482-D482)^2+(1-alpha2)*G481^2)</f>
        <v>2.5559676813221167E-4</v>
      </c>
      <c r="H482">
        <f t="shared" si="23"/>
        <v>6.3950984114988942E-10</v>
      </c>
    </row>
    <row r="483" spans="1:8" x14ac:dyDescent="0.25">
      <c r="A483">
        <v>3357</v>
      </c>
      <c r="B483">
        <v>1.3519000000000001</v>
      </c>
      <c r="C483">
        <f t="shared" si="22"/>
        <v>1.3514066666666666</v>
      </c>
      <c r="D483" s="1">
        <f>alpha*B483+(1-alpha)*D482</f>
        <v>1.351549903010933</v>
      </c>
      <c r="E483">
        <f t="shared" si="21"/>
        <v>1.3517467228795823</v>
      </c>
      <c r="F483">
        <f>STDEV(B454:B483)</f>
        <v>2.9117281671782344E-4</v>
      </c>
      <c r="G483">
        <f>SQRT(alpha2*(B483-D483)^2+(1-alpha2)*G482^2)</f>
        <v>2.6703321805003323E-4</v>
      </c>
      <c r="H483">
        <f t="shared" si="23"/>
        <v>5.8272022384197878E-10</v>
      </c>
    </row>
    <row r="484" spans="1:8" x14ac:dyDescent="0.25">
      <c r="A484">
        <v>3358</v>
      </c>
      <c r="B484">
        <v>1.3520000000000001</v>
      </c>
      <c r="C484">
        <f t="shared" si="22"/>
        <v>1.35144</v>
      </c>
      <c r="D484" s="1">
        <f>alpha*B484+(1-alpha)*D483</f>
        <v>1.351589958316189</v>
      </c>
      <c r="E484">
        <f t="shared" si="21"/>
        <v>1.3518227060157075</v>
      </c>
      <c r="F484">
        <f>STDEV(B455:B484)</f>
        <v>3.0011492051751967E-4</v>
      </c>
      <c r="G484">
        <f>SQRT(alpha2*(B484-D484)^2+(1-alpha2)*G483^2)</f>
        <v>2.8533810187228621E-4</v>
      </c>
      <c r="H484">
        <f t="shared" si="23"/>
        <v>2.18354369274119E-10</v>
      </c>
    </row>
    <row r="485" spans="1:8" x14ac:dyDescent="0.25">
      <c r="A485">
        <v>3363</v>
      </c>
      <c r="B485">
        <v>1.3521000000000001</v>
      </c>
      <c r="C485">
        <f t="shared" si="22"/>
        <v>1.3514733333333335</v>
      </c>
      <c r="D485" s="1">
        <f>alpha*B485+(1-alpha)*D484</f>
        <v>1.351635348256212</v>
      </c>
      <c r="E485">
        <f t="shared" si="21"/>
        <v>1.3519058942109952</v>
      </c>
      <c r="F485">
        <f>STDEV(B456:B485)</f>
        <v>3.1615506162088871E-4</v>
      </c>
      <c r="G485">
        <f>SQRT(alpha2*(B485-D485)^2+(1-alpha2)*G484^2)</f>
        <v>3.0896780696907582E-4</v>
      </c>
      <c r="H485">
        <f t="shared" si="23"/>
        <v>5.1656629430006156E-11</v>
      </c>
    </row>
    <row r="486" spans="1:8" x14ac:dyDescent="0.25">
      <c r="A486">
        <v>3365</v>
      </c>
      <c r="B486">
        <v>1.3521000000000001</v>
      </c>
      <c r="C486">
        <f t="shared" si="22"/>
        <v>1.3515033333333335</v>
      </c>
      <c r="D486" s="1">
        <f>alpha*B486+(1-alpha)*D485</f>
        <v>1.3516766988270605</v>
      </c>
      <c r="E486">
        <f t="shared" si="21"/>
        <v>1.3519641259476964</v>
      </c>
      <c r="F486">
        <f>STDEV(B457:B486)</f>
        <v>3.3164515034466308E-4</v>
      </c>
      <c r="G486">
        <f>SQRT(alpha2*(B486-D486)^2+(1-alpha2)*G485^2)</f>
        <v>3.228060704958421E-4</v>
      </c>
      <c r="H486">
        <f t="shared" si="23"/>
        <v>7.812933257383319E-11</v>
      </c>
    </row>
    <row r="487" spans="1:8" x14ac:dyDescent="0.25">
      <c r="A487">
        <v>3366</v>
      </c>
      <c r="B487">
        <v>1.3520000000000001</v>
      </c>
      <c r="C487">
        <f t="shared" si="22"/>
        <v>1.3515333333333335</v>
      </c>
      <c r="D487" s="1">
        <f>alpha*B487+(1-alpha)*D486</f>
        <v>1.3517054702418585</v>
      </c>
      <c r="E487">
        <f t="shared" si="21"/>
        <v>1.3519748881633875</v>
      </c>
      <c r="F487">
        <f>STDEV(B458:B487)</f>
        <v>3.3459531226321505E-4</v>
      </c>
      <c r="G487">
        <f>SQRT(alpha2*(B487-D487)^2+(1-alpha2)*G486^2)</f>
        <v>3.1997021535455834E-4</v>
      </c>
      <c r="H487">
        <f t="shared" si="23"/>
        <v>2.1389345958759999E-10</v>
      </c>
    </row>
    <row r="488" spans="1:8" x14ac:dyDescent="0.25">
      <c r="A488">
        <v>3367</v>
      </c>
      <c r="B488">
        <v>1.3521000000000001</v>
      </c>
      <c r="C488">
        <f t="shared" si="22"/>
        <v>1.3515700000000002</v>
      </c>
      <c r="D488" s="1">
        <f>alpha*B488+(1-alpha)*D487</f>
        <v>1.3517405804742724</v>
      </c>
      <c r="E488">
        <f t="shared" si="21"/>
        <v>1.3520124217143712</v>
      </c>
      <c r="F488">
        <f>STDEV(B459:B488)</f>
        <v>3.3440631902958192E-4</v>
      </c>
      <c r="G488">
        <f>SQRT(alpha2*(B488-D488)^2+(1-alpha2)*G487^2)</f>
        <v>3.2431412178471287E-4</v>
      </c>
      <c r="H488">
        <f t="shared" si="23"/>
        <v>1.0185244522934243E-10</v>
      </c>
    </row>
    <row r="489" spans="1:8" x14ac:dyDescent="0.25">
      <c r="A489">
        <v>3374</v>
      </c>
      <c r="B489">
        <v>1.3522000000000001</v>
      </c>
      <c r="C489">
        <f t="shared" si="22"/>
        <v>1.3516133333333336</v>
      </c>
      <c r="D489" s="1">
        <f>alpha*B489+(1-alpha)*D488</f>
        <v>1.351781465416386</v>
      </c>
      <c r="E489">
        <f t="shared" si="21"/>
        <v>1.3520686952000598</v>
      </c>
      <c r="F489">
        <f>STDEV(B460:B489)</f>
        <v>3.2877340832709125E-4</v>
      </c>
      <c r="G489">
        <f>SQRT(alpha2*(B489-D489)^2+(1-alpha2)*G488^2)</f>
        <v>3.3539295668938353E-4</v>
      </c>
      <c r="H489">
        <f t="shared" si="23"/>
        <v>4.381842052072649E-11</v>
      </c>
    </row>
    <row r="490" spans="1:8" x14ac:dyDescent="0.25">
      <c r="A490">
        <v>3377</v>
      </c>
      <c r="B490">
        <v>1.3521000000000001</v>
      </c>
      <c r="C490">
        <f t="shared" si="22"/>
        <v>1.3516500000000002</v>
      </c>
      <c r="D490" s="1">
        <f>alpha*B490+(1-alpha)*D489</f>
        <v>1.3518098126399647</v>
      </c>
      <c r="E490">
        <f t="shared" si="21"/>
        <v>1.3520780866400417</v>
      </c>
      <c r="F490">
        <f>STDEV(B461:B490)</f>
        <v>3.1921239281106555E-4</v>
      </c>
      <c r="G490">
        <f>SQRT(alpha2*(B490-D490)^2+(1-alpha2)*G489^2)</f>
        <v>3.3096126270088156E-4</v>
      </c>
      <c r="H490">
        <f t="shared" si="23"/>
        <v>1.3803594368782517E-10</v>
      </c>
    </row>
    <row r="491" spans="1:8" x14ac:dyDescent="0.25">
      <c r="A491">
        <v>3380</v>
      </c>
      <c r="B491">
        <v>1.3520000000000001</v>
      </c>
      <c r="C491">
        <f t="shared" si="22"/>
        <v>1.3516800000000004</v>
      </c>
      <c r="D491" s="1">
        <f>alpha*B491+(1-alpha)*D490</f>
        <v>1.3518267379092892</v>
      </c>
      <c r="E491">
        <f t="shared" si="21"/>
        <v>1.352054660648029</v>
      </c>
      <c r="F491">
        <f>STDEV(B462:B491)</f>
        <v>3.0782888215644431E-4</v>
      </c>
      <c r="G491">
        <f>SQRT(alpha2*(B491-D491)^2+(1-alpha2)*G490^2)</f>
        <v>3.1816981790769099E-4</v>
      </c>
      <c r="H491">
        <f t="shared" si="23"/>
        <v>1.0693495221141182E-10</v>
      </c>
    </row>
    <row r="492" spans="1:8" x14ac:dyDescent="0.25">
      <c r="A492">
        <v>3382</v>
      </c>
      <c r="B492">
        <v>1.3521000000000001</v>
      </c>
      <c r="C492">
        <f t="shared" si="22"/>
        <v>1.3517100000000002</v>
      </c>
      <c r="D492" s="1">
        <f>alpha*B492+(1-alpha)*D491</f>
        <v>1.351851056215619</v>
      </c>
      <c r="E492">
        <f t="shared" si="21"/>
        <v>1.3520682624536202</v>
      </c>
      <c r="F492">
        <f>STDEV(B463:B492)</f>
        <v>3.0325816929047871E-4</v>
      </c>
      <c r="G492">
        <f>SQRT(alpha2*(B492-D492)^2+(1-alpha2)*G491^2)</f>
        <v>3.1166080133282638E-4</v>
      </c>
      <c r="H492">
        <f t="shared" si="23"/>
        <v>7.0604225239087893E-11</v>
      </c>
    </row>
    <row r="493" spans="1:8" x14ac:dyDescent="0.25">
      <c r="A493">
        <v>3384</v>
      </c>
      <c r="B493">
        <v>1.3520000000000001</v>
      </c>
      <c r="C493">
        <f t="shared" si="22"/>
        <v>1.3517333333333332</v>
      </c>
      <c r="D493" s="1">
        <f>alpha*B493+(1-alpha)*D492</f>
        <v>1.3518643111115511</v>
      </c>
      <c r="E493">
        <f t="shared" si="21"/>
        <v>1.3520477837175342</v>
      </c>
      <c r="F493">
        <f>STDEV(B464:B493)</f>
        <v>2.9749915483320524E-4</v>
      </c>
      <c r="G493">
        <f>SQRT(alpha2*(B493-D493)^2+(1-alpha2)*G492^2)</f>
        <v>2.9818133486741262E-4</v>
      </c>
      <c r="H493">
        <f t="shared" si="23"/>
        <v>4.6536959907118466E-13</v>
      </c>
    </row>
    <row r="494" spans="1:8" x14ac:dyDescent="0.25">
      <c r="A494">
        <v>3387</v>
      </c>
      <c r="B494">
        <v>1.3521000000000001</v>
      </c>
      <c r="C494">
        <f t="shared" si="22"/>
        <v>1.3517633333333336</v>
      </c>
      <c r="D494" s="1">
        <f>alpha*B494+(1-alpha)*D493</f>
        <v>1.3518852856805919</v>
      </c>
      <c r="E494">
        <f t="shared" si="21"/>
        <v>1.3520634486022738</v>
      </c>
      <c r="F494">
        <f>STDEV(B465:B494)</f>
        <v>2.8705800607300741E-4</v>
      </c>
      <c r="G494">
        <f>SQRT(alpha2*(B494-D494)^2+(1-alpha2)*G493^2)</f>
        <v>2.9058860568066089E-4</v>
      </c>
      <c r="H494">
        <f t="shared" si="23"/>
        <v>1.2465133589562868E-11</v>
      </c>
    </row>
    <row r="495" spans="1:8" x14ac:dyDescent="0.25">
      <c r="A495">
        <v>3388</v>
      </c>
      <c r="B495">
        <v>1.3520000000000001</v>
      </c>
      <c r="C495">
        <f t="shared" si="22"/>
        <v>1.3517866666666665</v>
      </c>
      <c r="D495" s="1">
        <f>alpha*B495+(1-alpha)*D494</f>
        <v>1.3518954944071393</v>
      </c>
      <c r="E495">
        <f t="shared" si="21"/>
        <v>1.3520444140215917</v>
      </c>
      <c r="F495">
        <f>STDEV(B466:B495)</f>
        <v>2.7634727444284733E-4</v>
      </c>
      <c r="G495">
        <f>SQRT(alpha2*(B495-D495)^2+(1-alpha2)*G494^2)</f>
        <v>2.7706400736153357E-4</v>
      </c>
      <c r="H495">
        <f t="shared" si="23"/>
        <v>5.1370607672850041E-13</v>
      </c>
    </row>
    <row r="496" spans="1:8" x14ac:dyDescent="0.25">
      <c r="A496">
        <v>3390</v>
      </c>
      <c r="B496">
        <v>1.3519000000000001</v>
      </c>
      <c r="C496">
        <f t="shared" si="22"/>
        <v>1.3518099999999997</v>
      </c>
      <c r="D496" s="1">
        <f>alpha*B496+(1-alpha)*D495</f>
        <v>1.3518958953716023</v>
      </c>
      <c r="E496">
        <f t="shared" si="21"/>
        <v>1.3520010898151142</v>
      </c>
      <c r="F496">
        <f>STDEV(B467:B496)</f>
        <v>2.5373078320310943E-4</v>
      </c>
      <c r="G496">
        <f>SQRT(alpha2*(B496-D496)^2+(1-alpha2)*G495^2)</f>
        <v>2.6220256259589658E-4</v>
      </c>
      <c r="H496">
        <f t="shared" si="23"/>
        <v>7.1771046080052961E-11</v>
      </c>
    </row>
    <row r="497" spans="1:8" x14ac:dyDescent="0.25">
      <c r="A497">
        <v>3391</v>
      </c>
      <c r="B497">
        <v>1.3517999999999999</v>
      </c>
      <c r="C497">
        <f t="shared" si="22"/>
        <v>1.3518266666666665</v>
      </c>
      <c r="D497" s="1">
        <f>alpha*B497+(1-alpha)*D496</f>
        <v>1.3518873613923146</v>
      </c>
      <c r="E497">
        <f t="shared" si="21"/>
        <v>1.35194076287058</v>
      </c>
      <c r="F497">
        <f>STDEV(B468:B497)</f>
        <v>2.3479019737127741E-4</v>
      </c>
      <c r="G497">
        <f>SQRT(alpha2*(B497-D497)^2+(1-alpha2)*G496^2)</f>
        <v>2.4973584061010844E-4</v>
      </c>
      <c r="H497">
        <f t="shared" si="23"/>
        <v>2.2337225182241563E-10</v>
      </c>
    </row>
    <row r="498" spans="1:8" x14ac:dyDescent="0.25">
      <c r="A498">
        <v>3392</v>
      </c>
      <c r="B498">
        <v>1.3517999999999999</v>
      </c>
      <c r="C498">
        <f t="shared" si="22"/>
        <v>1.3518399999999997</v>
      </c>
      <c r="D498" s="1">
        <f>alpha*B498+(1-alpha)*D497</f>
        <v>1.3518795868741069</v>
      </c>
      <c r="E498">
        <f t="shared" si="21"/>
        <v>1.3518985340094059</v>
      </c>
      <c r="F498">
        <f>STDEV(B469:B498)</f>
        <v>2.2065732521819111E-4</v>
      </c>
      <c r="G498">
        <f>SQRT(alpha2*(B498-D498)^2+(1-alpha2)*G497^2)</f>
        <v>2.3773244070687038E-4</v>
      </c>
      <c r="H498">
        <f t="shared" si="23"/>
        <v>2.9155956895173471E-10</v>
      </c>
    </row>
    <row r="499" spans="1:8" x14ac:dyDescent="0.25">
      <c r="A499">
        <v>3396</v>
      </c>
      <c r="B499">
        <v>1.3516999999999999</v>
      </c>
      <c r="C499">
        <f t="shared" si="22"/>
        <v>1.3518499999999996</v>
      </c>
      <c r="D499" s="1">
        <f>alpha*B499+(1-alpha)*D498</f>
        <v>1.3518636049696797</v>
      </c>
      <c r="E499">
        <f t="shared" si="21"/>
        <v>1.3518389738065839</v>
      </c>
      <c r="F499">
        <f>STDEV(B470:B499)</f>
        <v>2.0636425779815577E-4</v>
      </c>
      <c r="G499">
        <f>SQRT(alpha2*(B499-D499)^2+(1-alpha2)*G498^2)</f>
        <v>2.3110623317060272E-4</v>
      </c>
      <c r="H499">
        <f t="shared" si="23"/>
        <v>6.1216534533077155E-10</v>
      </c>
    </row>
    <row r="500" spans="1:8" x14ac:dyDescent="0.25">
      <c r="A500">
        <v>3397</v>
      </c>
      <c r="B500">
        <v>1.3517999999999999</v>
      </c>
      <c r="C500">
        <f t="shared" si="22"/>
        <v>1.3518599999999996</v>
      </c>
      <c r="D500" s="1">
        <f>alpha*B500+(1-alpha)*D499</f>
        <v>1.3518579445974974</v>
      </c>
      <c r="E500">
        <f t="shared" si="21"/>
        <v>1.3518272816646086</v>
      </c>
      <c r="F500">
        <f>STDEV(B471:B500)</f>
        <v>1.9581835354796968E-4</v>
      </c>
      <c r="G500">
        <f>SQRT(alpha2*(B500-D500)^2+(1-alpha2)*G499^2)</f>
        <v>2.1950721064490077E-4</v>
      </c>
      <c r="H500">
        <f t="shared" si="23"/>
        <v>5.6116195055882239E-10</v>
      </c>
    </row>
    <row r="501" spans="1:8" x14ac:dyDescent="0.25">
      <c r="A501">
        <v>3398</v>
      </c>
      <c r="B501">
        <v>1.3520000000000001</v>
      </c>
      <c r="C501">
        <f t="shared" si="22"/>
        <v>1.351873333333333</v>
      </c>
      <c r="D501" s="1">
        <f>alpha*B501+(1-alpha)*D500</f>
        <v>1.351870586478356</v>
      </c>
      <c r="E501">
        <f t="shared" si="21"/>
        <v>1.3518790971652259</v>
      </c>
      <c r="F501">
        <f>STDEV(B472:B501)</f>
        <v>1.9106477207080067E-4</v>
      </c>
      <c r="G501">
        <f>SQRT(alpha2*(B501-D501)^2+(1-alpha2)*G500^2)</f>
        <v>2.1189807513526942E-4</v>
      </c>
      <c r="H501">
        <f t="shared" si="23"/>
        <v>4.3402651657600311E-10</v>
      </c>
    </row>
    <row r="502" spans="1:8" x14ac:dyDescent="0.25">
      <c r="A502">
        <v>3399</v>
      </c>
      <c r="B502">
        <v>1.3521000000000001</v>
      </c>
      <c r="C502">
        <f t="shared" si="22"/>
        <v>1.3518866666666662</v>
      </c>
      <c r="D502" s="1">
        <f>alpha*B502+(1-alpha)*D501</f>
        <v>1.3518910025861339</v>
      </c>
      <c r="E502">
        <f t="shared" si="21"/>
        <v>1.3519453680156581</v>
      </c>
      <c r="F502">
        <f>STDEV(B473:B502)</f>
        <v>1.9250317208918444E-4</v>
      </c>
      <c r="G502">
        <f>SQRT(alpha2*(B502-D502)^2+(1-alpha2)*G501^2)</f>
        <v>2.1159703630283633E-4</v>
      </c>
      <c r="H502">
        <f t="shared" si="23"/>
        <v>3.6457565060937652E-10</v>
      </c>
    </row>
  </sheetData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data</vt:lpstr>
      <vt:lpstr>alpha</vt:lpstr>
      <vt:lpstr>alpha2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Hunor</dc:creator>
  <cp:lastModifiedBy>Hunor</cp:lastModifiedBy>
  <dcterms:created xsi:type="dcterms:W3CDTF">2012-07-01T07:55:24Z</dcterms:created>
  <dcterms:modified xsi:type="dcterms:W3CDTF">2012-07-01T16:37:06Z</dcterms:modified>
</cp:coreProperties>
</file>