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firstSheet="1" activeTab="4"/>
  </bookViews>
  <sheets>
    <sheet name="TimeSeries" sheetId="2" r:id="rId1"/>
    <sheet name="Optimiser" sheetId="4" r:id="rId2"/>
    <sheet name="LinearAlgebra" sheetId="1" r:id="rId3"/>
    <sheet name="Market" sheetId="14" r:id="rId4"/>
    <sheet name="ValueTrade" sheetId="13" r:id="rId5"/>
    <sheet name="OptionPricer" sheetId="3" r:id="rId6"/>
    <sheet name="indicators" sheetId="5" r:id="rId7"/>
    <sheet name="GraphTheory" sheetId="6" r:id="rId8"/>
    <sheet name="ImageProcessing" sheetId="7" r:id="rId9"/>
    <sheet name="TextFiles" sheetId="8" r:id="rId10"/>
    <sheet name="ArrayFunctions" sheetId="9" r:id="rId11"/>
    <sheet name="EditDistance" sheetId="10" r:id="rId12"/>
    <sheet name="Sheet1" sheetId="11" r:id="rId13"/>
    <sheet name="PointClouds" sheetId="12" r:id="rId14"/>
  </sheets>
  <functionGroups builtInGroupCount="17"/>
  <definedNames>
    <definedName name="Filename">TimeSeries!$B$2</definedName>
    <definedName name="mkt">OptionPricer!$I$25</definedName>
    <definedName name="mkt1_">Market!$C$3</definedName>
    <definedName name="mkt2_">Market!$C$49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6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F5" i="13" l="1"/>
  <c r="C49" i="14"/>
  <c r="F4" i="13"/>
  <c r="C3" i="14"/>
  <c r="I25" i="3"/>
  <c r="I27" i="3" l="1"/>
  <c r="C8" i="13"/>
  <c r="W15" i="3" l="1"/>
  <c r="V14" i="3"/>
  <c r="V15" i="3"/>
  <c r="V17" i="3"/>
  <c r="V16" i="3"/>
  <c r="V18" i="3"/>
  <c r="V12" i="3"/>
  <c r="W10" i="3" l="1"/>
  <c r="W9" i="3"/>
  <c r="W8" i="3"/>
  <c r="W7" i="3"/>
  <c r="W6" i="3"/>
  <c r="S7" i="3" l="1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6" i="3"/>
  <c r="P9" i="3" l="1"/>
  <c r="P8" i="3"/>
  <c r="P7" i="3"/>
  <c r="P6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Q163" i="3"/>
  <c r="Q85" i="3"/>
  <c r="Q23" i="3"/>
  <c r="Q42" i="3"/>
  <c r="Q138" i="3"/>
  <c r="Q76" i="3"/>
  <c r="Q35" i="3"/>
  <c r="Q137" i="3"/>
  <c r="Q75" i="3"/>
  <c r="Q136" i="3"/>
  <c r="Q89" i="3"/>
  <c r="Q148" i="3"/>
  <c r="Q87" i="3"/>
  <c r="Q25" i="3"/>
  <c r="Q110" i="3"/>
  <c r="Q46" i="3"/>
  <c r="Q74" i="3"/>
  <c r="Q81" i="3"/>
  <c r="Q88" i="3"/>
  <c r="Q61" i="3"/>
  <c r="Q96" i="3"/>
  <c r="Q52" i="3"/>
  <c r="Q115" i="3"/>
  <c r="Q19" i="3"/>
  <c r="Q147" i="3"/>
  <c r="Q28" i="3"/>
  <c r="Q53" i="3"/>
  <c r="Q72" i="3"/>
  <c r="Q48" i="3"/>
  <c r="Q150" i="3"/>
  <c r="Q119" i="3"/>
  <c r="Q78" i="3"/>
  <c r="Q27" i="3"/>
  <c r="Q109" i="3"/>
  <c r="Q151" i="3"/>
  <c r="Q100" i="3"/>
  <c r="Q99" i="3"/>
  <c r="Q64" i="3"/>
  <c r="Q132" i="3"/>
  <c r="Q129" i="3"/>
  <c r="Q153" i="3"/>
  <c r="Q91" i="3"/>
  <c r="Q33" i="3"/>
  <c r="Q126" i="3"/>
  <c r="Q113" i="3"/>
  <c r="Q93" i="3"/>
  <c r="Q146" i="3"/>
  <c r="Q145" i="3"/>
  <c r="Q105" i="3"/>
  <c r="Q32" i="3"/>
  <c r="Q106" i="3"/>
  <c r="Q139" i="3"/>
  <c r="Q77" i="3"/>
  <c r="Q15" i="3"/>
  <c r="Q149" i="3"/>
  <c r="Q130" i="3"/>
  <c r="Q68" i="3"/>
  <c r="Q57" i="3"/>
  <c r="Q165" i="3"/>
  <c r="Q67" i="3"/>
  <c r="Q98" i="3"/>
  <c r="Q73" i="3"/>
  <c r="Q141" i="3"/>
  <c r="Q79" i="3"/>
  <c r="Q17" i="3"/>
  <c r="Q102" i="3"/>
  <c r="Q38" i="3"/>
  <c r="Q66" i="3"/>
  <c r="Q65" i="3"/>
  <c r="Q56" i="3"/>
  <c r="Q69" i="3"/>
  <c r="Q44" i="3"/>
  <c r="Q128" i="3"/>
  <c r="Q124" i="3"/>
  <c r="Q60" i="3"/>
  <c r="Q120" i="3"/>
  <c r="Q123" i="3"/>
  <c r="Q59" i="3"/>
  <c r="Q58" i="3"/>
  <c r="Q41" i="3"/>
  <c r="Q133" i="3"/>
  <c r="Q71" i="3"/>
  <c r="Q94" i="3"/>
  <c r="Q31" i="3"/>
  <c r="Q50" i="3"/>
  <c r="Q49" i="3"/>
  <c r="Q26" i="3"/>
  <c r="Q125" i="3"/>
  <c r="Q29" i="3"/>
  <c r="Q80" i="3"/>
  <c r="Q20" i="3"/>
  <c r="Q63" i="3"/>
  <c r="Q24" i="3"/>
  <c r="Q117" i="3"/>
  <c r="Q14" i="3"/>
  <c r="Q167" i="3"/>
  <c r="Q107" i="3"/>
  <c r="Q104" i="3"/>
  <c r="Q140" i="3"/>
  <c r="Q143" i="3"/>
  <c r="Q45" i="3"/>
  <c r="Q22" i="3"/>
  <c r="Q36" i="3"/>
  <c r="Q111" i="3"/>
  <c r="Q70" i="3"/>
  <c r="Q142" i="3"/>
  <c r="Q101" i="3"/>
  <c r="Q37" i="3"/>
  <c r="Q122" i="3"/>
  <c r="Q164" i="3"/>
  <c r="Q152" i="3"/>
  <c r="Q121" i="3"/>
  <c r="Q103" i="3"/>
  <c r="Q62" i="3"/>
  <c r="Q134" i="3"/>
  <c r="Q90" i="3"/>
  <c r="Q82" i="3"/>
  <c r="Q21" i="3"/>
  <c r="Q95" i="3"/>
  <c r="Q54" i="3"/>
  <c r="Q112" i="3"/>
  <c r="Q131" i="3"/>
  <c r="Q155" i="3"/>
  <c r="Q116" i="3"/>
  <c r="Q51" i="3"/>
  <c r="Q127" i="3"/>
  <c r="Q86" i="3"/>
  <c r="Q34" i="3"/>
  <c r="Q108" i="3"/>
  <c r="Q43" i="3"/>
  <c r="Q55" i="3"/>
  <c r="Q16" i="3"/>
  <c r="Q40" i="3"/>
  <c r="Q18" i="3"/>
  <c r="Q135" i="3"/>
  <c r="Q47" i="3"/>
  <c r="Q144" i="3"/>
  <c r="Q92" i="3"/>
  <c r="Q168" i="3"/>
  <c r="Q39" i="3"/>
  <c r="Q114" i="3"/>
  <c r="Q154" i="3"/>
  <c r="Q30" i="3"/>
  <c r="Q84" i="3"/>
  <c r="Q83" i="3"/>
  <c r="Q166" i="3"/>
  <c r="Q118" i="3"/>
  <c r="Q97" i="3"/>
  <c r="H5" i="3" l="1"/>
  <c r="Q12" i="3"/>
  <c r="Q6" i="3"/>
  <c r="Q7" i="3"/>
  <c r="Q9" i="3"/>
  <c r="Q10" i="3"/>
  <c r="Q11" i="3"/>
  <c r="Q13" i="3"/>
  <c r="Q8" i="3"/>
  <c r="K6" i="3" l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J5" i="3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H6" i="3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F12" i="3"/>
  <c r="J6" i="3" l="1"/>
  <c r="Y72" i="12"/>
  <c r="Y71" i="12"/>
  <c r="Y70" i="12"/>
  <c r="W32" i="12"/>
  <c r="W31" i="12"/>
  <c r="W30" i="12"/>
  <c r="U28" i="12"/>
  <c r="AA69" i="12" a="1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X38" i="12"/>
  <c r="W38" i="12"/>
  <c r="E4" i="9" a="1"/>
  <c r="E4" i="9"/>
  <c r="E5" i="9"/>
  <c r="E6" i="9"/>
  <c r="E7" i="9"/>
  <c r="J7" i="3" l="1"/>
  <c r="T136" i="12"/>
  <c r="T143" i="12"/>
  <c r="T181" i="12"/>
  <c r="T184" i="12"/>
  <c r="T191" i="12"/>
  <c r="T205" i="12"/>
  <c r="T206" i="12"/>
  <c r="T254" i="12"/>
  <c r="T256" i="12"/>
  <c r="T257" i="12"/>
  <c r="T263" i="12"/>
  <c r="T277" i="12"/>
  <c r="T278" i="12"/>
  <c r="T280" i="12"/>
  <c r="T287" i="12"/>
  <c r="U32" i="12"/>
  <c r="T50" i="12" s="1"/>
  <c r="J8" i="3" l="1"/>
  <c r="T134" i="12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J9" i="3" l="1"/>
  <c r="R22" i="12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J10" i="3" l="1"/>
  <c r="W45" i="12" a="1"/>
  <c r="W51" i="12" a="1"/>
  <c r="W50" i="12"/>
  <c r="X50" i="12"/>
  <c r="Y50" i="12"/>
  <c r="W48" i="12" a="1"/>
  <c r="W42" i="12" a="1"/>
  <c r="W44" i="12" a="1"/>
  <c r="W51" i="12"/>
  <c r="X51" i="12"/>
  <c r="Y51" i="12"/>
  <c r="W45" i="12"/>
  <c r="X45" i="12"/>
  <c r="Y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AA57" i="12" a="1"/>
  <c r="I33" i="12" a="1"/>
  <c r="I22" i="12" a="1"/>
  <c r="I24" i="12" a="1"/>
  <c r="I27" i="12" a="1"/>
  <c r="I31" i="12" a="1"/>
  <c r="I23" i="12" a="1"/>
  <c r="I37" i="12" a="1"/>
  <c r="I34" i="12" a="1"/>
  <c r="I36" i="12" a="1"/>
  <c r="I30" i="12" a="1"/>
  <c r="O13" i="12" a="1"/>
  <c r="I32" i="12" a="1"/>
  <c r="I35" i="12" a="1"/>
  <c r="I26" i="12" a="1"/>
  <c r="I25" i="12" a="1"/>
  <c r="I28" i="12" a="1"/>
  <c r="I29" i="12" a="1"/>
  <c r="J11" i="3" l="1"/>
  <c r="AC58" i="12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AA45" i="12" a="1"/>
  <c r="AA49" i="12" a="1"/>
  <c r="AA41" i="12" a="1"/>
  <c r="AA61" i="12" a="1"/>
  <c r="AA53" i="12" a="1"/>
  <c r="J12" i="3" l="1"/>
  <c r="AB55" i="12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B65" i="12" s="1"/>
  <c r="AA41" i="12"/>
  <c r="AA65" i="12" s="1"/>
  <c r="AC41" i="12"/>
  <c r="AC65" i="12" s="1"/>
  <c r="AA42" i="12"/>
  <c r="AA66" i="12" s="1"/>
  <c r="AC43" i="12"/>
  <c r="AC67" i="12" s="1"/>
  <c r="AB42" i="12"/>
  <c r="AB66" i="12" s="1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B24" i="9"/>
  <c r="B20" i="9"/>
  <c r="J13" i="3" l="1"/>
  <c r="AA67" i="12"/>
  <c r="AB67" i="12"/>
  <c r="AC66" i="12"/>
  <c r="T39" i="10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22" i="2"/>
  <c r="C22" i="5"/>
  <c r="E11" i="9" a="1"/>
  <c r="C17" i="9"/>
  <c r="B5" i="1" a="1"/>
  <c r="B3" i="1"/>
  <c r="F11" i="3"/>
  <c r="J14" i="3" l="1"/>
  <c r="G49" i="10"/>
  <c r="E11" i="9"/>
  <c r="E13" i="9"/>
  <c r="E14" i="9"/>
  <c r="E12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J15" i="3" l="1"/>
  <c r="G50" i="10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J16" i="3" l="1"/>
  <c r="G51" i="10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J17" i="3" l="1"/>
  <c r="G52" i="10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J18" i="3" l="1"/>
  <c r="G53" i="10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J19" i="3" l="1"/>
  <c r="G54" i="10"/>
  <c r="J20" i="3" l="1"/>
  <c r="G55" i="10"/>
  <c r="J21" i="3" l="1"/>
  <c r="G56" i="10"/>
  <c r="L30" i="12" a="1"/>
  <c r="L33" i="12" a="1"/>
  <c r="L31" i="12" a="1"/>
  <c r="L28" i="12" a="1"/>
  <c r="L23" i="12" a="1"/>
  <c r="L36" i="12" a="1"/>
  <c r="L26" i="12" a="1"/>
  <c r="L34" i="12" a="1"/>
  <c r="L24" i="12" a="1"/>
  <c r="L35" i="12" a="1"/>
  <c r="L25" i="12" a="1"/>
  <c r="L37" i="12" a="1"/>
  <c r="L27" i="12" a="1"/>
  <c r="L22" i="12" a="1"/>
  <c r="L32" i="12" a="1"/>
  <c r="J22" i="3" l="1"/>
  <c r="L35" i="12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J23" i="3" l="1"/>
  <c r="P30" i="12"/>
  <c r="P34" i="12"/>
  <c r="P36" i="12"/>
  <c r="P23" i="12"/>
  <c r="P37" i="12"/>
  <c r="P26" i="12"/>
  <c r="P31" i="12"/>
  <c r="P22" i="12"/>
  <c r="P35" i="12"/>
  <c r="L29" i="12" l="1" a="1"/>
  <c r="N29" i="12"/>
  <c r="M29" i="12"/>
  <c r="L29" i="12"/>
  <c r="P29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<sst xmlns="http://schemas.openxmlformats.org/spreadsheetml/2006/main" count="13924" uniqueCount="8931">
  <si>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</si>
  <si>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</si>
  <si>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</si>
  <si>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</si>
  <si>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</si>
  <si>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</si>
  <si>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</si>
  <si>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</si>
  <si>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</si>
  <si>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</si>
  <si>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</si>
  <si>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</si>
  <si>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</si>
  <si>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</si>
  <si>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</si>
  <si>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</si>
  <si>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</si>
  <si>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</si>
  <si>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</si>
  <si>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</si>
  <si>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</si>
  <si>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</si>
  <si>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</si>
  <si>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</si>
  <si>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</si>
  <si>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</si>
  <si>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</si>
  <si>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</si>
  <si>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</si>
  <si>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</si>
  <si>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</si>
  <si>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</si>
  <si>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</si>
  <si>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</si>
  <si>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</si>
  <si>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</si>
  <si>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</si>
  <si>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</si>
  <si>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</si>
  <si>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</si>
  <si>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</si>
  <si>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</si>
  <si>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</si>
  <si>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</si>
  <si>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</si>
  <si>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</si>
  <si>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</si>
  <si>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</si>
  <si>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</si>
  <si>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</si>
  <si>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</si>
  <si>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</si>
  <si>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</si>
  <si>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</si>
  <si>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</si>
  <si>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</si>
  <si>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</si>
  <si>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</si>
  <si>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</si>
  <si>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</si>
  <si>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</si>
  <si>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</si>
  <si>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</si>
  <si>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</si>
  <si>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</si>
  <si>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</si>
  <si>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</si>
  <si>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</si>
  <si>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</si>
  <si>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</si>
  <si>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</si>
  <si>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</si>
  <si>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</si>
  <si>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</si>
  <si>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</si>
  <si>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</si>
  <si>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</si>
  <si>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</si>
  <si>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</si>
  <si>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</si>
  <si>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</si>
  <si>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</si>
  <si>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</si>
  <si>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</si>
  <si>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</si>
  <si>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</si>
  <si>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</si>
  <si>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</si>
  <si>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</si>
  <si>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</si>
  <si>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</si>
  <si>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</si>
  <si>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</si>
  <si>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</si>
  <si>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</si>
  <si>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</si>
  <si>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</si>
  <si>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</si>
  <si>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</si>
  <si>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</si>
  <si>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</si>
  <si>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</si>
  <si>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</si>
  <si>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</si>
  <si>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</si>
  <si>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</si>
  <si>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</si>
  <si>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</si>
  <si>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</si>
  <si>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</si>
  <si>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</si>
  <si>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</si>
  <si>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</si>
  <si>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</si>
  <si>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</si>
  <si>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</si>
  <si>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</si>
  <si>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</si>
  <si>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</si>
  <si>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</si>
  <si>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</si>
  <si>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</si>
  <si>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</si>
  <si>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</si>
  <si>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</si>
  <si>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</si>
  <si>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</si>
  <si>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</si>
  <si>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</si>
  <si>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</si>
  <si>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</si>
  <si>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</si>
  <si>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</si>
  <si>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</si>
  <si>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</si>
  <si>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</si>
  <si>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</si>
  <si>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</si>
  <si>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</si>
  <si>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</si>
  <si>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</si>
  <si>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</si>
  <si>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</si>
  <si>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</si>
  <si>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</si>
  <si>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</si>
  <si>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</si>
  <si>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</si>
  <si>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</si>
  <si>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</si>
  <si>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</si>
  <si>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</si>
  <si>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</si>
  <si>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</si>
  <si>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</si>
  <si>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</si>
  <si>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</si>
  <si>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</si>
  <si>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</si>
  <si>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</si>
  <si>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</si>
  <si>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</si>
  <si>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</si>
  <si>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</si>
  <si>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</si>
  <si>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</si>
  <si>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</si>
  <si>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</si>
  <si>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</si>
  <si>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</si>
  <si>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</si>
  <si>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</si>
  <si>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</si>
  <si>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</si>
  <si>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</si>
  <si>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</si>
  <si>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</si>
  <si>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</si>
  <si>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</si>
  <si>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</si>
  <si>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</si>
  <si>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</si>
  <si>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</si>
  <si>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</si>
  <si>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</si>
  <si>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</si>
  <si>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</si>
  <si>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</si>
  <si>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</si>
  <si>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</si>
  <si>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</si>
  <si>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</si>
  <si>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</si>
  <si>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</si>
  <si>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</si>
  <si>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</si>
  <si>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</si>
  <si>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</si>
  <si>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</si>
  <si>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</si>
  <si>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</si>
  <si>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</si>
  <si>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</si>
  <si>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</si>
  <si>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</si>
  <si>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</si>
  <si>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</si>
  <si>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</si>
  <si>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</si>
  <si>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</si>
  <si>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</si>
  <si>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</si>
  <si>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</si>
  <si>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</si>
  <si>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</si>
  <si>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</si>
  <si>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</si>
  <si>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</si>
  <si>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</si>
  <si>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</si>
  <si>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</si>
  <si>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</si>
  <si>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</si>
  <si>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</si>
  <si>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</si>
  <si>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</si>
  <si>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</si>
  <si>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</si>
  <si>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</si>
  <si>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</si>
  <si>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</si>
  <si>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</si>
  <si>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</si>
  <si>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</si>
  <si>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</si>
  <si>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</si>
  <si>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</si>
  <si>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</si>
  <si>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</si>
  <si>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</si>
  <si>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</si>
  <si>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</si>
  <si>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</si>
  <si>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</si>
  <si>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</si>
  <si>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</si>
  <si>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</si>
  <si>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</si>
  <si>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</si>
  <si>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</si>
  <si>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</si>
  <si>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</si>
  <si>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</si>
  <si>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</si>
  <si>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</si>
  <si>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</si>
  <si>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</si>
  <si>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</si>
  <si>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</si>
  <si>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</si>
  <si>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</si>
  <si>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</si>
  <si>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</si>
  <si>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</si>
  <si>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</si>
  <si>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</si>
  <si>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</si>
  <si>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</si>
  <si>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</si>
  <si>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</si>
  <si>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</si>
  <si>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</si>
  <si>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</si>
  <si>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</si>
  <si>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</si>
  <si>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</si>
  <si>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</si>
  <si>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</si>
  <si>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</si>
  <si>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</si>
  <si>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</si>
  <si>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</si>
  <si>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</si>
  <si>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</si>
  <si>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</si>
  <si>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</si>
  <si>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</si>
  <si>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</si>
  <si>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</si>
  <si>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</si>
  <si>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</si>
  <si>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</si>
  <si>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</si>
  <si>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</si>
  <si>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</si>
  <si>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</si>
  <si>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</si>
  <si>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</si>
  <si>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</si>
  <si>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</si>
  <si>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</si>
  <si>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</si>
  <si>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</si>
  <si>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</si>
  <si>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</si>
  <si>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</si>
  <si>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</si>
  <si>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</si>
  <si>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</si>
  <si>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</si>
  <si>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</si>
  <si>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</si>
  <si>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</si>
  <si>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</si>
  <si>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</si>
  <si>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</si>
  <si>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</si>
  <si>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</si>
  <si>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</si>
  <si>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</si>
  <si>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</si>
  <si>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</si>
  <si>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</si>
  <si>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</si>
  <si>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</si>
  <si>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</si>
  <si>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</si>
  <si>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</si>
  <si>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</si>
  <si>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</si>
  <si>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</si>
  <si>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</si>
  <si>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</si>
  <si>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</si>
  <si>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</si>
  <si>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</si>
  <si>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</si>
  <si>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</si>
  <si>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</si>
  <si>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</si>
  <si>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</si>
  <si>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</si>
  <si>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</si>
  <si>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</si>
  <si>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</si>
  <si>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</si>
  <si>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</si>
  <si>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</si>
  <si>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</si>
  <si>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</si>
  <si>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</si>
  <si>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</si>
  <si>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</si>
  <si>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</si>
  <si>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</si>
  <si>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</si>
  <si>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</si>
  <si>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</si>
  <si>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</si>
  <si>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</si>
  <si>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</si>
  <si>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</si>
  <si>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</si>
  <si>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</si>
  <si>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</si>
  <si>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</si>
  <si>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</si>
  <si>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</si>
  <si>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</si>
  <si>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</si>
  <si>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</si>
  <si>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</si>
  <si>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</si>
  <si>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</si>
  <si>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</si>
  <si>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</si>
  <si>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</si>
  <si>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</si>
  <si>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</si>
  <si>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</si>
  <si>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</si>
  <si>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</si>
  <si>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</si>
  <si>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</si>
  <si>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</si>
  <si>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</si>
  <si>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</si>
  <si>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</si>
  <si>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</si>
  <si>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</si>
  <si>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</si>
  <si>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</si>
  <si>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</si>
  <si>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</si>
  <si>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</si>
  <si>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</si>
  <si>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</si>
  <si>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</si>
  <si>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</si>
  <si>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</si>
  <si>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</si>
  <si>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</si>
  <si>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</si>
  <si>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</si>
  <si>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</si>
  <si>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</si>
  <si>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</si>
  <si>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</si>
  <si>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</si>
  <si>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</si>
  <si>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</si>
  <si>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</si>
  <si>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</si>
  <si>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</si>
  <si>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</si>
  <si>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</si>
  <si>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</si>
  <si>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</si>
  <si>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</si>
  <si>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</si>
  <si>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</si>
  <si>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</si>
  <si>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</si>
  <si>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</si>
  <si>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</si>
  <si>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</si>
  <si>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</si>
  <si>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</si>
  <si>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</si>
  <si>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</si>
  <si>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</si>
  <si>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</si>
  <si>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</si>
  <si>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</si>
  <si>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</si>
  <si>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</si>
  <si>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</si>
  <si>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</si>
  <si>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</si>
  <si>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</si>
  <si>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</si>
  <si>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</si>
  <si>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</si>
  <si>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</si>
  <si>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</si>
  <si>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</si>
  <si>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</si>
  <si>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</si>
  <si>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</si>
  <si>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</si>
  <si>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</si>
  <si>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</si>
  <si>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</si>
  <si>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</si>
  <si>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</si>
  <si>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</si>
  <si>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</si>
  <si>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</si>
  <si>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</si>
  <si>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</si>
  <si>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</si>
  <si>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</si>
  <si>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</si>
  <si>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</si>
  <si>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</si>
  <si>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</si>
  <si>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</si>
  <si>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</si>
  <si>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</si>
  <si>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</si>
  <si>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</si>
  <si>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</si>
  <si>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</si>
  <si>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</si>
  <si>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</si>
  <si>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</si>
  <si>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</si>
  <si>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</si>
  <si>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</si>
  <si>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</si>
  <si>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</si>
  <si>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</si>
  <si>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</si>
  <si>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</si>
  <si>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</si>
  <si>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</si>
  <si>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</si>
  <si>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</si>
  <si>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</si>
  <si>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</si>
  <si>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</si>
  <si>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</si>
  <si>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</si>
  <si>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</si>
  <si>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</si>
  <si>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</si>
  <si>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</si>
  <si>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</si>
  <si>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</si>
  <si>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</si>
  <si>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</si>
  <si>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</si>
  <si>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</si>
  <si>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</si>
  <si>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</si>
  <si>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</si>
  <si>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</si>
  <si>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</si>
  <si>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</si>
  <si>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</si>
  <si>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</si>
  <si>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</si>
  <si>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</si>
  <si>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</si>
  <si>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</si>
  <si>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</si>
  <si>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</si>
  <si>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</si>
  <si>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</si>
  <si>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</si>
  <si>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</si>
  <si>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</si>
  <si>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</si>
  <si>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</si>
  <si>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</si>
  <si>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</si>
  <si>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</si>
  <si>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</si>
  <si>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</si>
  <si>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</si>
  <si>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</si>
  <si>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</si>
  <si>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</si>
  <si>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</si>
  <si>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</si>
  <si>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</si>
  <si>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</si>
  <si>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</si>
  <si>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</si>
  <si>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</si>
  <si>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</si>
  <si>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</si>
  <si>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</si>
  <si>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</si>
  <si>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</si>
  <si>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</si>
  <si>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</si>
  <si>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</si>
  <si>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</si>
  <si>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</si>
  <si>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</si>
  <si>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</si>
  <si>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</si>
  <si>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</si>
  <si>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</si>
  <si>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</si>
  <si>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</si>
  <si>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</si>
  <si>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</si>
  <si>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</si>
  <si>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</si>
  <si>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</si>
  <si>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</si>
  <si>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</si>
  <si>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</si>
  <si>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</si>
  <si>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</si>
  <si>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</si>
  <si>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</si>
  <si>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</si>
  <si>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</si>
  <si>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</si>
  <si>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</si>
  <si>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</si>
  <si>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</si>
  <si>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</si>
  <si>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</si>
  <si>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</si>
  <si>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</si>
  <si>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</si>
  <si>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</si>
  <si>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</si>
  <si>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</si>
  <si>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</si>
  <si>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</si>
  <si>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</si>
  <si>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</si>
  <si>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</si>
  <si>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</si>
  <si>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</si>
  <si>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</si>
  <si>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</si>
  <si>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</si>
  <si>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</si>
  <si>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</si>
  <si>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</si>
  <si>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</si>
  <si>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</si>
  <si>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</si>
  <si>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</si>
  <si>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</si>
  <si>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</si>
  <si>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</si>
  <si>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</si>
  <si>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</si>
  <si>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</si>
  <si>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</si>
  <si>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</si>
  <si>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</si>
  <si>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</si>
  <si>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</si>
  <si>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</si>
  <si>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</si>
  <si>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</si>
  <si>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</si>
  <si>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</si>
  <si>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</si>
  <si>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</si>
  <si>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</si>
  <si>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</si>
  <si>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</si>
  <si>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</si>
  <si>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</si>
  <si>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</si>
  <si>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</si>
  <si>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</si>
  <si>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</si>
  <si>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</si>
  <si>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</si>
  <si>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</si>
  <si>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</si>
  <si>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</si>
  <si>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</si>
  <si>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</si>
  <si>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</si>
  <si>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</si>
  <si>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</si>
  <si>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</si>
  <si>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</si>
  <si>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</si>
  <si>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</si>
  <si>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</si>
  <si>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</si>
  <si>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</si>
  <si>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</si>
  <si>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</si>
  <si>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</si>
  <si>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</si>
  <si>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</si>
  <si>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</si>
  <si>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</si>
  <si>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</si>
  <si>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</si>
  <si>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</si>
  <si>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</si>
  <si>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</si>
  <si>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</si>
  <si>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</si>
  <si>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</si>
  <si>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</si>
  <si>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</si>
  <si>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</si>
  <si>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</si>
  <si>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</si>
  <si>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</si>
  <si>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</si>
  <si>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</si>
  <si>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</si>
  <si>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</si>
  <si>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</si>
  <si>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</si>
  <si>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</si>
  <si>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</si>
  <si>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</si>
  <si>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</si>
  <si>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</si>
  <si>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</si>
  <si>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</si>
  <si>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</si>
  <si>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</si>
  <si>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</si>
  <si>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</si>
  <si>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</si>
  <si>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</si>
  <si>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</si>
  <si>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</si>
  <si>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</si>
  <si>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</si>
  <si>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</si>
  <si>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</si>
  <si>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</si>
  <si>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</si>
  <si>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</si>
  <si>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</si>
  <si>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</si>
  <si>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</si>
  <si>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</si>
  <si>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</si>
  <si>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</si>
  <si>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</si>
  <si>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</si>
  <si>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</si>
  <si>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</si>
  <si>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</si>
  <si>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</si>
  <si>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</si>
  <si>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</si>
  <si>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</si>
  <si>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</si>
  <si>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</si>
  <si>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</si>
  <si>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</si>
  <si>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</si>
  <si>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</si>
  <si>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</si>
  <si>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</si>
  <si>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</si>
  <si>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</si>
  <si>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</si>
  <si>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</si>
  <si>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</si>
  <si>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</si>
  <si>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</si>
  <si>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</si>
  <si>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</si>
  <si>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</si>
  <si>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</si>
  <si>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</si>
  <si>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</si>
  <si>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</si>
  <si>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</si>
  <si>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</si>
  <si>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</si>
  <si>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</si>
  <si>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</si>
  <si>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</si>
  <si>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</si>
  <si>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</si>
  <si>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</si>
  <si>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</si>
  <si>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</si>
  <si>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</si>
  <si>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</si>
  <si>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</si>
  <si>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</si>
  <si>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</si>
  <si>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</si>
  <si>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</si>
  <si>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</si>
  <si>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</si>
  <si>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</si>
  <si>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</si>
  <si>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</si>
  <si>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</si>
  <si>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</si>
  <si>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</si>
  <si>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</si>
  <si>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</si>
  <si>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</si>
  <si>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</si>
  <si>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</si>
  <si>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</si>
  <si>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</si>
  <si>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</si>
  <si>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</si>
  <si>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</si>
  <si>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</si>
  <si>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</si>
  <si>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</si>
  <si>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</si>
  <si>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</si>
  <si>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</si>
  <si>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</si>
  <si>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</si>
  <si>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</si>
  <si>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</si>
  <si>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</si>
  <si>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</si>
  <si>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</si>
  <si>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</si>
  <si>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</si>
  <si>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</si>
  <si>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</si>
  <si>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</si>
  <si>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</si>
  <si>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</si>
  <si>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</si>
  <si>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</si>
  <si>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</si>
  <si>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</si>
  <si>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</si>
  <si>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</si>
  <si>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</si>
  <si>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</si>
  <si>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</si>
  <si>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</si>
  <si>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</si>
  <si>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</si>
  <si>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</si>
  <si>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</si>
  <si>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</si>
  <si>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</si>
  <si>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</si>
  <si>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</si>
  <si>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</si>
  <si>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</si>
  <si>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</si>
  <si>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</si>
  <si>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</si>
  <si>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</si>
  <si>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</si>
  <si>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</si>
  <si>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</si>
  <si>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</si>
  <si>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</si>
  <si>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</si>
  <si>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</si>
  <si>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</si>
  <si>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</si>
  <si>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</si>
  <si>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</si>
  <si>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</si>
  <si>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</si>
  <si>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</si>
  <si>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</si>
  <si>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</si>
  <si>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</si>
  <si>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</si>
  <si>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</si>
  <si>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</si>
  <si>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</si>
  <si>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</si>
  <si>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</si>
  <si>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</si>
  <si>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</si>
  <si>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</si>
  <si>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</si>
  <si>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</si>
  <si>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</si>
  <si>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</si>
  <si>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</si>
  <si>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</si>
  <si>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</si>
  <si>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</si>
  <si>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</si>
  <si>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</si>
  <si>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</si>
  <si>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</si>
  <si>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</si>
  <si>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</si>
  <si>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</si>
  <si>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</si>
  <si>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</si>
  <si>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</si>
  <si>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</si>
  <si>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</si>
  <si>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</si>
  <si>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</si>
  <si>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</si>
  <si>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</si>
  <si>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</si>
  <si>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</si>
  <si>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</si>
  <si>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</si>
  <si>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</si>
  <si>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</si>
  <si>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</si>
  <si>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</si>
  <si>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</si>
  <si>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</si>
  <si>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</si>
  <si>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</si>
  <si>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</si>
  <si>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</si>
  <si>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</si>
  <si>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</si>
  <si>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</si>
  <si>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</si>
  <si>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</si>
  <si>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</si>
  <si>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</si>
  <si>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</si>
  <si>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</si>
  <si>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</si>
  <si>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</si>
  <si>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</si>
  <si>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</si>
  <si>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</si>
  <si>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</si>
  <si>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</si>
  <si>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</si>
  <si>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</si>
  <si>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</si>
  <si>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</si>
  <si>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</si>
  <si>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</si>
  <si>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</si>
  <si>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</si>
  <si>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</si>
  <si>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</si>
  <si>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</si>
  <si>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</si>
  <si>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</si>
  <si>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</si>
  <si>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</si>
  <si>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</si>
  <si>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</si>
  <si>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</si>
  <si>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</si>
  <si>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</si>
  <si>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</si>
  <si>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</si>
  <si>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</si>
  <si>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</si>
  <si>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</si>
  <si>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</si>
  <si>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</si>
  <si>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</si>
  <si>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</si>
  <si>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</si>
  <si>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</si>
  <si>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</si>
  <si>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</si>
  <si>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</si>
  <si>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</si>
  <si>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</si>
  <si>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</si>
  <si>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</si>
  <si>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</si>
  <si>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</si>
  <si>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</si>
  <si>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</si>
  <si>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</si>
  <si>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</si>
  <si>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</si>
  <si>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</si>
  <si>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</si>
  <si>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</si>
  <si>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</si>
  <si>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</si>
  <si>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</si>
  <si>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</si>
  <si>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</si>
  <si>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</si>
  <si>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</si>
  <si>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</si>
  <si>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</si>
  <si>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</si>
  <si>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</si>
  <si>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</si>
  <si>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</si>
  <si>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</si>
  <si>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</si>
  <si>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</si>
  <si>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</si>
  <si>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</si>
  <si>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</si>
  <si>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</si>
  <si>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</si>
  <si>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</si>
  <si>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</si>
  <si>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</si>
  <si>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</si>
  <si>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</si>
  <si>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</si>
  <si>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</si>
  <si>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</si>
  <si>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</si>
  <si>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</si>
  <si>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</si>
  <si>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</si>
  <si>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</si>
  <si>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</si>
  <si>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</si>
  <si>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</si>
  <si>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</si>
  <si>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</si>
  <si>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</si>
  <si>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</si>
  <si>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</si>
  <si>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</si>
  <si>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</si>
  <si>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</si>
  <si>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</si>
  <si>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</si>
  <si>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</si>
  <si>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</si>
  <si>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</si>
  <si>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</si>
  <si>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</si>
  <si>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</si>
  <si>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</si>
  <si>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</si>
  <si>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</si>
  <si>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</si>
  <si>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</si>
  <si>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</si>
  <si>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</si>
  <si>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</si>
  <si>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</si>
  <si>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</si>
  <si>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</si>
  <si>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</si>
  <si>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</si>
  <si>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</si>
  <si>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</si>
  <si>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</si>
  <si>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</si>
  <si>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</si>
  <si>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</si>
  <si>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</si>
  <si>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</si>
  <si>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</si>
  <si>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</si>
  <si>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</si>
  <si>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</si>
  <si>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</si>
  <si>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</si>
  <si>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</si>
  <si>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</si>
  <si>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</si>
  <si>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</si>
  <si>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</si>
  <si>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</si>
  <si>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</si>
  <si>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</si>
  <si>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</si>
  <si>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</si>
  <si>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</si>
  <si>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</si>
  <si>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</si>
  <si>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</si>
  <si>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</si>
  <si>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</si>
  <si>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</si>
  <si>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</si>
  <si>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</si>
  <si>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</si>
  <si>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</si>
  <si>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</si>
  <si>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</si>
  <si>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</si>
  <si>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</si>
  <si>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</si>
  <si>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</si>
  <si>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</si>
  <si>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</si>
  <si>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</si>
  <si>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</si>
  <si>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</si>
  <si>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</si>
  <si>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</si>
  <si>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</si>
  <si>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</si>
  <si>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</si>
  <si>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</si>
  <si>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</si>
  <si>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</si>
  <si>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</si>
  <si>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</si>
  <si>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</si>
  <si>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</si>
  <si>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</si>
  <si>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</si>
  <si>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</si>
  <si>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</si>
  <si>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</si>
  <si>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</si>
  <si>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</si>
  <si>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</si>
  <si>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</si>
  <si>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</si>
  <si>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</si>
  <si>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</si>
  <si>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</si>
  <si>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</si>
  <si>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</si>
  <si>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</si>
  <si>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</si>
  <si>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</si>
  <si>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</si>
  <si>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</si>
  <si>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</si>
  <si>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</si>
  <si>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</si>
  <si>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</si>
  <si>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</si>
  <si>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</si>
  <si>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</si>
  <si>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</si>
  <si>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</si>
  <si>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</si>
  <si>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</si>
  <si>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</si>
  <si>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</si>
  <si>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</si>
  <si>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</si>
  <si>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</si>
  <si>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</si>
  <si>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</si>
  <si>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</si>
  <si>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</si>
  <si>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</si>
  <si>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</si>
  <si>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</si>
  <si>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</si>
  <si>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</si>
  <si>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</si>
  <si>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</si>
  <si>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</si>
  <si>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</si>
  <si>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</si>
  <si>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</si>
  <si>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</si>
  <si>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</si>
  <si>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</si>
  <si>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</si>
  <si>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</si>
  <si>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</si>
  <si>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</si>
  <si>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</si>
  <si>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</si>
  <si>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</si>
  <si>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</si>
  <si>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</si>
  <si>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</si>
  <si>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</si>
  <si>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</si>
  <si>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</si>
  <si>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</si>
  <si>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</si>
  <si>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</si>
  <si>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</si>
  <si>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</si>
  <si>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</si>
  <si>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</si>
  <si>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</si>
  <si>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</si>
  <si>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</si>
  <si>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</si>
  <si>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</si>
  <si>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</si>
  <si>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</si>
  <si>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</si>
  <si>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</si>
  <si>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</si>
  <si>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</si>
  <si>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</si>
  <si>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</si>
  <si>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</si>
  <si>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</si>
  <si>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</si>
  <si>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</si>
  <si>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</si>
  <si>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</si>
  <si>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</si>
  <si>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</si>
  <si>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</si>
  <si>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</si>
  <si>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</si>
  <si>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</si>
  <si>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</si>
  <si>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</si>
  <si>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</si>
  <si>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</si>
  <si>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</si>
  <si>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</si>
  <si>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</si>
  <si>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</si>
  <si>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</si>
  <si>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</si>
  <si>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</si>
  <si>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</si>
  <si>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</si>
  <si>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</si>
  <si>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</si>
  <si>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</si>
  <si>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</si>
  <si>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</si>
  <si>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</si>
  <si>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</si>
  <si>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</si>
  <si>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</si>
  <si>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</si>
  <si>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</si>
  <si>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</si>
  <si>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</si>
  <si>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</si>
  <si>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</si>
  <si>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</si>
  <si>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</si>
  <si>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</si>
  <si>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</si>
  <si>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</si>
  <si>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</si>
  <si>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</si>
  <si>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</si>
  <si>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</si>
  <si>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</si>
  <si>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</si>
  <si>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</si>
  <si>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</si>
  <si>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</si>
  <si>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</si>
  <si>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</si>
  <si>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</si>
  <si>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</si>
  <si>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</si>
  <si>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</si>
  <si>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</si>
  <si>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</si>
  <si>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</si>
  <si>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</si>
  <si>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</si>
  <si>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</si>
  <si>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</si>
  <si>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</si>
  <si>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</si>
  <si>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</si>
  <si>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</si>
  <si>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</si>
  <si>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</si>
  <si>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</si>
  <si>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</si>
  <si>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</si>
  <si>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</si>
  <si>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</si>
  <si>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</si>
  <si>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</si>
  <si>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</si>
  <si>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</si>
  <si>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</si>
  <si>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</si>
  <si>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</si>
  <si>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</si>
  <si>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</si>
  <si>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</si>
  <si>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</si>
  <si>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</si>
  <si>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</si>
  <si>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</si>
  <si>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</si>
  <si>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</si>
  <si>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</si>
  <si>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</si>
  <si>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</si>
  <si>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</si>
  <si>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</si>
  <si>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</si>
  <si>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</si>
  <si>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</si>
  <si>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</si>
  <si>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</si>
  <si>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</si>
  <si>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</si>
  <si>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</si>
  <si>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</si>
  <si>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</si>
  <si>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</si>
  <si>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</si>
  <si>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</si>
  <si>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</si>
  <si>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</si>
  <si>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</si>
  <si>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</si>
  <si>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</si>
  <si>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</si>
  <si>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</si>
  <si>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</si>
  <si>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</si>
  <si>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</si>
  <si>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</si>
  <si>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</si>
  <si>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</si>
  <si>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</si>
  <si>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</si>
  <si>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</si>
  <si>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</si>
  <si>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</si>
  <si>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</si>
  <si>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</si>
  <si>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</si>
  <si>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</si>
  <si>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</si>
  <si>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</si>
  <si>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</si>
  <si>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</si>
  <si>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</si>
  <si>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</si>
  <si>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</si>
  <si>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</si>
  <si>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</si>
  <si>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</si>
  <si>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</si>
  <si>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</si>
  <si>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</si>
  <si>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</si>
  <si>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</si>
  <si>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</si>
  <si>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</si>
  <si>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</si>
  <si>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</si>
  <si>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</si>
  <si>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</si>
  <si>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</si>
  <si>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</si>
  <si>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</si>
  <si>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</si>
  <si>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</si>
  <si>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</si>
  <si>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</si>
  <si>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</si>
  <si>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</si>
  <si>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</si>
  <si>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</si>
  <si>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</si>
  <si>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</si>
  <si>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</si>
  <si>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</si>
  <si>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</si>
  <si>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</si>
  <si>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</si>
  <si>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</si>
  <si>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</si>
  <si>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</si>
  <si>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</si>
  <si>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</si>
  <si>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</si>
  <si>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</si>
  <si>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</si>
  <si>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</si>
  <si>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</si>
  <si>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</si>
  <si>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</si>
  <si>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</si>
  <si>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</si>
  <si>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</si>
  <si>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</si>
  <si>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</si>
  <si>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</si>
  <si>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</si>
  <si>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</si>
  <si>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</si>
  <si>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</si>
  <si>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</si>
  <si>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</si>
  <si>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</si>
  <si>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</si>
  <si>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</si>
  <si>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</si>
  <si>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</si>
  <si>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</si>
  <si>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</si>
  <si>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</si>
  <si>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</si>
  <si>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</si>
  <si>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</si>
  <si>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</si>
  <si>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</si>
  <si>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</si>
  <si>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</si>
  <si>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</si>
  <si>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</si>
  <si>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</si>
  <si>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</si>
  <si>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</si>
  <si>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</si>
  <si>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</si>
  <si>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</si>
  <si>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</si>
  <si>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</si>
  <si>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</si>
  <si>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</si>
  <si>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</si>
  <si>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</si>
  <si>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</si>
  <si>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</si>
  <si>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</si>
  <si>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</si>
  <si>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</si>
  <si>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</si>
  <si>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</si>
  <si>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</si>
  <si>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</si>
  <si>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</si>
  <si>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</si>
  <si>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</si>
  <si>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</si>
  <si>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</si>
  <si>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</si>
  <si>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</si>
  <si>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</si>
  <si>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</si>
  <si>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</si>
  <si>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</si>
  <si>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</si>
  <si>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</si>
  <si>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</si>
  <si>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</si>
  <si>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</si>
  <si>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</si>
  <si>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</si>
  <si>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</si>
  <si>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</si>
  <si>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</si>
  <si>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</si>
  <si>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</si>
  <si>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</si>
  <si>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</si>
  <si>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</si>
  <si>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</si>
  <si>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</si>
  <si>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</si>
  <si>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</si>
  <si>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</si>
  <si>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</si>
  <si>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</si>
  <si>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</si>
  <si>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</si>
  <si>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</si>
  <si>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</si>
  <si>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</si>
  <si>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</si>
  <si>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</si>
  <si>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</si>
  <si>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</si>
  <si>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</si>
  <si>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</si>
  <si>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</si>
  <si>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</si>
  <si>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</si>
  <si>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</si>
  <si>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</si>
  <si>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</si>
  <si>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</si>
  <si>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</si>
  <si>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</si>
  <si>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</si>
  <si>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</si>
  <si>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</si>
  <si>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</si>
  <si>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</si>
  <si>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</si>
  <si>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</si>
  <si>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</si>
  <si>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</si>
  <si>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</si>
  <si>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</si>
  <si>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</si>
  <si>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</si>
  <si>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</si>
  <si>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</si>
  <si>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</si>
  <si>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</si>
  <si>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</si>
  <si>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</si>
  <si>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</si>
  <si>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</si>
  <si>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</si>
  <si>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</si>
  <si>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</si>
  <si>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</si>
  <si>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</si>
  <si>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</si>
  <si>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</si>
  <si>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</si>
  <si>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</si>
  <si>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</si>
  <si>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</si>
  <si>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</si>
  <si>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</si>
  <si>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</si>
  <si>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</si>
  <si>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</si>
  <si>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</si>
  <si>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</si>
  <si>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</si>
  <si>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</si>
  <si>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</si>
  <si>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</si>
  <si>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</si>
  <si>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</si>
  <si>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</si>
  <si>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</si>
  <si>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</si>
  <si>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</si>
  <si>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</si>
  <si>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</si>
  <si>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</si>
  <si>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</si>
  <si>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</si>
  <si>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</si>
  <si>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</si>
  <si>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</si>
  <si>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</si>
  <si>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</si>
  <si>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</si>
  <si>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</si>
  <si>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</si>
  <si>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</si>
  <si>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</si>
  <si>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</si>
  <si>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</si>
  <si>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</si>
  <si>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</si>
  <si>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</si>
  <si>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</si>
  <si>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</si>
  <si>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</si>
  <si>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</si>
  <si>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</si>
  <si>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</si>
  <si>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</si>
  <si>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</si>
  <si>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</si>
  <si>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</si>
  <si>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</si>
  <si>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</si>
  <si>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</si>
  <si>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</si>
  <si>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</si>
  <si>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</si>
  <si>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</si>
  <si>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</si>
  <si>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</si>
  <si>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</si>
  <si>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</si>
  <si>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</si>
  <si>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</si>
  <si>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</si>
  <si>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</si>
  <si>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</si>
  <si>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</si>
  <si>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</si>
  <si>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</si>
  <si>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</si>
  <si>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</si>
  <si>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</si>
  <si>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</si>
  <si>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</si>
  <si>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</si>
  <si>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</si>
  <si>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</si>
  <si>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</si>
  <si>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</si>
  <si>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</si>
  <si>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</si>
  <si>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</si>
  <si>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</si>
  <si>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</si>
  <si>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</si>
  <si>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</si>
  <si>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</si>
  <si>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</si>
  <si>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</si>
  <si>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</si>
  <si>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</si>
  <si>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</si>
  <si>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</si>
  <si>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</si>
  <si>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</si>
  <si>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</si>
  <si>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</si>
  <si>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</si>
  <si>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</si>
  <si>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</si>
  <si>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</si>
  <si>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</si>
  <si>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</si>
  <si>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</si>
  <si>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</si>
  <si>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</si>
  <si>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</si>
  <si>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</si>
  <si>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</si>
  <si>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</si>
  <si>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</si>
  <si>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</si>
  <si>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</si>
  <si>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</si>
  <si>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</si>
  <si>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</si>
  <si>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</si>
  <si>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</si>
  <si>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</si>
  <si>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</si>
  <si>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</si>
  <si>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</si>
  <si>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</si>
  <si>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</si>
  <si>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</si>
  <si>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</si>
  <si>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</si>
  <si>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</si>
  <si>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</si>
  <si>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</si>
  <si>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</si>
  <si>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</si>
  <si>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</si>
  <si>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</si>
  <si>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</si>
  <si>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</si>
  <si>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</si>
  <si>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</si>
  <si>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</si>
  <si>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</si>
  <si>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</si>
  <si>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</si>
  <si>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</si>
  <si>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</si>
  <si>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</si>
  <si>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</si>
  <si>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</si>
  <si>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</si>
  <si>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</si>
  <si>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</si>
  <si>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</si>
  <si>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</si>
  <si>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</si>
  <si>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</si>
  <si>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</si>
  <si>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</si>
  <si>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</si>
  <si>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</si>
  <si>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</si>
  <si>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</si>
  <si>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</si>
  <si>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</si>
  <si>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</si>
  <si>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</si>
  <si>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</si>
  <si>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</si>
  <si>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</si>
  <si>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</si>
  <si>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</si>
  <si>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</si>
  <si>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</si>
  <si>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</si>
  <si>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</si>
  <si>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</si>
  <si>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</si>
  <si>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</si>
  <si>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</si>
  <si>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</si>
  <si>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</si>
  <si>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</si>
  <si>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</si>
  <si>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</si>
  <si>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</si>
  <si>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</si>
  <si>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</si>
  <si>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</si>
  <si>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</si>
  <si>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</si>
  <si>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</si>
  <si>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</si>
  <si>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</si>
  <si>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</si>
  <si>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</si>
  <si>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</si>
  <si>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</si>
  <si>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</si>
  <si>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</si>
  <si>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</si>
  <si>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</si>
  <si>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</si>
  <si>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</si>
  <si>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</si>
  <si>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</si>
  <si>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</si>
  <si>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</si>
  <si>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</si>
  <si>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</si>
  <si>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</si>
  <si>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</si>
  <si>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</si>
  <si>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</si>
  <si>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</si>
  <si>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</si>
  <si>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</si>
  <si>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</si>
  <si>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</si>
  <si>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</si>
  <si>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</si>
  <si>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</si>
  <si>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</si>
  <si>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</si>
  <si>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</si>
  <si>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</si>
  <si>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</si>
  <si>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</si>
  <si>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</si>
  <si>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</si>
  <si>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</si>
  <si>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</si>
  <si>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</si>
  <si>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</si>
  <si>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</si>
  <si>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</si>
  <si>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</si>
  <si>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</si>
  <si>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</si>
  <si>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</si>
  <si>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</si>
  <si>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</si>
  <si>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</si>
  <si>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</si>
  <si>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</si>
  <si>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</si>
  <si>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</si>
  <si>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</si>
  <si>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</si>
  <si>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</si>
  <si>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</si>
  <si>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</si>
  <si>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</si>
  <si>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</si>
  <si>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</si>
  <si>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</si>
  <si>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</si>
  <si>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</si>
  <si>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</si>
  <si>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</si>
  <si>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</si>
  <si>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</si>
  <si>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</si>
  <si>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</si>
  <si>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</si>
  <si>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</si>
  <si>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</si>
  <si>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</si>
  <si>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</si>
  <si>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</si>
  <si>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</si>
  <si>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</si>
  <si>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</si>
  <si>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</si>
  <si>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</si>
  <si>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</si>
  <si>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</si>
  <si>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</si>
  <si>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</si>
  <si>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</si>
  <si>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</si>
  <si>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</si>
  <si>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</si>
  <si>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</si>
  <si>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</si>
  <si>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</si>
  <si>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</si>
  <si>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</si>
  <si>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</si>
  <si>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</si>
  <si>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</si>
  <si>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</si>
  <si>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</si>
  <si>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</si>
  <si>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</si>
  <si>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</si>
  <si>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</si>
  <si>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</si>
  <si>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</si>
  <si>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</si>
  <si>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</si>
  <si>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</si>
  <si>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</si>
  <si>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</si>
  <si>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</si>
  <si>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</si>
  <si>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</si>
  <si>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</si>
  <si>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</si>
  <si>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</si>
  <si>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</si>
  <si>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</si>
  <si>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</si>
  <si>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</si>
  <si>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</si>
  <si>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</si>
  <si>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</si>
  <si>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</si>
  <si>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</si>
  <si>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</si>
  <si>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</si>
  <si>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</si>
  <si>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</si>
  <si>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</si>
  <si>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</si>
  <si>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</si>
  <si>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</si>
  <si>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</si>
  <si>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</si>
  <si>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</si>
  <si>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</si>
  <si>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</si>
  <si>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</si>
  <si>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</si>
  <si>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</si>
  <si>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</si>
  <si>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</si>
  <si>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</si>
  <si>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</si>
  <si>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</si>
  <si>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</si>
  <si>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</si>
  <si>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</si>
  <si>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</si>
  <si>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</si>
  <si>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</si>
  <si>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</si>
  <si>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</si>
  <si>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</si>
  <si>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</si>
  <si>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</si>
  <si>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</si>
  <si>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</si>
  <si>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</si>
  <si>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</si>
  <si>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</si>
  <si>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</si>
  <si>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</si>
  <si>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</si>
  <si>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</si>
  <si>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</si>
  <si>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</si>
  <si>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</si>
  <si>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</si>
  <si>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</si>
  <si>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</si>
  <si>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</si>
  <si>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</si>
  <si>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</si>
  <si>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</si>
  <si>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</si>
  <si>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</si>
  <si>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</si>
  <si>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</si>
  <si>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</si>
  <si>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</si>
  <si>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</si>
  <si>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</si>
  <si>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</si>
  <si>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</si>
  <si>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</si>
  <si>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</si>
  <si>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</si>
  <si>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</si>
  <si>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</si>
  <si>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</si>
  <si>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</si>
  <si>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</si>
  <si>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</si>
  <si>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</si>
  <si>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</si>
  <si>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</si>
  <si>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</si>
  <si>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</si>
  <si>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</si>
  <si>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</si>
  <si>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</si>
  <si>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</si>
  <si>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</si>
  <si>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</si>
  <si>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</si>
  <si>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</si>
  <si>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</si>
  <si>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</si>
  <si>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</si>
  <si>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</si>
  <si>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</si>
  <si>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</si>
  <si>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</si>
  <si>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</si>
  <si>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</si>
  <si>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</si>
  <si>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</si>
  <si>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</si>
  <si>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</si>
  <si>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</si>
  <si>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</si>
  <si>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</si>
  <si>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</si>
  <si>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</si>
  <si>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</si>
  <si>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</si>
  <si>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</si>
  <si>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</si>
  <si>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</si>
  <si>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</si>
  <si>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</si>
  <si>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</si>
  <si>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</si>
  <si>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</si>
  <si>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</si>
  <si>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</si>
  <si>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</si>
  <si>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</si>
  <si>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</si>
  <si>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</si>
  <si>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</si>
  <si>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</si>
  <si>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</si>
  <si>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</si>
  <si>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</si>
  <si>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</si>
  <si>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</si>
  <si>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</si>
  <si>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</si>
  <si>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</si>
  <si>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</si>
  <si>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</si>
  <si>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</si>
  <si>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</si>
  <si>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</si>
  <si>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</si>
  <si>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</si>
  <si>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</si>
  <si>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</si>
  <si>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</si>
  <si>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</si>
  <si>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</si>
  <si>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</si>
  <si>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</si>
  <si>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</si>
  <si>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</si>
  <si>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</si>
  <si>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</si>
  <si>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</si>
  <si>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</si>
  <si>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</si>
  <si>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</si>
  <si>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</si>
  <si>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</si>
  <si>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</si>
  <si>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</si>
  <si>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</si>
  <si>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</si>
  <si>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</si>
  <si>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</si>
  <si>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</si>
  <si>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</si>
  <si>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</si>
  <si>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</si>
  <si>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</si>
  <si>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</si>
  <si>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</si>
  <si>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</si>
  <si>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</si>
  <si>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</si>
  <si>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</si>
  <si>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</si>
  <si>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</si>
  <si>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</si>
  <si>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</si>
  <si>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</si>
  <si>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</si>
  <si>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</si>
  <si>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</si>
  <si>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</si>
  <si>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</si>
  <si>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</si>
  <si>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</si>
  <si>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</si>
  <si>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</si>
  <si>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</si>
  <si>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</si>
  <si>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</si>
  <si>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</si>
  <si>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</si>
  <si>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</si>
  <si>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</si>
  <si>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</si>
  <si>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</si>
  <si>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</si>
  <si>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</si>
  <si>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</si>
  <si>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</si>
  <si>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</si>
  <si>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</si>
  <si>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</si>
  <si>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</si>
  <si>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</si>
  <si>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</si>
  <si>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</si>
  <si>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</si>
  <si>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</si>
  <si>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</si>
  <si>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</si>
  <si>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</si>
  <si>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</si>
  <si>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</si>
  <si>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</si>
  <si>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</si>
  <si>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</si>
  <si>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</si>
  <si>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</si>
  <si>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</si>
  <si>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</si>
  <si>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</si>
  <si>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</si>
  <si>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</si>
  <si>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</si>
  <si>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</si>
  <si>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</si>
  <si>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</si>
  <si>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</si>
  <si>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</si>
  <si>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</si>
  <si>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</si>
  <si>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</si>
  <si>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</si>
  <si>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</si>
  <si>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</si>
  <si>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</si>
  <si>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</si>
  <si>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</si>
  <si>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</si>
  <si>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</si>
  <si>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</si>
  <si>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</si>
  <si>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</si>
  <si>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</si>
  <si>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</si>
  <si>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</si>
  <si>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</si>
  <si>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</si>
  <si>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</si>
  <si>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</si>
  <si>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</si>
  <si>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</si>
  <si>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</si>
  <si>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</si>
  <si>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</si>
  <si>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</si>
  <si>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</si>
  <si>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</si>
  <si>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</si>
  <si>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</si>
  <si>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</si>
  <si>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</si>
  <si>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</si>
  <si>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</si>
  <si>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</si>
  <si>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</si>
  <si>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</si>
  <si>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</si>
  <si>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</si>
  <si>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</si>
  <si>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</si>
  <si>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</si>
  <si>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</si>
  <si>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</si>
  <si>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</si>
  <si>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</si>
  <si>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</si>
  <si>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</si>
  <si>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</si>
  <si>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</si>
  <si>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</si>
  <si>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</si>
  <si>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</si>
  <si>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</si>
  <si>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</si>
  <si>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</si>
  <si>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</si>
  <si>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</si>
  <si>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</si>
  <si>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</si>
  <si>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</si>
  <si>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</si>
  <si>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</si>
  <si>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</si>
  <si>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</si>
  <si>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</si>
  <si>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</si>
  <si>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</si>
  <si>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</si>
  <si>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</si>
  <si>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</si>
  <si>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</si>
  <si>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</si>
  <si>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</si>
  <si>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</si>
  <si>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</si>
  <si>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</si>
  <si>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</si>
  <si>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</si>
  <si>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</si>
  <si>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</si>
  <si>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</si>
  <si>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</si>
  <si>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</si>
  <si>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</si>
  <si>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</si>
  <si>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</si>
  <si>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</si>
  <si>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</si>
  <si>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</si>
  <si>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</si>
  <si>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</si>
  <si>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</si>
  <si>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</si>
  <si>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</si>
  <si>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</si>
  <si>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</si>
  <si>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</si>
  <si>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</si>
  <si>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</si>
  <si>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</si>
  <si>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</si>
  <si>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</si>
  <si>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</si>
  <si>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</si>
  <si>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</si>
  <si>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</si>
  <si>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</si>
  <si>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</si>
  <si>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</si>
  <si>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</si>
  <si>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</si>
  <si>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</si>
  <si>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</si>
  <si>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</si>
  <si>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</si>
  <si>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</si>
  <si>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</si>
  <si>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</si>
  <si>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</si>
  <si>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</si>
  <si>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</si>
  <si>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</si>
  <si>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</si>
  <si>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</si>
  <si>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</si>
  <si>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</si>
  <si>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</si>
  <si>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</si>
  <si>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</si>
  <si>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</si>
  <si>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</si>
  <si>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</si>
  <si>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</si>
  <si>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</si>
  <si>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</si>
  <si>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</si>
  <si>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</si>
  <si>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</si>
  <si>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</si>
  <si>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</si>
  <si>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</si>
  <si>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</si>
  <si>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</si>
  <si>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</si>
  <si>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</si>
  <si>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</si>
  <si>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</si>
  <si>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</si>
  <si>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</si>
  <si>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</si>
  <si>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</si>
  <si>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</si>
  <si>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</si>
  <si>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</si>
  <si>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</si>
  <si>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</si>
  <si>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</si>
  <si>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</si>
  <si>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</si>
  <si>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</si>
  <si>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</si>
  <si>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</si>
  <si>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</si>
  <si>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</si>
  <si>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</si>
  <si>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</si>
  <si>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</si>
  <si>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</si>
  <si>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</si>
  <si>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</si>
  <si>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</si>
  <si>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</si>
  <si>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</si>
  <si>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</si>
  <si>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</si>
  <si>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</si>
  <si>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</si>
  <si>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</si>
  <si>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</si>
  <si>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</si>
  <si>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</si>
  <si>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</si>
  <si>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</si>
  <si>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</si>
  <si>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</si>
  <si>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</si>
  <si>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</si>
  <si>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</si>
  <si>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</si>
  <si>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</si>
  <si>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</si>
  <si>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</si>
  <si>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</si>
  <si>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</si>
  <si>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</si>
  <si>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</si>
  <si>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</si>
  <si>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</si>
  <si>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</si>
  <si>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</si>
  <si>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</si>
  <si>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</si>
  <si>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</si>
  <si>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</si>
  <si>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</si>
  <si>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</si>
  <si>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</si>
  <si>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</si>
  <si>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</si>
  <si>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</si>
  <si>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</si>
  <si>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</si>
  <si>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</si>
  <si>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</si>
  <si>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</si>
  <si>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</si>
  <si>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</si>
  <si>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</si>
  <si>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</si>
  <si>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</si>
  <si>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</si>
  <si>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</si>
  <si>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</si>
  <si>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</si>
  <si>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</si>
  <si>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</si>
  <si>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</si>
  <si>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</si>
  <si>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</si>
  <si>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</si>
  <si>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</si>
  <si>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</si>
  <si>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</si>
  <si>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</si>
  <si>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</si>
  <si>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</si>
  <si>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</si>
  <si>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</si>
  <si>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</si>
  <si>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</si>
  <si>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</si>
  <si>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</si>
  <si>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</si>
  <si>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</si>
  <si>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</si>
  <si>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</si>
  <si>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</si>
  <si>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</si>
  <si>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</si>
  <si>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</si>
  <si>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</si>
  <si>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</si>
  <si>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</si>
  <si>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</si>
  <si>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</si>
  <si>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</si>
  <si>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</si>
  <si>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</si>
  <si>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</si>
  <si>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</si>
  <si>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</si>
  <si>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</si>
  <si>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</si>
  <si>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</si>
  <si>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</si>
  <si>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</si>
  <si>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</si>
  <si>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</si>
  <si>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</si>
  <si>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</si>
  <si>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</si>
  <si>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</si>
  <si>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</si>
  <si>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</si>
  <si>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</si>
  <si>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</si>
  <si>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</si>
  <si>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</si>
  <si>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</si>
  <si>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</si>
  <si>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</si>
  <si>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</si>
  <si>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</si>
  <si>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</si>
  <si>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</si>
  <si>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</si>
  <si>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</si>
  <si>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</si>
  <si>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</si>
  <si>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</si>
  <si>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</si>
  <si>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</si>
  <si>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</si>
  <si>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</si>
  <si>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</si>
  <si>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</si>
  <si>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</si>
  <si>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</si>
  <si>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</si>
  <si>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</si>
  <si>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</si>
  <si>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</si>
  <si>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</si>
  <si>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</si>
  <si>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</si>
  <si>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</si>
  <si>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</si>
  <si>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</si>
  <si>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</si>
  <si>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</si>
  <si>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</si>
  <si>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</si>
  <si>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</si>
  <si>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</si>
  <si>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</si>
  <si>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</si>
  <si>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</si>
  <si>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</si>
  <si>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</si>
  <si>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</si>
  <si>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</si>
  <si>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</si>
  <si>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</si>
  <si>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</si>
  <si>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</si>
  <si>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</si>
  <si>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</si>
  <si>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</si>
  <si>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</si>
  <si>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</si>
  <si>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</si>
  <si>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</si>
  <si>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</si>
  <si>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</si>
  <si>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</si>
  <si>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</si>
  <si>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</si>
  <si>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</si>
  <si>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</si>
  <si>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</si>
  <si>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</si>
  <si>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</si>
  <si>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</si>
  <si>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</si>
  <si>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</si>
  <si>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</si>
  <si>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</si>
  <si>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</si>
  <si>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</si>
  <si>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</si>
  <si>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</si>
  <si>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</si>
  <si>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</si>
  <si>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</si>
  <si>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</si>
  <si>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</si>
  <si>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</si>
  <si>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</si>
  <si>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</si>
  <si>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</si>
  <si>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</si>
  <si>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</si>
  <si>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</si>
  <si>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</si>
  <si>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</si>
  <si>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</si>
  <si>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</si>
  <si>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</si>
  <si>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</si>
  <si>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</si>
  <si>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</si>
  <si>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</si>
  <si>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</si>
  <si>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</si>
  <si>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</si>
  <si>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</si>
  <si>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</si>
  <si>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</si>
  <si>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</si>
  <si>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</si>
  <si>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</si>
  <si>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</si>
  <si>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</si>
  <si>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</si>
  <si>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</si>
  <si>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</si>
  <si>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</si>
  <si>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</si>
  <si>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</si>
  <si>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</si>
  <si>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</si>
  <si>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</si>
  <si>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</si>
  <si>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</si>
  <si>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</si>
  <si>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</si>
  <si>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</si>
  <si>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</si>
  <si>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</si>
  <si>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</si>
  <si>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</si>
  <si>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</si>
  <si>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</si>
  <si>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</si>
  <si>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</si>
  <si>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</si>
  <si>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</si>
  <si>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</si>
  <si>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</si>
  <si>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</si>
  <si>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</si>
  <si>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</si>
  <si>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</si>
  <si>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</si>
  <si>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</si>
  <si>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</si>
  <si>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</si>
  <si>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</si>
  <si>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</si>
  <si>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</si>
  <si>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</si>
  <si>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</si>
  <si>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</si>
  <si>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</si>
  <si>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</si>
  <si>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</si>
  <si>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</si>
  <si>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</si>
  <si>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</si>
  <si>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</si>
  <si>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</si>
  <si>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</si>
  <si>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</si>
  <si>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</si>
  <si>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</si>
  <si>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</si>
  <si>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</si>
  <si>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</si>
  <si>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</si>
  <si>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</si>
  <si>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</si>
  <si>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</si>
  <si>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</si>
  <si>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</si>
  <si>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</si>
  <si>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</si>
  <si>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</si>
  <si>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</si>
  <si>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</si>
  <si>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</si>
  <si>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</si>
  <si>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</si>
  <si>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</si>
  <si>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</si>
  <si>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</si>
  <si>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</si>
  <si>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</si>
  <si>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</si>
  <si>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</si>
  <si>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</si>
  <si>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</si>
  <si>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</si>
  <si>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</si>
  <si>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</si>
  <si>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</si>
  <si>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</si>
  <si>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</si>
  <si>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</si>
  <si>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</si>
  <si>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</si>
  <si>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</si>
  <si>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</si>
  <si>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</si>
  <si>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</si>
  <si>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</si>
  <si>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</si>
  <si>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</si>
  <si>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</si>
  <si>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</si>
  <si>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</si>
  <si>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</si>
  <si>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</si>
  <si>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</si>
  <si>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</si>
  <si>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</si>
  <si>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</si>
  <si>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</si>
  <si>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</si>
  <si>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</si>
  <si>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</si>
  <si>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</si>
  <si>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</si>
  <si>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</si>
  <si>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</si>
  <si>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</si>
  <si>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</si>
  <si>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</si>
  <si>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</si>
  <si>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</si>
  <si>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</si>
  <si>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</si>
  <si>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</si>
  <si>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</si>
  <si>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</si>
  <si>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</si>
  <si>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</si>
  <si>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</si>
  <si>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</si>
  <si>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</si>
  <si>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</si>
  <si>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</si>
  <si>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</si>
  <si>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</si>
  <si>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</si>
  <si>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</si>
  <si>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</si>
  <si>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</si>
  <si>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</si>
  <si>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</si>
  <si>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</si>
  <si>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</si>
  <si>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</si>
  <si>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</si>
  <si>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</si>
  <si>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</si>
  <si>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</si>
  <si>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</si>
  <si>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</si>
  <si>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</si>
  <si>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</si>
  <si>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</si>
  <si>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</si>
  <si>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</si>
  <si>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</si>
  <si>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</si>
  <si>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</si>
  <si>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</si>
  <si>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</si>
  <si>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</si>
  <si>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</si>
  <si>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</si>
  <si>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</si>
  <si>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</si>
  <si>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</si>
  <si>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</si>
  <si>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</si>
  <si>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</si>
  <si>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</si>
  <si>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</si>
  <si>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</si>
  <si>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</si>
  <si>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</si>
  <si>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</si>
  <si>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</si>
  <si>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</si>
  <si>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</si>
  <si>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</si>
  <si>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</si>
  <si>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</si>
  <si>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</si>
  <si>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</si>
  <si>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</si>
  <si>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</si>
  <si>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</si>
  <si>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</si>
  <si>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</si>
  <si>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</si>
  <si>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</si>
  <si>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</si>
  <si>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</si>
  <si>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</si>
  <si>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</si>
  <si>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</si>
  <si>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</si>
  <si>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</si>
  <si>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</si>
  <si>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</si>
  <si>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</si>
  <si>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</si>
  <si>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</si>
  <si>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</si>
  <si>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</si>
  <si>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</si>
  <si>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</si>
  <si>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</si>
  <si>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</si>
  <si>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</si>
  <si>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</si>
  <si>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</si>
  <si>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</si>
  <si>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</si>
  <si>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</si>
  <si>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</si>
  <si>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</si>
  <si>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</si>
  <si>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</si>
  <si>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</si>
  <si>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</si>
  <si>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</si>
  <si>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</si>
  <si>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</si>
  <si>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</si>
  <si>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</si>
  <si>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</si>
  <si>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</si>
  <si>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</si>
  <si>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</si>
  <si>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</si>
  <si>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</si>
  <si>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</si>
  <si>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</si>
  <si>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</si>
  <si>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</si>
  <si>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</si>
  <si>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</si>
  <si>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</si>
  <si>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</si>
  <si>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</si>
  <si>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</si>
  <si>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</si>
  <si>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</si>
  <si>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</si>
  <si>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</si>
  <si>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</si>
  <si>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</si>
  <si>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</si>
  <si>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</si>
  <si>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</si>
  <si>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</si>
  <si>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</si>
  <si>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</si>
  <si>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</si>
  <si>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</si>
  <si>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</si>
  <si>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</si>
  <si>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</si>
  <si>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</si>
  <si>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</si>
  <si>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</si>
  <si>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</si>
  <si>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</si>
  <si>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</si>
  <si>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</si>
  <si>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</si>
  <si>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</si>
  <si>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</si>
  <si>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</si>
  <si>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</si>
  <si>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</si>
  <si>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</si>
  <si>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</si>
  <si>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</si>
  <si>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</si>
  <si>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</si>
  <si>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</si>
  <si>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</si>
  <si>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</si>
  <si>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</si>
  <si>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</si>
  <si>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</si>
  <si>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</si>
  <si>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</si>
  <si>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</si>
  <si>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</si>
  <si>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</si>
  <si>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</si>
  <si>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</si>
  <si>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</si>
  <si>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</si>
  <si>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</si>
  <si>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</si>
  <si>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</si>
  <si>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</si>
  <si>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</si>
  <si>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</si>
  <si>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</si>
  <si>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</si>
  <si>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</si>
  <si>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</si>
  <si>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</si>
  <si>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</si>
  <si>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</si>
  <si>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</si>
  <si>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</si>
  <si>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</si>
  <si>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</si>
  <si>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</si>
  <si>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</si>
  <si>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</si>
  <si>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</si>
  <si>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</si>
  <si>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</si>
  <si>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</si>
  <si>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</si>
  <si>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</si>
  <si>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</si>
  <si>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</si>
  <si>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</si>
  <si>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</si>
  <si>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</si>
  <si>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</si>
  <si>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</si>
  <si>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</si>
  <si>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</si>
  <si>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</si>
  <si>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</si>
  <si>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</si>
  <si>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</si>
  <si>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</si>
  <si>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</si>
  <si>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</si>
  <si>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</si>
  <si>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</si>
  <si>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</si>
  <si>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</si>
  <si>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</si>
  <si>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</si>
  <si>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</si>
  <si>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</si>
  <si>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</si>
  <si>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</si>
  <si>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</si>
  <si>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</si>
  <si>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</si>
  <si>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</si>
  <si>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</si>
  <si>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</si>
  <si>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</si>
  <si>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</si>
  <si>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</si>
  <si>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</si>
  <si>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</si>
  <si>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</si>
  <si>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</si>
  <si>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</si>
  <si>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</si>
  <si>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</si>
  <si>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</si>
  <si>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</si>
  <si>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</si>
  <si>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</si>
  <si>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</si>
  <si>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</si>
  <si>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</si>
  <si>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</si>
  <si>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</si>
  <si>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</si>
  <si>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</si>
  <si>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</si>
  <si>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</si>
  <si>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</si>
  <si>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</si>
  <si>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</si>
  <si>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</si>
  <si>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</si>
  <si>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</si>
  <si>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</si>
  <si>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</si>
  <si>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</si>
  <si>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</si>
  <si>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</si>
  <si>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</si>
  <si>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</si>
  <si>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</si>
  <si>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</si>
  <si>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</si>
  <si>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</si>
  <si>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</si>
  <si>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</si>
  <si>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</si>
  <si>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</si>
  <si>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</si>
  <si>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</si>
  <si>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</si>
  <si>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</si>
  <si>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</si>
  <si>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</si>
  <si>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</si>
  <si>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</si>
  <si>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</si>
  <si>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</si>
  <si>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</si>
  <si>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</si>
  <si>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</si>
  <si>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</si>
  <si>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</si>
  <si>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</si>
  <si>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</si>
  <si>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</si>
  <si>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</si>
  <si>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</si>
  <si>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</si>
  <si>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</si>
  <si>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</si>
  <si>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</si>
  <si>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</si>
  <si>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</si>
  <si>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</si>
  <si>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</si>
  <si>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</si>
  <si>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</si>
  <si>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</si>
  <si>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</si>
  <si>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</si>
  <si>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</si>
  <si>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</si>
  <si>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</si>
  <si>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</si>
  <si>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</si>
  <si>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</si>
  <si>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</si>
  <si>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</si>
  <si>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</si>
  <si>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</si>
  <si>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</si>
  <si>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</si>
  <si>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</si>
  <si>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</si>
  <si>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</si>
  <si>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</si>
  <si>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</si>
  <si>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</si>
  <si>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</si>
  <si>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</si>
  <si>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</si>
  <si>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</si>
  <si>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</si>
  <si>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</si>
  <si>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</si>
  <si>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</si>
  <si>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</si>
  <si>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</si>
  <si>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</si>
  <si>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</si>
  <si>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</si>
  <si>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</si>
  <si>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</si>
  <si>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</si>
  <si>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</si>
  <si>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</si>
  <si>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</si>
  <si>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</si>
  <si>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</si>
  <si>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</si>
  <si>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</si>
  <si>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</si>
  <si>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</si>
  <si>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</si>
  <si>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</si>
  <si>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</si>
  <si>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</si>
  <si>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</si>
  <si>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</si>
  <si>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</si>
  <si>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</si>
  <si>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</si>
  <si>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</si>
  <si>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</si>
  <si>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</si>
  <si>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</si>
  <si>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</si>
  <si>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</si>
  <si>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</si>
  <si>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</si>
  <si>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</si>
  <si>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</si>
  <si>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</si>
  <si>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</si>
  <si>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</si>
  <si>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</si>
  <si>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</si>
  <si>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</si>
  <si>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</si>
  <si>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</si>
  <si>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</si>
  <si>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</si>
  <si>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</si>
  <si>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</si>
  <si>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</si>
  <si>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</si>
  <si>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</si>
  <si>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</si>
  <si>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</si>
  <si>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</si>
  <si>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</si>
  <si>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</si>
  <si>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</si>
  <si>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</si>
  <si>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</si>
  <si>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</si>
  <si>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</si>
  <si>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</si>
  <si>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</si>
  <si>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</si>
  <si>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</si>
  <si>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</si>
  <si>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</si>
  <si>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</si>
  <si>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</si>
  <si>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</si>
  <si>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</si>
  <si>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</si>
  <si>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</si>
  <si>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</si>
  <si>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</si>
  <si>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</si>
  <si>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</si>
  <si>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</si>
  <si>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</si>
  <si>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</si>
  <si>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</si>
  <si>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</si>
  <si>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</si>
  <si>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</si>
  <si>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</si>
  <si>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</si>
  <si>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</si>
  <si>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</si>
  <si>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</si>
  <si>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</si>
  <si>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</si>
  <si>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</si>
  <si>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</si>
  <si>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</si>
  <si>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</si>
  <si>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</si>
  <si>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</si>
  <si>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</si>
  <si>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</si>
  <si>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</si>
  <si>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</si>
  <si>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</si>
  <si>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</si>
  <si>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</si>
  <si>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</si>
  <si>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</si>
  <si>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</si>
  <si>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</si>
  <si>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</si>
  <si>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</si>
  <si>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</si>
  <si>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</si>
  <si>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</si>
  <si>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</si>
  <si>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</si>
  <si>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</si>
  <si>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</si>
  <si>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</si>
  <si>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</si>
  <si>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</si>
  <si>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</si>
  <si>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</si>
  <si>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</si>
  <si>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</si>
  <si>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</si>
  <si>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</si>
  <si>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</si>
  <si>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</si>
  <si>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</si>
  <si>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</si>
  <si>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</si>
  <si>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</si>
  <si>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</si>
  <si>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</si>
  <si>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</si>
  <si>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</si>
  <si>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</si>
  <si>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</si>
  <si>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</si>
  <si>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</si>
  <si>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</si>
  <si>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</si>
  <si>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</si>
  <si>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</si>
  <si>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</si>
  <si>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</si>
  <si>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</si>
  <si>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</si>
  <si>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</si>
  <si>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</si>
  <si>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</si>
  <si>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</si>
  <si>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</si>
  <si>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</si>
  <si>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</si>
  <si>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</si>
  <si>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</si>
  <si>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</si>
  <si>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</si>
  <si>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</si>
  <si>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</si>
  <si>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</si>
  <si>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</si>
  <si>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</si>
  <si>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</si>
  <si>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</si>
  <si>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</si>
  <si>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</si>
  <si>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</si>
  <si>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</si>
  <si>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</si>
  <si>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</si>
  <si>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</si>
  <si>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</si>
  <si>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</si>
  <si>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</si>
  <si>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</si>
  <si>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</si>
  <si>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</si>
  <si>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</si>
  <si>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</si>
  <si>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</si>
  <si>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</si>
  <si>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</si>
  <si>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</si>
  <si>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</si>
  <si>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</si>
  <si>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</si>
  <si>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</si>
  <si>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</si>
  <si>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</si>
  <si>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</si>
  <si>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</si>
  <si>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</si>
  <si>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</si>
  <si>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</si>
  <si>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</si>
  <si>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</si>
  <si>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</si>
  <si>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</si>
  <si>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</si>
  <si>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</si>
  <si>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</si>
  <si>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</si>
  <si>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</si>
  <si>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</si>
  <si>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</si>
  <si>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</si>
  <si>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</si>
  <si>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</si>
  <si>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</si>
  <si>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</si>
  <si>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</si>
  <si>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</si>
  <si>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</si>
  <si>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</si>
  <si>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</si>
  <si>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</si>
  <si>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</si>
  <si>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</si>
  <si>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</si>
  <si>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</si>
  <si>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</si>
  <si>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</si>
  <si>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</si>
  <si>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</si>
  <si>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</si>
  <si>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</si>
  <si>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</si>
  <si>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</si>
  <si>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</si>
  <si>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</si>
  <si>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</si>
  <si>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</si>
  <si>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</si>
  <si>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</si>
  <si>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</si>
  <si>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</si>
  <si>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</si>
  <si>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</si>
  <si>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</si>
  <si>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</si>
  <si>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</si>
  <si>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</si>
  <si>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</si>
  <si>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</si>
  <si>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</si>
  <si>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</si>
  <si>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</si>
  <si>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</si>
  <si>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</si>
  <si>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</si>
  <si>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</si>
  <si>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</si>
  <si>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</si>
  <si>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</si>
  <si>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</si>
  <si>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</si>
  <si>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</si>
  <si>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</si>
  <si>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</si>
  <si>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</si>
  <si>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</si>
  <si>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</si>
  <si>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</si>
  <si>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</si>
  <si>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</si>
  <si>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</si>
  <si>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</si>
  <si>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</si>
  <si>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</si>
  <si>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</si>
  <si>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</si>
  <si>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</si>
  <si>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</si>
  <si>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</si>
  <si>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</si>
  <si>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</si>
  <si>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</si>
  <si>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</si>
  <si>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</si>
  <si>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</si>
  <si>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</si>
  <si>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</si>
  <si>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</si>
  <si>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</si>
  <si>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</si>
  <si>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</si>
  <si>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</si>
  <si>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</si>
  <si>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</si>
  <si>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</si>
  <si>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</si>
  <si>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</si>
  <si>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</si>
  <si>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</si>
  <si>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</si>
  <si>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</si>
  <si>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</si>
  <si>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</si>
  <si>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</si>
  <si>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</si>
  <si>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</si>
  <si>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</si>
  <si>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</si>
  <si>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</si>
  <si>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</si>
  <si>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</si>
  <si>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</si>
  <si>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</si>
  <si>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</si>
  <si>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</si>
  <si>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</si>
  <si>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</si>
  <si>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</si>
  <si>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</si>
  <si>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</si>
  <si>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</si>
  <si>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</si>
  <si>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</si>
  <si>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</si>
  <si>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</si>
  <si>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</si>
  <si>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</si>
  <si>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</si>
  <si>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</si>
  <si>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</si>
  <si>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</si>
  <si>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</si>
  <si>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</si>
  <si>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</si>
  <si>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</si>
  <si>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</si>
  <si>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</si>
  <si>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</si>
  <si>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</si>
  <si>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</si>
  <si>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</si>
  <si>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</si>
  <si>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</si>
  <si>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</si>
  <si>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</si>
  <si>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</si>
  <si>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</si>
  <si>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</si>
  <si>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</si>
  <si>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</si>
  <si>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</si>
  <si>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</si>
  <si>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</si>
  <si>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</si>
  <si>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</si>
  <si>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</si>
  <si>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</si>
  <si>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</si>
  <si>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</si>
  <si>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</si>
  <si>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</si>
  <si>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</si>
  <si>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</si>
  <si>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</si>
  <si>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</si>
  <si>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</si>
  <si>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</si>
  <si>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</si>
  <si>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</si>
  <si>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</si>
  <si>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</si>
  <si>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</si>
  <si>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</si>
  <si>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</si>
  <si>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</si>
  <si>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</si>
  <si>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</si>
  <si>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</si>
  <si>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</si>
  <si>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</si>
  <si>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</si>
  <si>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</si>
  <si>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</si>
  <si>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</si>
  <si>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</si>
  <si>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</si>
  <si>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</si>
  <si>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</si>
  <si>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</si>
  <si>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</si>
  <si>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</si>
  <si>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</si>
  <si>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</si>
  <si>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</si>
  <si>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</si>
  <si>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</si>
  <si>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</si>
  <si>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</si>
  <si>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</si>
  <si>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</si>
  <si>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</si>
  <si>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</si>
  <si>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</si>
  <si>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</si>
  <si>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</si>
  <si>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</si>
  <si>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</si>
  <si>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</si>
  <si>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</si>
  <si>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</si>
  <si>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</si>
  <si>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</si>
  <si>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</si>
  <si>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</si>
  <si>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</si>
  <si>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</si>
  <si>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</si>
  <si>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</si>
  <si>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</si>
  <si>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</si>
  <si>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</si>
  <si>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</si>
  <si>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</si>
  <si>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</si>
  <si>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</si>
  <si>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</si>
  <si>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</si>
  <si>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</si>
  <si>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</si>
  <si>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</si>
  <si>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</si>
  <si>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</si>
  <si>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</si>
  <si>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</si>
  <si>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</si>
  <si>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</si>
  <si>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</si>
  <si>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</si>
  <si>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</si>
  <si>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</si>
  <si>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</si>
  <si>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</si>
  <si>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</si>
  <si>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</si>
  <si>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</si>
  <si>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</si>
  <si>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</si>
  <si>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</si>
  <si>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</si>
  <si>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</si>
  <si>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</si>
  <si>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</si>
  <si>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</si>
  <si>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</si>
  <si>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</si>
  <si>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</si>
  <si>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</si>
  <si>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</si>
  <si>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</si>
  <si>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</si>
  <si>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</si>
  <si>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</si>
  <si>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</si>
  <si>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</si>
  <si>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</si>
  <si>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</si>
  <si>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</si>
  <si>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</si>
  <si>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</si>
  <si>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</si>
  <si>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</si>
  <si>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</si>
  <si>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</si>
  <si>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</si>
  <si>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</si>
  <si>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</si>
  <si>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</si>
  <si>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</si>
  <si>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</si>
  <si>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</si>
  <si>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</si>
  <si>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</si>
  <si>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</si>
  <si>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</si>
  <si>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</si>
  <si>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</si>
  <si>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</si>
  <si>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</si>
  <si>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</si>
  <si>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</si>
  <si>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</si>
  <si>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</si>
  <si>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</si>
  <si>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</si>
  <si>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</si>
  <si>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</si>
  <si>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</si>
  <si>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</si>
  <si>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</si>
  <si>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</si>
  <si>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</si>
  <si>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</si>
  <si>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</si>
  <si>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</si>
  <si>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</si>
  <si>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</si>
  <si>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</si>
  <si>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</si>
  <si>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</si>
  <si>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</si>
  <si>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</si>
  <si>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</si>
  <si>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</si>
  <si>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</si>
  <si>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</si>
  <si>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</si>
  <si>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</si>
  <si>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</si>
  <si>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</si>
  <si>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</si>
  <si>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</si>
  <si>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</si>
  <si>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</si>
  <si>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</si>
  <si>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</si>
  <si>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</si>
  <si>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</si>
  <si>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</si>
  <si>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</si>
  <si>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</si>
  <si>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</si>
  <si>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</si>
  <si>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</si>
  <si>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</si>
  <si>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</si>
  <si>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</si>
  <si>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</si>
  <si>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</si>
  <si>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</si>
  <si>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</si>
  <si>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</si>
  <si>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</si>
  <si>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</si>
  <si>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</si>
  <si>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</si>
  <si>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</si>
  <si>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</si>
  <si>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</si>
  <si>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</si>
  <si>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</si>
  <si>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</si>
  <si>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</si>
  <si>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</si>
  <si>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</si>
  <si>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</si>
  <si>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</si>
  <si>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</si>
  <si>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</si>
  <si>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</si>
  <si>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</si>
  <si>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</si>
  <si>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</si>
  <si>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</si>
  <si>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</si>
  <si>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</si>
  <si>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</si>
  <si>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</si>
  <si>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</si>
  <si>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</si>
  <si>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</si>
  <si>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</si>
  <si>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</si>
  <si>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</si>
  <si>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</si>
  <si>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</si>
  <si>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</si>
  <si>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</si>
  <si>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</si>
  <si>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</si>
  <si>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</si>
  <si>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</si>
  <si>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</si>
  <si>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</si>
  <si>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</si>
  <si>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</si>
  <si>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</si>
  <si>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</si>
  <si>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</si>
  <si>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</si>
  <si>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</si>
  <si>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</si>
  <si>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</si>
  <si>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</si>
  <si>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</si>
  <si>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</si>
  <si>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</si>
  <si>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</si>
  <si>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</si>
  <si>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</si>
  <si>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</si>
  <si>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</si>
  <si>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</si>
  <si>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</si>
  <si>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</si>
  <si>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</si>
  <si>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</si>
  <si>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</si>
  <si>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</si>
  <si>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</si>
  <si>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</si>
  <si>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</si>
  <si>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</si>
  <si>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</si>
  <si>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</si>
  <si>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</si>
  <si>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</si>
  <si>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</si>
  <si>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</si>
  <si>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</si>
  <si>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</si>
  <si>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</si>
  <si>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</si>
  <si>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</si>
  <si>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</si>
  <si>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</si>
  <si>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</si>
  <si>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</si>
  <si>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</si>
  <si>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</si>
  <si>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</si>
  <si>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</si>
  <si>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</si>
  <si>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</si>
  <si>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</si>
  <si>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</si>
  <si>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</si>
  <si>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</si>
  <si>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</si>
  <si>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</si>
  <si>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</si>
  <si>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</si>
  <si>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</si>
  <si>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</si>
  <si>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</si>
  <si>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</si>
  <si>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</si>
  <si>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</si>
  <si>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</si>
  <si>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</si>
  <si>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</si>
  <si>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</si>
  <si>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</si>
  <si>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</si>
  <si>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</si>
  <si>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</si>
  <si>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</si>
  <si>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</si>
  <si>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</si>
  <si>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</si>
  <si>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</si>
  <si>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</si>
  <si>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</si>
  <si>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</si>
  <si>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</si>
  <si>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</si>
  <si>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</si>
  <si>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</si>
  <si>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</si>
  <si>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</si>
  <si>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</si>
  <si>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</si>
  <si>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</si>
  <si>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</si>
  <si>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</si>
  <si>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</si>
  <si>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</si>
  <si>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</si>
  <si>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</si>
  <si>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</si>
  <si>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</si>
  <si>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</si>
  <si>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</si>
  <si>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</si>
  <si>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</si>
  <si>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</si>
  <si>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</si>
  <si>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</si>
  <si>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</si>
  <si>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</si>
  <si>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</si>
  <si>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</si>
  <si>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</si>
  <si>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</si>
  <si>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</si>
  <si>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</si>
  <si>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</si>
  <si>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</si>
  <si>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</si>
  <si>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</si>
  <si>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</si>
  <si>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</si>
  <si>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</si>
  <si>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</si>
  <si>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</si>
  <si>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</si>
  <si>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</si>
  <si>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</si>
  <si>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</si>
  <si>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</si>
  <si>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</si>
  <si>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</si>
  <si>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</si>
  <si>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</si>
  <si>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</si>
  <si>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</si>
  <si>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</si>
  <si>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</si>
  <si>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</si>
  <si>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</si>
  <si>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</si>
  <si>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</si>
  <si>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</si>
  <si>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</si>
  <si>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</si>
  <si>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</si>
  <si>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</si>
  <si>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</si>
  <si>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</si>
  <si>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</si>
  <si>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</si>
  <si>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</si>
  <si>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</si>
  <si>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</si>
  <si>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</si>
  <si>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</si>
  <si>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</si>
  <si>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</si>
  <si>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</si>
  <si>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</si>
  <si>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</si>
  <si>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</si>
  <si>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</si>
  <si>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</si>
  <si>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</si>
  <si>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</si>
  <si>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</si>
  <si>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</si>
  <si>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</si>
  <si>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</si>
  <si>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</si>
  <si>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</si>
  <si>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</si>
  <si>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</si>
  <si>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</si>
  <si>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</si>
  <si>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</si>
  <si>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</si>
  <si>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</si>
  <si>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</si>
  <si>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</si>
  <si>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</si>
  <si>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</si>
  <si>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</si>
  <si>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</si>
  <si>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</si>
  <si>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</si>
  <si>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</si>
  <si>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</si>
  <si>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</si>
  <si>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</si>
  <si>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</si>
  <si>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</si>
  <si>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</si>
  <si>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</si>
  <si>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</si>
  <si>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</si>
  <si>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</si>
  <si>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</si>
  <si>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</si>
  <si>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</si>
  <si>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</si>
  <si>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</si>
  <si>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</si>
  <si>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</si>
  <si>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</si>
  <si>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</si>
  <si>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</si>
  <si>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</si>
  <si>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</si>
  <si>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</si>
  <si>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</si>
  <si>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</si>
  <si>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</si>
  <si>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</si>
  <si>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</si>
  <si>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</si>
  <si>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</si>
  <si>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</si>
  <si>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</si>
  <si>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</si>
  <si>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</si>
  <si>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</si>
  <si>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</si>
  <si>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</si>
  <si>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</si>
  <si>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</si>
  <si>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</si>
  <si>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</si>
  <si>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</si>
  <si>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</si>
  <si>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</si>
  <si>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</si>
  <si>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</si>
  <si>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</si>
  <si>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</si>
  <si>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</si>
  <si>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</si>
  <si>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</si>
  <si>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</si>
  <si>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</si>
  <si>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</si>
  <si>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</si>
  <si>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</si>
  <si>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</si>
  <si>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</si>
  <si>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</si>
  <si>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</si>
  <si>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</si>
  <si>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</si>
  <si>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</si>
  <si>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</si>
  <si>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</si>
  <si>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</si>
  <si>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</si>
  <si>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</si>
  <si>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</si>
  <si>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</si>
  <si>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</si>
  <si>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</si>
  <si>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</si>
  <si>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</si>
  <si>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</si>
  <si>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</si>
  <si>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</si>
  <si>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</si>
  <si>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</si>
  <si>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</si>
  <si>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</si>
  <si>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</si>
  <si>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</si>
  <si>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</si>
  <si>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</si>
  <si>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</si>
  <si>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</si>
  <si>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</si>
  <si>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</si>
  <si>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</si>
  <si>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</si>
  <si>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</si>
  <si>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</si>
  <si>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</si>
  <si>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</si>
  <si>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</si>
  <si>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</si>
  <si>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</si>
  <si>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</si>
  <si>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</si>
  <si>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</si>
  <si>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</si>
  <si>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</si>
  <si>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</si>
  <si>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</si>
  <si>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</si>
  <si>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</si>
  <si>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</si>
  <si>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</si>
  <si>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</si>
  <si>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</si>
  <si>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</si>
  <si>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</si>
  <si>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</si>
  <si>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</si>
  <si>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</si>
  <si>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</si>
  <si>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</si>
  <si>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</si>
  <si>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</si>
  <si>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</si>
  <si>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</si>
  <si>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</si>
  <si>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</si>
  <si>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</si>
  <si>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</si>
  <si>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</si>
  <si>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</si>
  <si>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</si>
  <si>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</si>
  <si>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</si>
  <si>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</si>
  <si>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</si>
  <si>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</si>
  <si>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</si>
  <si>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</si>
  <si>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</si>
  <si>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</si>
  <si>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</si>
  <si>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</si>
  <si>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</si>
  <si>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</si>
  <si>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</si>
  <si>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</si>
  <si>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</si>
  <si>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</si>
  <si>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</si>
  <si>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</si>
  <si>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</si>
  <si>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</si>
  <si>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</si>
  <si>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</si>
  <si>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</si>
  <si>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</si>
  <si>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</si>
  <si>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</si>
  <si>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</si>
  <si>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</si>
  <si>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</si>
  <si>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</si>
  <si>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</si>
  <si>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</si>
  <si>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</si>
  <si>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</si>
  <si>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</si>
  <si>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</si>
  <si>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</si>
  <si>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</si>
  <si>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</si>
  <si>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</si>
  <si>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</si>
  <si>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</si>
  <si>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</si>
  <si>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</si>
  <si>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</si>
  <si>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</si>
  <si>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</si>
  <si>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</si>
  <si>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</si>
  <si>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</si>
  <si>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</si>
  <si>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</si>
  <si>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</si>
  <si>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</si>
  <si>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</si>
  <si>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</si>
  <si>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</si>
  <si>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</si>
  <si>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</si>
  <si>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</si>
  <si>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</si>
  <si>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</si>
  <si>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</si>
  <si>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</si>
  <si>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</si>
  <si>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</si>
  <si>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</si>
  <si>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</si>
  <si>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</si>
  <si>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</si>
  <si>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</si>
  <si>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</si>
  <si>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</si>
  <si>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</si>
  <si>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</si>
  <si>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</si>
  <si>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</si>
  <si>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</si>
  <si>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</si>
  <si>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</si>
  <si>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</si>
  <si>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</si>
  <si>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</si>
  <si>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</si>
  <si>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</si>
  <si>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</si>
  <si>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</si>
  <si>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</si>
  <si>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</si>
  <si>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</si>
  <si>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</si>
  <si>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</si>
  <si>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</si>
  <si>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</si>
  <si>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</si>
  <si>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</si>
  <si>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</si>
  <si>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</si>
  <si>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</si>
  <si>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</si>
  <si>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</si>
  <si>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</si>
  <si>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</si>
  <si>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</si>
  <si>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</si>
  <si>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</si>
  <si>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</si>
  <si>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</si>
  <si>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</si>
  <si>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</si>
  <si>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</si>
  <si>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</si>
  <si>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</si>
  <si>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</si>
  <si>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</si>
  <si>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</si>
  <si>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</si>
  <si>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</si>
  <si>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</si>
  <si>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</si>
  <si>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</si>
  <si>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</si>
  <si>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</si>
  <si>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</si>
  <si>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</si>
  <si>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</si>
  <si>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</si>
  <si>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</si>
  <si>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</si>
  <si>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</si>
  <si>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</si>
  <si>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</si>
  <si>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</si>
  <si>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</si>
  <si>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</si>
  <si>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</si>
  <si>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</si>
  <si>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</si>
  <si>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</si>
  <si>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</si>
  <si>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</si>
  <si>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</si>
  <si>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</si>
  <si>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</si>
  <si>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</si>
  <si>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</si>
  <si>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</si>
  <si>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</si>
  <si>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</si>
  <si>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</si>
  <si>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</si>
  <si>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</si>
  <si>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</si>
  <si>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</si>
  <si>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</si>
  <si>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</si>
  <si>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</si>
  <si>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</si>
  <si>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</si>
  <si>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</si>
  <si>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</si>
  <si>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</si>
  <si>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</si>
  <si>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</si>
  <si>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</si>
  <si>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</si>
  <si>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</si>
  <si>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</si>
  <si>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</si>
  <si>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</si>
  <si>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</si>
  <si>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</si>
  <si>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</si>
  <si>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</si>
  <si>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</si>
  <si>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</si>
  <si>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</si>
  <si>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</si>
  <si>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</si>
  <si>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</si>
  <si>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</si>
  <si>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</si>
  <si>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</si>
  <si>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</si>
  <si>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</si>
  <si>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</si>
  <si>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</si>
  <si>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</si>
  <si>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</si>
  <si>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</si>
  <si>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</si>
  <si>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</si>
  <si>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</si>
  <si>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</si>
  <si>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</si>
  <si>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</si>
  <si>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</si>
  <si>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</si>
  <si>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</si>
  <si>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</si>
  <si>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</si>
  <si>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</si>
  <si>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</si>
  <si>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</si>
  <si>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</si>
  <si>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</si>
  <si>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</si>
  <si>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</si>
  <si>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</si>
  <si>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</si>
  <si>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</si>
  <si>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</si>
  <si>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</si>
  <si>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</si>
  <si>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</si>
  <si>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</si>
  <si>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</si>
  <si>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</si>
  <si>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</si>
  <si>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</si>
  <si>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</si>
  <si>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</si>
  <si>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</si>
  <si>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</si>
  <si>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</si>
  <si>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</si>
  <si>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</si>
  <si>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</si>
  <si>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</si>
  <si>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</si>
  <si>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</si>
  <si>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</si>
  <si>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</si>
  <si>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</si>
  <si>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</si>
  <si>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</si>
  <si>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</si>
  <si>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</si>
  <si>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</si>
  <si>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</si>
  <si>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</si>
  <si>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</si>
  <si>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</si>
  <si>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</si>
  <si>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</si>
  <si>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</si>
  <si>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</si>
  <si>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</si>
  <si>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</si>
  <si>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</si>
  <si>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</si>
  <si>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</si>
  <si>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</si>
  <si>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</si>
  <si>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</si>
  <si>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</si>
  <si>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</si>
  <si>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</si>
  <si>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</si>
  <si>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</si>
  <si>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</si>
  <si>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</si>
  <si>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</si>
  <si>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</si>
  <si>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</si>
  <si>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</si>
  <si>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</si>
  <si>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</si>
  <si>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</si>
  <si>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</si>
  <si>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</si>
  <si>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</si>
  <si>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</si>
  <si>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</si>
  <si>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</si>
  <si>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</si>
  <si>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</si>
  <si>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</si>
  <si>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</si>
  <si>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</si>
  <si>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</si>
  <si>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</si>
  <si>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</si>
  <si>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</si>
  <si>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</si>
  <si>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</si>
  <si>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</si>
  <si>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</si>
  <si>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</si>
  <si>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</si>
  <si>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</si>
  <si>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</si>
  <si>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</si>
  <si>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</si>
  <si>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</si>
  <si>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</si>
  <si>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</si>
  <si>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</si>
  <si>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</si>
  <si>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</si>
  <si>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</si>
  <si>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</si>
  <si>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</si>
  <si>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</si>
  <si>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</si>
  <si>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</si>
  <si>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</si>
  <si>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</si>
  <si>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</si>
  <si>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</si>
  <si>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</si>
  <si>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</si>
  <si>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</si>
  <si>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</si>
  <si>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</si>
  <si>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</si>
  <si>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</si>
  <si>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</si>
  <si>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</si>
  <si>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</si>
  <si>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</si>
  <si>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</si>
  <si>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</si>
  <si>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</si>
  <si>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</si>
  <si>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</si>
  <si>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</si>
  <si>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</si>
  <si>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</si>
  <si>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</si>
  <si>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</si>
  <si>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</si>
  <si>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</si>
  <si>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</si>
  <si>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</si>
  <si>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</si>
  <si>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</si>
  <si>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</si>
  <si>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</si>
  <si>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</si>
  <si>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</si>
  <si>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</si>
  <si>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</si>
  <si>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</si>
  <si>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</si>
  <si>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</si>
  <si>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</si>
  <si>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</si>
  <si>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</si>
  <si>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</si>
  <si>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</si>
  <si>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</si>
  <si>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</si>
  <si>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</si>
  <si>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</si>
  <si>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</si>
  <si>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</si>
  <si>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</si>
  <si>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</si>
  <si>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</si>
  <si>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</si>
  <si>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</si>
  <si>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</si>
  <si>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</si>
  <si>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</si>
  <si>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</si>
  <si>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</si>
  <si>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</si>
  <si>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</si>
  <si>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</si>
  <si>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</si>
  <si>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</si>
  <si>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</si>
  <si>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</si>
  <si>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</si>
  <si>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</si>
  <si>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</si>
  <si>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</si>
  <si>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</si>
  <si>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</si>
  <si>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</si>
  <si>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</si>
  <si>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</si>
  <si>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</si>
  <si>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</si>
  <si>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</si>
  <si>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</si>
  <si>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</si>
  <si>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</si>
  <si>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</si>
  <si>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</si>
  <si>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</si>
  <si>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</si>
  <si>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</si>
  <si>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</si>
  <si>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</si>
  <si>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</si>
  <si>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</si>
  <si>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</si>
  <si>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</si>
  <si>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</si>
  <si>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</si>
  <si>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</si>
  <si>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</si>
  <si>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</si>
  <si>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</si>
  <si>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</si>
  <si>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</si>
  <si>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</si>
  <si>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</si>
  <si>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</si>
  <si>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</si>
  <si>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</si>
  <si>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</si>
  <si>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</si>
  <si>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</si>
  <si>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</si>
  <si>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</si>
  <si>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</si>
  <si>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</si>
  <si>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</si>
  <si>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</si>
  <si>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</si>
  <si>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</si>
  <si>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</si>
  <si>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</si>
  <si>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</si>
  <si>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</si>
  <si>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</si>
  <si>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</si>
  <si>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</si>
  <si>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</si>
  <si>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</si>
  <si>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</si>
  <si>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</si>
  <si>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</si>
  <si>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</si>
  <si>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</si>
  <si>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</si>
  <si>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</si>
  <si>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</si>
  <si>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</si>
  <si>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</si>
  <si>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</si>
  <si>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</si>
  <si>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</si>
  <si>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</si>
  <si>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</si>
  <si>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</si>
  <si>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</si>
  <si>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</si>
  <si>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</si>
  <si>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</si>
  <si>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</si>
  <si>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</si>
  <si>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</si>
  <si>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</si>
  <si>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</si>
  <si>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</si>
  <si>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</si>
  <si>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</si>
  <si>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</si>
  <si>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</si>
  <si>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</si>
  <si>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</si>
  <si>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</si>
  <si>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</si>
  <si>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</si>
  <si>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</si>
  <si>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</si>
  <si>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</si>
  <si>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</si>
  <si>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</si>
  <si>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</si>
  <si>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</si>
  <si>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</si>
  <si>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</si>
  <si>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</si>
  <si>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</si>
  <si>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</si>
  <si>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</si>
  <si>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</si>
  <si>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</si>
  <si>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</si>
  <si>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</si>
  <si>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</si>
  <si>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</si>
  <si>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</si>
  <si>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</si>
  <si>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</si>
  <si>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</si>
  <si>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</si>
  <si>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</si>
  <si>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</si>
  <si>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</si>
  <si>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</si>
  <si>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</si>
  <si>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</si>
  <si>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</si>
  <si>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</si>
  <si>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</si>
  <si>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</si>
  <si>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</si>
  <si>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</si>
  <si>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</si>
  <si>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</si>
  <si>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</si>
  <si>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</si>
  <si>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</si>
  <si>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</si>
  <si>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</si>
  <si>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</si>
  <si>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</si>
  <si>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</si>
  <si>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</si>
  <si>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</si>
  <si>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</si>
  <si>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</si>
  <si>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</si>
  <si>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</si>
  <si>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</si>
  <si>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</si>
  <si>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</si>
  <si>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</si>
  <si>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</si>
  <si>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</si>
  <si>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</si>
  <si>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</si>
  <si>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</si>
  <si>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</si>
  <si>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</si>
  <si>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</si>
  <si>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</si>
  <si>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</si>
  <si>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</si>
  <si>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</si>
  <si>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</si>
  <si>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</si>
  <si>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</si>
  <si>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</si>
  <si>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</si>
  <si>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</si>
  <si>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</si>
  <si>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</si>
  <si>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</si>
  <si>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</si>
  <si>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</si>
  <si>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</si>
  <si>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</si>
  <si>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</si>
  <si>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</si>
  <si>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</si>
  <si>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</si>
  <si>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</si>
  <si>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</si>
  <si>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</si>
  <si>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</si>
  <si>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</si>
  <si>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</si>
  <si>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</si>
  <si>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</si>
  <si>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</si>
  <si>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</si>
  <si>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</si>
  <si>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</si>
  <si>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</si>
  <si>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</si>
  <si>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</si>
  <si>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</si>
  <si>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</si>
  <si>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</si>
  <si>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</si>
  <si>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</si>
  <si>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</si>
  <si>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</si>
  <si>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</si>
  <si>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</si>
  <si>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</si>
  <si>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</si>
  <si>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</si>
  <si>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</si>
  <si>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</si>
  <si>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</si>
  <si>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</si>
  <si>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</si>
  <si>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</si>
  <si>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</si>
  <si>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</si>
  <si>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</si>
  <si>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</si>
  <si>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</si>
  <si>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</si>
  <si>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</si>
  <si>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</si>
  <si>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</si>
  <si>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</si>
  <si>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</si>
  <si>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</si>
  <si>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</si>
  <si>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</si>
  <si>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</si>
  <si>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</si>
  <si>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</si>
  <si>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</si>
  <si>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</si>
  <si>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</si>
  <si>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</si>
  <si>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</si>
  <si>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</si>
  <si>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</si>
  <si>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</si>
  <si>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</si>
  <si>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</si>
  <si>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</si>
  <si>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</si>
  <si>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</si>
  <si>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</si>
  <si>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</si>
  <si>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</si>
  <si>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</si>
  <si>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</si>
  <si>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</si>
  <si>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</si>
  <si>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</si>
  <si>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</si>
  <si>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</si>
  <si>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</si>
  <si>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</si>
  <si>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</si>
  <si>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</si>
  <si>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</si>
  <si>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</si>
  <si>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</si>
  <si>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</si>
  <si>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</si>
  <si>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</si>
  <si>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</si>
  <si>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</si>
  <si>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</si>
  <si>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</si>
  <si>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</si>
  <si>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</si>
  <si>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</si>
  <si>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</si>
  <si>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</si>
  <si>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</si>
  <si>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</si>
  <si>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</si>
  <si>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</si>
  <si>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</si>
  <si>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</si>
  <si>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</si>
  <si>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</si>
  <si>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</si>
  <si>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</si>
  <si>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</si>
  <si>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</si>
  <si>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</si>
  <si>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</si>
  <si>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</si>
  <si>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</si>
  <si>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</si>
  <si>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</si>
  <si>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</si>
  <si>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</si>
  <si>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</si>
  <si>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</si>
  <si>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</si>
  <si>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</si>
  <si>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</si>
  <si>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</si>
  <si>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</si>
  <si>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</si>
  <si>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</si>
  <si>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</si>
  <si>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</si>
  <si>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</si>
  <si>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</si>
  <si>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</si>
  <si>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</si>
  <si>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</si>
  <si>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</si>
  <si>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</si>
  <si>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</si>
  <si>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</si>
  <si>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</si>
  <si>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</si>
  <si>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</si>
  <si>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</si>
  <si>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</si>
  <si>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</si>
  <si>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</si>
  <si>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</si>
  <si>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</si>
  <si>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</si>
  <si>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</si>
  <si>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</si>
  <si>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</si>
  <si>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</si>
  <si>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</si>
  <si>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</si>
  <si>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</si>
  <si>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</si>
  <si>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</si>
  <si>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</si>
  <si>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</si>
  <si>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</si>
  <si>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</si>
  <si>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</si>
  <si>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</si>
  <si>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</si>
  <si>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</si>
  <si>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</si>
  <si>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</si>
  <si>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</si>
  <si>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</si>
  <si>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</si>
  <si>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</si>
  <si>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</si>
  <si>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</si>
  <si>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</si>
  <si>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</si>
  <si>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</si>
  <si>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</si>
  <si>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</si>
  <si>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</si>
  <si>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</si>
  <si>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</si>
  <si>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</si>
  <si>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</si>
  <si>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</si>
  <si>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</si>
  <si>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</si>
  <si>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</si>
  <si>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</si>
  <si>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</si>
  <si>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</si>
  <si>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</si>
  <si>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</si>
  <si>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</si>
  <si>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</si>
  <si>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</si>
  <si>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</si>
  <si>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</si>
  <si>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</si>
  <si>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</si>
  <si>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</si>
  <si>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</si>
  <si>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</si>
  <si>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</si>
  <si>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</si>
  <si>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</si>
  <si>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</si>
  <si>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</si>
  <si>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</si>
  <si>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</si>
  <si>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</si>
  <si>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</si>
  <si>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</si>
  <si>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</si>
  <si>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</si>
  <si>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</si>
  <si>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</si>
  <si>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</si>
  <si>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</si>
  <si>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</si>
  <si>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</si>
  <si>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</si>
  <si>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</si>
  <si>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</si>
  <si>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</si>
  <si>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</si>
  <si>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</si>
  <si>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</si>
  <si>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</si>
  <si>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</si>
  <si>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</si>
  <si>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</si>
  <si>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</si>
  <si>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</si>
  <si>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</si>
  <si>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</si>
  <si>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</si>
  <si>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</si>
  <si>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</si>
  <si>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</si>
  <si>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</si>
  <si>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</si>
  <si>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</si>
  <si>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</si>
  <si>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</si>
  <si>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</si>
  <si>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</si>
  <si>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</si>
  <si>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</si>
  <si>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</si>
  <si>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</si>
  <si>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</si>
  <si>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</si>
  <si>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</si>
  <si>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</si>
  <si>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</si>
  <si>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</si>
  <si>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</si>
  <si>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</si>
  <si>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</si>
  <si>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</si>
  <si>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</si>
  <si>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</si>
  <si>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</si>
  <si>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</si>
  <si>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</si>
  <si>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</si>
  <si>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</si>
  <si>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</si>
  <si>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</si>
  <si>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</si>
  <si>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</si>
  <si>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</si>
  <si>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</si>
  <si>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</si>
  <si>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</si>
  <si>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</si>
  <si>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</si>
  <si>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</si>
  <si>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</si>
  <si>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</si>
  <si>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</si>
  <si>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</si>
  <si>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</si>
  <si>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</si>
  <si>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</si>
  <si>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</si>
  <si>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</si>
  <si>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</si>
  <si>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</si>
  <si>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</si>
  <si>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</si>
  <si>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</si>
  <si>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</si>
  <si>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</si>
  <si>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</si>
  <si>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</si>
  <si>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</si>
  <si>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</si>
  <si>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</si>
  <si>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</si>
  <si>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</si>
  <si>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</si>
  <si>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</si>
  <si>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</si>
  <si>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</si>
  <si>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</si>
  <si>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</si>
  <si>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</si>
  <si>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</si>
  <si>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</si>
  <si>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</si>
  <si>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</si>
  <si>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</si>
  <si>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</si>
  <si>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</si>
  <si>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</si>
  <si>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</si>
  <si>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</si>
  <si>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</si>
  <si>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</si>
  <si>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</si>
  <si>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</si>
  <si>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</si>
  <si>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</si>
  <si>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</si>
  <si>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</si>
  <si>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</si>
  <si>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</si>
  <si>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</si>
  <si>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</si>
  <si>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</si>
  <si>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</si>
  <si>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</si>
  <si>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</si>
  <si>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</si>
  <si>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</si>
  <si>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</si>
  <si>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</si>
  <si>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</si>
  <si>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</si>
  <si>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</si>
  <si>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</si>
  <si>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</si>
  <si>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</si>
  <si>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</si>
  <si>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</si>
  <si>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</si>
  <si>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</si>
  <si>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</si>
  <si>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</si>
  <si>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</si>
  <si>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</si>
  <si>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</si>
  <si>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</si>
  <si>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</si>
  <si>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</si>
  <si>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</si>
  <si>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</si>
  <si>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</si>
  <si>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</si>
  <si>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</si>
  <si>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</si>
  <si>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</si>
  <si>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</si>
  <si>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</si>
  <si>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</si>
  <si>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</si>
  <si>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</si>
  <si>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</si>
  <si>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</si>
  <si>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</si>
  <si>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</si>
  <si>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</si>
  <si>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</si>
  <si>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</si>
  <si>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</si>
  <si>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</si>
  <si>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</si>
  <si>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</si>
  <si>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</si>
  <si>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</si>
  <si>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</si>
  <si>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</si>
  <si>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</si>
  <si>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</si>
  <si>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</si>
  <si>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</si>
  <si>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</si>
  <si>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</si>
  <si>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</si>
  <si>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</si>
  <si>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</si>
  <si>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</si>
  <si>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</si>
  <si>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</si>
  <si>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</si>
  <si>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</si>
  <si>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</si>
  <si>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</si>
  <si>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</si>
  <si>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</si>
  <si>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</si>
  <si>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</si>
  <si>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</si>
  <si>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</si>
  <si>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</si>
  <si>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</si>
  <si>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</si>
  <si>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</si>
  <si>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</si>
  <si>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</si>
  <si>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</si>
  <si>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</si>
  <si>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</si>
  <si>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</si>
  <si>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</si>
  <si>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</si>
  <si>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</si>
  <si>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</si>
  <si>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</si>
  <si>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</si>
  <si>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</si>
  <si>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</si>
  <si>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</si>
  <si>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</si>
  <si>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</si>
  <si>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</si>
  <si>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</si>
  <si>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</si>
  <si>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</si>
  <si>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</si>
  <si>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</si>
  <si>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</si>
  <si>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</si>
  <si>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</si>
  <si>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</si>
  <si>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</si>
  <si>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</si>
  <si>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</si>
  <si>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</si>
  <si>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</si>
  <si>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</si>
  <si>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</si>
  <si>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</si>
  <si>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</si>
  <si>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</si>
  <si>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</si>
  <si>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</si>
  <si>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</si>
  <si>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</si>
  <si>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</si>
  <si>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</si>
  <si>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</si>
  <si>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</si>
  <si>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</si>
  <si>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</si>
  <si>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</si>
  <si>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</si>
  <si>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</si>
  <si>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</si>
  <si>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</si>
  <si>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</si>
  <si>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</si>
  <si>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</si>
  <si>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</si>
  <si>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</si>
  <si>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</si>
  <si>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</si>
  <si>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</si>
  <si>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</si>
  <si>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</si>
  <si>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</si>
  <si>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</si>
  <si>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</si>
  <si>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</si>
  <si>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</si>
  <si>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</si>
  <si>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</si>
  <si>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</si>
  <si>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</si>
  <si>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</si>
  <si>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</si>
  <si>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</si>
  <si>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</si>
  <si>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</si>
  <si>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</si>
  <si>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</si>
  <si>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</si>
  <si>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</si>
  <si>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</si>
  <si>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</si>
  <si>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</si>
  <si>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</si>
  <si>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</si>
  <si>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</si>
  <si>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</si>
  <si>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</si>
  <si>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</si>
  <si>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</si>
  <si>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</si>
  <si>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</si>
  <si>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</si>
  <si>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</si>
  <si>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</si>
  <si>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</si>
  <si>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</si>
  <si>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</si>
  <si>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</si>
  <si>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</si>
  <si>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</si>
  <si>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</si>
  <si>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</si>
  <si>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</si>
  <si>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</si>
  <si>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</si>
  <si>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</si>
  <si>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</si>
  <si>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</si>
  <si>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</si>
  <si>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</si>
  <si>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</si>
  <si>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</si>
  <si>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</si>
  <si>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</si>
  <si>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</si>
  <si>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</si>
  <si>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</si>
  <si>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</si>
  <si>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</si>
  <si>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</si>
  <si>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</si>
  <si>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</si>
  <si>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</si>
  <si>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</si>
  <si>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</si>
  <si>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</si>
  <si>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</si>
  <si>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</si>
  <si>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</si>
  <si>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</si>
  <si>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</si>
  <si>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</si>
  <si>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</si>
  <si>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</si>
  <si>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</si>
  <si>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</si>
  <si>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</si>
  <si>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</si>
  <si>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</si>
  <si>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</si>
  <si>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</si>
  <si>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</si>
  <si>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</si>
  <si>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</si>
  <si>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</si>
  <si>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</si>
  <si>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</si>
  <si>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</si>
  <si>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</si>
  <si>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</si>
  <si>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</si>
  <si>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</si>
  <si>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</si>
  <si>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</si>
  <si>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</si>
  <si>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</si>
  <si>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</si>
  <si>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</si>
  <si>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</si>
  <si>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</si>
  <si>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</si>
  <si>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</si>
  <si>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</si>
  <si>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</si>
  <si>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</si>
  <si>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</si>
  <si>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</si>
  <si>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</si>
  <si>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</si>
  <si>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</si>
  <si>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</si>
  <si>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</si>
  <si>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</si>
  <si>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</si>
  <si>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</si>
  <si>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</si>
  <si>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</si>
  <si>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</si>
  <si>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</si>
  <si>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</si>
  <si>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</si>
  <si>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</si>
  <si>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</si>
  <si>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</si>
  <si>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</si>
  <si>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</si>
  <si>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</si>
  <si>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</si>
  <si>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</si>
  <si>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</si>
  <si>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</si>
  <si>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</si>
  <si>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</si>
  <si>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</si>
  <si>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</si>
  <si>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</si>
  <si>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</si>
  <si>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</si>
  <si>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</si>
  <si>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</si>
  <si>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</si>
  <si>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</si>
  <si>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</si>
  <si>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</si>
  <si>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</si>
  <si>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</si>
  <si>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</si>
  <si>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</si>
  <si>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</si>
  <si>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</si>
  <si>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</si>
  <si>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</si>
  <si>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</si>
  <si>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</si>
  <si>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</si>
  <si>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</si>
  <si>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</si>
  <si>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</si>
  <si>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</si>
  <si>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</si>
  <si>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</si>
  <si>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</si>
  <si>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</si>
  <si>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</si>
  <si>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</si>
  <si>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</si>
  <si>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</si>
  <si>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</si>
  <si>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</si>
  <si>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</si>
  <si>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</si>
  <si>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</si>
  <si>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</si>
  <si>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</si>
  <si>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</si>
  <si>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</si>
  <si>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</si>
  <si>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</si>
  <si>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</si>
  <si>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</si>
  <si>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</si>
  <si>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</si>
  <si>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</si>
  <si>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</si>
  <si>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</si>
  <si>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</si>
  <si>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</si>
  <si>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</si>
  <si>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</si>
  <si>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</si>
  <si>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</si>
  <si>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</si>
  <si>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</si>
  <si>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</si>
  <si>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</si>
  <si>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</si>
  <si>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</si>
  <si>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</si>
  <si>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</si>
  <si>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</si>
  <si>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</si>
  <si>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</si>
  <si>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</si>
  <si>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</si>
  <si>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</si>
  <si>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</si>
  <si>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</si>
  <si>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</si>
  <si>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</si>
  <si>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</si>
  <si>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</si>
  <si>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</si>
  <si>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</si>
  <si>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</si>
  <si>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</si>
  <si>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</si>
  <si>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</si>
  <si>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</si>
  <si>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</si>
  <si>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</si>
  <si>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</si>
  <si>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</si>
  <si>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</si>
  <si>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</si>
  <si>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</si>
  <si>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</si>
  <si>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</si>
  <si>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</si>
  <si>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</si>
  <si>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</si>
  <si>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</si>
  <si>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</si>
  <si>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</si>
  <si>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</si>
  <si>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</si>
  <si>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</si>
  <si>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</si>
  <si>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</si>
  <si>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</si>
  <si>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</si>
  <si>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</si>
  <si>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</si>
  <si>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</si>
  <si>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</si>
  <si>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</si>
  <si>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</si>
  <si>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</si>
  <si>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</si>
  <si>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</si>
  <si>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</si>
  <si>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</si>
  <si>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</si>
  <si>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</si>
  <si>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</si>
  <si>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</si>
  <si>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</si>
  <si>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</si>
  <si>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</si>
  <si>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</si>
  <si>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</si>
  <si>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</si>
  <si>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</si>
  <si>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</si>
  <si>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</si>
  <si>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</si>
  <si>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</si>
  <si>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</si>
  <si>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</si>
  <si>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</si>
  <si>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</si>
  <si>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</si>
  <si>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</si>
  <si>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</si>
  <si>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</si>
  <si>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</si>
  <si>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</si>
  <si>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</si>
  <si>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</si>
  <si>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</si>
  <si>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</si>
  <si>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</si>
  <si>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</si>
  <si>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</si>
  <si>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</si>
  <si>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</si>
  <si>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</si>
  <si>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</si>
  <si>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</si>
  <si>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</si>
  <si>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</si>
  <si>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</si>
  <si>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</si>
  <si>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</si>
  <si>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</si>
  <si>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</si>
  <si>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</si>
  <si>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</si>
  <si>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</si>
  <si>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</si>
  <si>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</si>
  <si>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</si>
  <si>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</si>
  <si>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</si>
  <si>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</si>
  <si>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</si>
  <si>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</si>
  <si>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</si>
  <si>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</si>
  <si>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</si>
  <si>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</si>
  <si>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</si>
  <si>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</si>
  <si>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</si>
  <si>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</si>
  <si>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</si>
  <si>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</si>
  <si>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</si>
  <si>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</si>
  <si>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</si>
  <si>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</si>
  <si>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</si>
  <si>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</si>
  <si>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</si>
  <si>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</si>
  <si>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</si>
  <si>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</si>
  <si>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</si>
  <si>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</si>
  <si>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</si>
  <si>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</si>
  <si>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</si>
  <si>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</si>
  <si>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</si>
  <si>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</si>
  <si>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</si>
  <si>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</si>
  <si>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</si>
  <si>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</si>
  <si>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</si>
  <si>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</si>
  <si>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</si>
  <si>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</si>
  <si>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</si>
  <si>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</si>
  <si>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</si>
  <si>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</si>
  <si>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</si>
  <si>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</si>
  <si>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</si>
  <si>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</si>
  <si>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</si>
  <si>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</si>
  <si>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</si>
  <si>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</si>
  <si>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</si>
  <si>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</si>
  <si>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</si>
  <si>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</si>
  <si>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</si>
  <si>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</si>
  <si>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</si>
  <si>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</si>
  <si>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</si>
  <si>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</si>
  <si>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</si>
  <si>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</si>
  <si>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</si>
  <si>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</si>
  <si>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</si>
  <si>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</si>
  <si>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</si>
  <si>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</si>
  <si>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</si>
  <si>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</si>
  <si>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</si>
  <si>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</si>
  <si>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</si>
  <si>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</si>
  <si>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</si>
  <si>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</si>
  <si>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</si>
  <si>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</si>
  <si>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</si>
  <si>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</si>
  <si>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</si>
  <si>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</si>
  <si>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</si>
  <si>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</si>
  <si>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</si>
  <si>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</si>
  <si>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</si>
  <si>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</si>
  <si>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</si>
  <si>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</si>
  <si>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</si>
  <si>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</si>
  <si>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</si>
  <si>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</si>
  <si>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</si>
  <si>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</si>
  <si>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</si>
  <si>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</si>
  <si>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</si>
  <si>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</si>
  <si>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</si>
  <si>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</si>
  <si>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</si>
  <si>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</si>
  <si>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</si>
  <si>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</si>
  <si>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</si>
  <si>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</si>
  <si>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</si>
  <si>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</si>
  <si>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</si>
  <si>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</si>
  <si>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</si>
  <si>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</si>
  <si>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</si>
  <si>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</si>
  <si>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</si>
  <si>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</si>
  <si>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</si>
  <si>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</si>
  <si>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</si>
  <si>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</si>
  <si>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</si>
  <si>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</si>
  <si>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</si>
  <si>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</si>
  <si>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</si>
  <si>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</si>
  <si>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</si>
  <si>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</si>
  <si>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</si>
  <si>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</si>
  <si>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</si>
  <si>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</si>
  <si>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</si>
  <si>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</si>
  <si>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</si>
  <si>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</si>
  <si>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</si>
  <si>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</si>
  <si>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</si>
  <si>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</si>
  <si>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</si>
  <si>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</si>
  <si>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</si>
  <si>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</si>
  <si>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</si>
  <si>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</si>
  <si>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</si>
  <si>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</si>
  <si>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</si>
  <si>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</si>
  <si>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</si>
  <si>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</si>
  <si>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</si>
  <si>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</si>
  <si>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</si>
  <si>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</si>
  <si>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</si>
  <si>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</si>
  <si>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</si>
  <si>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</si>
  <si>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</si>
  <si>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</si>
  <si>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</si>
  <si>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</si>
  <si>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</si>
  <si>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</si>
  <si>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</si>
  <si>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</si>
  <si>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</si>
  <si>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</si>
  <si>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</si>
  <si>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</si>
  <si>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</si>
  <si>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</si>
  <si>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</si>
  <si>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</si>
  <si>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</si>
  <si>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</si>
  <si>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</si>
  <si>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</si>
  <si>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</si>
  <si>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</si>
  <si>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</si>
  <si>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</si>
  <si>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</si>
  <si>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</si>
  <si>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</si>
  <si>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</si>
  <si>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</si>
  <si>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</si>
  <si>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</si>
  <si>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</si>
  <si>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</si>
  <si>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</si>
  <si>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</si>
  <si>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</si>
  <si>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</si>
  <si>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</si>
  <si>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</si>
  <si>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</si>
  <si>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</si>
  <si>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</si>
  <si>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</si>
  <si>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</si>
  <si>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</si>
  <si>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</si>
  <si>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</si>
  <si>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</si>
  <si>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</si>
  <si>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</si>
  <si>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</si>
  <si>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</si>
  <si>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</si>
  <si>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</si>
  <si>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</si>
  <si>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</si>
  <si>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</si>
  <si>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</si>
  <si>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</si>
  <si>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</si>
  <si>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</si>
  <si>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</si>
  <si>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</si>
  <si>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</si>
  <si>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</si>
  <si>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</si>
  <si>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</si>
  <si>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</si>
  <si>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</si>
  <si>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</si>
  <si>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</si>
  <si>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</si>
  <si>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</si>
  <si>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</si>
  <si>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</si>
  <si>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</si>
  <si>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</si>
  <si>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</si>
  <si>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</si>
  <si>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</si>
  <si>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</si>
  <si>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</si>
  <si>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</si>
  <si>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</si>
  <si>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</si>
  <si>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</si>
  <si>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</si>
  <si>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</si>
  <si>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</si>
  <si>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</si>
  <si>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</si>
  <si>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</si>
  <si>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</si>
  <si>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</si>
  <si>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</si>
  <si>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</si>
  <si>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</si>
  <si>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</si>
  <si>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</si>
  <si>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</si>
  <si>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</si>
  <si>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</si>
  <si>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</si>
  <si>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</si>
  <si>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</si>
  <si>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</si>
  <si>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</si>
  <si>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</si>
  <si>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</si>
  <si>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</si>
  <si>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</si>
  <si>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</si>
  <si>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</si>
  <si>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</si>
  <si>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</si>
  <si>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</si>
  <si>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</si>
  <si>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</si>
  <si>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</si>
  <si>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</si>
  <si>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</si>
  <si>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</si>
  <si>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</si>
  <si>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</si>
  <si>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</si>
  <si>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</si>
  <si>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</si>
  <si>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</si>
  <si>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</si>
  <si>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</si>
  <si>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</si>
  <si>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</si>
  <si>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</si>
  <si>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</si>
  <si>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</si>
  <si>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</si>
  <si>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</si>
  <si>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</si>
  <si>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</si>
  <si>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</si>
  <si>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</si>
  <si>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</si>
  <si>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</si>
  <si>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</si>
  <si>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</si>
  <si>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</si>
  <si>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</si>
  <si>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</si>
  <si>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</si>
  <si>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</si>
  <si>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</si>
  <si>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</si>
  <si>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</si>
  <si>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</si>
  <si>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</si>
  <si>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</si>
  <si>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</si>
  <si>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</si>
  <si>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</si>
  <si>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</si>
  <si>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</si>
  <si>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</si>
  <si>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</si>
  <si>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</si>
  <si>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</si>
  <si>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</si>
  <si>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</si>
  <si>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</si>
  <si>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</si>
  <si>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</si>
  <si>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</si>
  <si>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</si>
  <si>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</si>
  <si>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</si>
  <si>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</si>
  <si>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</si>
  <si>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</si>
  <si>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</si>
  <si>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</si>
  <si>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</si>
  <si>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</si>
  <si>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</si>
  <si>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</si>
  <si>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</si>
  <si>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</si>
  <si>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</si>
  <si>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</si>
  <si>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</si>
  <si>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</si>
  <si>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</si>
  <si>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</si>
  <si>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</si>
  <si>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</si>
  <si>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</si>
  <si>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</si>
  <si>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</si>
  <si>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</si>
  <si>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</si>
  <si>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</si>
  <si>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</si>
  <si>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</si>
  <si>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</si>
  <si>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</si>
  <si>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</si>
  <si>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</si>
  <si>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</si>
  <si>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</si>
  <si>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</si>
  <si>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</si>
  <si>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</si>
  <si>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</si>
  <si>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</si>
  <si>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</si>
  <si>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</si>
  <si>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</si>
  <si>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</si>
  <si>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</si>
  <si>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</si>
  <si>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</si>
  <si>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</si>
  <si>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</si>
  <si>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</si>
  <si>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</si>
  <si>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</si>
  <si>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</si>
  <si>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</si>
  <si>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</si>
  <si>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</si>
  <si>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</si>
  <si>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</si>
  <si>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</si>
  <si>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</si>
  <si>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</si>
  <si>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</si>
  <si>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</si>
  <si>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</si>
  <si>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</si>
  <si>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</si>
  <si>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</si>
  <si>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</si>
  <si>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</si>
  <si>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</si>
  <si>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</si>
  <si>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</si>
  <si>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</si>
  <si>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</si>
  <si>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</si>
  <si>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</si>
  <si>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</si>
  <si>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</si>
  <si>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</si>
  <si>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</si>
  <si>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</si>
  <si>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</si>
  <si>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</si>
  <si>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</si>
  <si>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</si>
  <si>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</si>
  <si>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</si>
  <si>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</si>
  <si>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</si>
  <si>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</si>
  <si>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</si>
  <si>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</si>
  <si>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</si>
  <si>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</si>
  <si>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</si>
  <si>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</si>
  <si>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</si>
  <si>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</si>
  <si>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</si>
  <si>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</si>
  <si>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</si>
  <si>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</si>
  <si>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</si>
  <si>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</si>
  <si>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</si>
  <si>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</si>
  <si>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</si>
  <si>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</si>
  <si>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</si>
  <si>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</si>
  <si>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</si>
  <si>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</si>
  <si>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</si>
  <si>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</si>
  <si>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</si>
  <si>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</si>
  <si>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</si>
  <si>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</si>
  <si>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</si>
  <si>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</si>
  <si>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</si>
  <si>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</si>
  <si>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</si>
  <si>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</si>
  <si>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</si>
  <si>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</si>
  <si>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</si>
  <si>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</si>
  <si>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</si>
  <si>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</si>
  <si>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</si>
  <si>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</si>
  <si>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</si>
  <si>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</si>
  <si>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</si>
  <si>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</si>
  <si>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</si>
  <si>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</si>
  <si>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</si>
  <si>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</si>
  <si>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</si>
  <si>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</si>
  <si>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</si>
  <si>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</si>
  <si>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</si>
  <si>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</si>
  <si>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</si>
  <si>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</si>
  <si>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</si>
  <si>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</si>
  <si>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</si>
  <si>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</si>
  <si>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</si>
  <si>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</si>
  <si>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</si>
  <si>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</si>
  <si>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</si>
  <si>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</si>
  <si>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</si>
  <si>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</si>
  <si>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</si>
  <si>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</si>
  <si>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</si>
  <si>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</si>
  <si>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</si>
  <si>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</si>
  <si>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</si>
  <si>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</si>
  <si>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</si>
  <si>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</si>
  <si>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</si>
  <si>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</si>
  <si>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</si>
  <si>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</si>
  <si>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</si>
  <si>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</si>
  <si>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</si>
  <si>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</si>
  <si>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</si>
  <si>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</si>
  <si>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</si>
  <si>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</si>
  <si>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</si>
  <si>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</si>
  <si>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</si>
  <si>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</si>
  <si>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</si>
  <si>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</si>
  <si>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</si>
  <si>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</si>
  <si>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</si>
  <si>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</si>
  <si>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</si>
  <si>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</si>
  <si>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</si>
  <si>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</si>
  <si>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</si>
  <si>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</si>
  <si>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</si>
  <si>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</si>
  <si>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</si>
  <si>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</si>
  <si>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</si>
  <si>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</si>
  <si>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</si>
  <si>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</si>
  <si>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</si>
  <si>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</si>
  <si>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</si>
  <si>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</si>
  <si>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</si>
  <si>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</si>
  <si>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</si>
  <si>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</si>
  <si>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</si>
  <si>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</si>
  <si>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</si>
  <si>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</si>
  <si>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</si>
  <si>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</si>
  <si>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</si>
  <si>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</si>
  <si>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</si>
  <si>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</si>
  <si>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</si>
  <si>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</si>
  <si>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</si>
  <si>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</si>
  <si>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</si>
  <si>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</si>
  <si>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</si>
  <si>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</si>
  <si>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</si>
  <si>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</si>
  <si>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</si>
  <si>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</si>
  <si>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</si>
  <si>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</si>
  <si>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</si>
  <si>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</si>
  <si>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</si>
  <si>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</si>
  <si>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</si>
  <si>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</si>
  <si>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</si>
  <si>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</si>
  <si>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</si>
  <si>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</si>
  <si>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</si>
  <si>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</si>
  <si>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</si>
  <si>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</si>
  <si>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</si>
  <si>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</si>
  <si>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</si>
  <si>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</si>
  <si>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</si>
  <si>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</si>
  <si>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</si>
  <si>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</si>
  <si>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</si>
  <si>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</si>
  <si>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</si>
  <si>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</si>
  <si>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</si>
  <si>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</si>
  <si>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</si>
  <si>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</si>
  <si>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</si>
  <si>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</si>
  <si>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</si>
  <si>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</si>
  <si>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</si>
  <si>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</si>
  <si>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</si>
  <si>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</si>
  <si>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</si>
  <si>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</si>
  <si>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</si>
  <si>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</si>
  <si>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</si>
  <si>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</si>
  <si>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</si>
  <si>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</si>
  <si>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</si>
  <si>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</si>
  <si>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</si>
  <si>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</si>
  <si>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</si>
  <si>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</si>
  <si>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</si>
  <si>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</si>
  <si>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</si>
  <si>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</si>
  <si>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</si>
  <si>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</si>
  <si>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</si>
  <si>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</si>
  <si>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</si>
  <si>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</si>
  <si>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</si>
  <si>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</si>
  <si>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</si>
  <si>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</si>
  <si>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</si>
  <si>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</si>
  <si>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</si>
  <si>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</si>
  <si>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</si>
  <si>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</si>
  <si>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</si>
  <si>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</si>
  <si>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</si>
  <si>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</si>
  <si>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</si>
  <si>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</si>
  <si>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</si>
  <si>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</si>
  <si>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</si>
  <si>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</si>
  <si>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</si>
  <si>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</si>
  <si>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</si>
  <si>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</si>
  <si>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</si>
  <si>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</si>
  <si>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</si>
  <si>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</si>
  <si>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</si>
  <si>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</si>
  <si>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</si>
  <si>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</si>
  <si>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</si>
  <si>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</si>
  <si>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</si>
  <si>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</si>
  <si>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</si>
  <si>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</si>
  <si>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</si>
  <si>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</si>
  <si>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</si>
  <si>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</si>
  <si>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</si>
  <si>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</si>
  <si>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</si>
  <si>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</si>
  <si>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</si>
  <si>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</si>
  <si>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</si>
  <si>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</si>
  <si>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</si>
  <si>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</si>
  <si>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</si>
  <si>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</si>
  <si>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</si>
  <si>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</si>
  <si>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</si>
  <si>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</si>
  <si>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</si>
  <si>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</si>
  <si>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</si>
  <si>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</si>
  <si>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</si>
  <si>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</si>
  <si>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</si>
  <si>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</si>
  <si>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</si>
  <si>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</si>
  <si>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</si>
  <si>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</si>
  <si>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</si>
  <si>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</si>
  <si>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</si>
  <si>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</si>
  <si>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</si>
  <si>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</si>
  <si>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</si>
  <si>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</si>
  <si>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</si>
  <si>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</si>
  <si>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</si>
  <si>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</si>
  <si>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</si>
  <si>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</si>
  <si>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</si>
  <si>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</si>
  <si>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</si>
  <si>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</si>
  <si>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</si>
  <si>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</si>
  <si>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</si>
  <si>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</si>
  <si>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</si>
  <si>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</si>
  <si>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</si>
  <si>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</si>
  <si>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</si>
  <si>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</si>
  <si>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</si>
  <si>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</si>
  <si>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</si>
  <si>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</si>
  <si>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</si>
  <si>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</si>
  <si>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</si>
  <si>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</si>
  <si>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</si>
  <si>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</si>
  <si>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</si>
  <si>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</si>
  <si>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</si>
  <si>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</si>
  <si>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</si>
  <si>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</si>
  <si>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</si>
  <si>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</si>
  <si>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</si>
  <si>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</si>
  <si>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</si>
  <si>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</si>
  <si>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</si>
  <si>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</si>
  <si>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</si>
  <si>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</si>
  <si>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</si>
  <si>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</si>
  <si>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</si>
  <si>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</si>
  <si>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</si>
  <si>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</si>
  <si>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</si>
  <si>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</si>
  <si>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</si>
  <si>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</si>
  <si>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</si>
  <si>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</si>
  <si>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</si>
  <si>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</si>
  <si>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</si>
  <si>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</si>
  <si>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</si>
  <si>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</si>
  <si>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</si>
  <si>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</si>
  <si>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</si>
  <si>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</si>
  <si>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</si>
  <si>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</si>
  <si>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</si>
  <si>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</si>
  <si>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</si>
  <si>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</si>
  <si>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</si>
  <si>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</si>
  <si>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</si>
  <si>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</si>
  <si>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</si>
  <si>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</si>
  <si>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</si>
  <si>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</si>
  <si>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</si>
  <si>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</si>
  <si>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</si>
  <si>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</si>
  <si>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</si>
  <si>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</si>
  <si>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</si>
  <si>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</si>
  <si>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</si>
  <si>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</si>
  <si>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</si>
  <si>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</si>
  <si>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</si>
  <si>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</si>
  <si>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</si>
  <si>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</si>
  <si>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</si>
  <si>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</si>
  <si>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</si>
  <si>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</si>
  <si>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</si>
  <si>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</si>
  <si>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</si>
  <si>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</si>
  <si>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</si>
  <si>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</si>
  <si>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</si>
  <si>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</si>
  <si>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</si>
  <si>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</si>
  <si>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</si>
  <si>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</si>
  <si>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</si>
  <si>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</si>
  <si>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</si>
  <si>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</si>
  <si>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</si>
  <si>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</si>
  <si>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</si>
  <si>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</si>
  <si>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</si>
  <si>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</si>
  <si>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</si>
  <si>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</si>
  <si>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</si>
  <si>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</si>
  <si>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</si>
  <si>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</si>
  <si>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</si>
  <si>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</si>
  <si>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</si>
  <si>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</si>
  <si>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</si>
  <si>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</si>
  <si>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</si>
  <si>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</si>
  <si>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</si>
  <si>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</si>
  <si>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</si>
  <si>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</si>
  <si>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</si>
  <si>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</si>
  <si>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</si>
  <si>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</si>
  <si>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</si>
  <si>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</si>
  <si>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</si>
  <si>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</si>
  <si>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</si>
  <si>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</si>
  <si>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</si>
  <si>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</si>
  <si>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</si>
  <si>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</si>
  <si>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</si>
  <si>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</si>
  <si>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</si>
  <si>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</si>
  <si>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</si>
  <si>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</si>
  <si>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</si>
  <si>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</si>
  <si>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</si>
  <si>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</si>
  <si>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</si>
  <si>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</si>
  <si>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</si>
  <si>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</si>
  <si>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</si>
  <si>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</si>
  <si>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</si>
  <si>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</si>
  <si>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</si>
  <si>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</si>
  <si>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</si>
  <si>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</si>
  <si>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</si>
  <si>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</si>
  <si>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</si>
  <si>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</si>
  <si>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</si>
  <si>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</si>
  <si>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</si>
  <si>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</si>
  <si>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</si>
  <si>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</si>
  <si>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</si>
  <si>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</si>
  <si>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</si>
  <si>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</si>
  <si>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</si>
  <si>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</si>
  <si>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</si>
  <si>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</si>
  <si>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</si>
  <si>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</si>
  <si>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</si>
  <si>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</si>
  <si>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</si>
  <si>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</si>
  <si>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</si>
  <si>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</si>
  <si>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</si>
  <si>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</si>
  <si>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</si>
  <si>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</si>
  <si>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</si>
  <si>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</si>
  <si>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</si>
  <si>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</si>
  <si>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</si>
  <si>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</si>
  <si>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</si>
  <si>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</si>
  <si>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</si>
  <si>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</si>
  <si>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</si>
  <si>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</si>
  <si>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</si>
  <si>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</si>
  <si>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</si>
  <si>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</si>
  <si>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</si>
  <si>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</si>
  <si>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</si>
  <si>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</si>
  <si>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</si>
  <si>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</si>
  <si>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</si>
  <si>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</si>
  <si>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</si>
  <si>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</si>
  <si>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</si>
  <si>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</si>
  <si>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</si>
  <si>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</si>
  <si>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</si>
  <si>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</si>
  <si>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</si>
  <si>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</si>
  <si>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</si>
  <si>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</si>
  <si>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</si>
  <si>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</si>
  <si>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</si>
  <si>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</si>
  <si>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</si>
  <si>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</si>
  <si>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</si>
  <si>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</si>
  <si>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</si>
  <si>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</si>
  <si>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</si>
  <si>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</si>
  <si>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</si>
  <si>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</si>
  <si>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</si>
  <si>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</si>
  <si>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</si>
  <si>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</si>
  <si>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</si>
  <si>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</si>
  <si>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</si>
  <si>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</si>
  <si>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</si>
  <si>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</si>
  <si>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</si>
  <si>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</si>
  <si>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</si>
  <si>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</si>
  <si>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</si>
  <si>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</si>
  <si>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</si>
  <si>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</si>
  <si>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</si>
  <si>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</si>
  <si>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</si>
  <si>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</si>
  <si>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</si>
  <si>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</si>
  <si>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</si>
  <si>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</si>
  <si>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</si>
  <si>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</si>
  <si>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</si>
  <si>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</si>
  <si>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</si>
  <si>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</si>
  <si>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</si>
  <si>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</si>
  <si>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</si>
  <si>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</si>
  <si>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</si>
  <si>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</si>
  <si>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</si>
  <si>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</si>
  <si>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</si>
  <si>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</si>
  <si>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</si>
  <si>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</si>
  <si>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</si>
  <si>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</si>
  <si>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</si>
  <si>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</si>
  <si>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</si>
  <si>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</si>
  <si>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</si>
  <si>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</si>
  <si>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</si>
  <si>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</si>
  <si>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</si>
  <si>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</si>
  <si>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</si>
  <si>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</si>
  <si>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</si>
  <si>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</si>
  <si>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</si>
  <si>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</si>
  <si>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</si>
  <si>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</si>
  <si>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</si>
  <si>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</si>
  <si>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</si>
  <si>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</si>
  <si>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</si>
  <si>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</si>
  <si>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</si>
  <si>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</si>
  <si>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</si>
  <si>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</si>
  <si>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</si>
  <si>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</si>
  <si>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</si>
  <si>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</si>
  <si>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</si>
  <si>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</si>
  <si>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</si>
  <si>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</si>
  <si>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</si>
  <si>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</si>
  <si>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</si>
  <si>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</si>
  <si>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</si>
  <si>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</si>
  <si>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</si>
  <si>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</si>
  <si>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</si>
  <si>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</si>
  <si>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</si>
  <si>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</si>
  <si>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</si>
  <si>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</si>
  <si>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</si>
  <si>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</si>
  <si>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</si>
  <si>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</si>
  <si>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</si>
  <si>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</si>
  <si>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</si>
  <si>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</si>
  <si>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</si>
  <si>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</si>
  <si>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</si>
  <si>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</si>
  <si>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</si>
  <si>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</si>
  <si>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</si>
  <si>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</si>
  <si>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</si>
  <si>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</si>
  <si>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</si>
  <si>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</si>
  <si>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</si>
  <si>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</si>
  <si>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</si>
  <si>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</si>
  <si>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</si>
  <si>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</si>
  <si>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</si>
  <si>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</si>
  <si>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</si>
  <si>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</si>
  <si>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</si>
  <si>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</si>
  <si>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</si>
  <si>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</si>
  <si>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</si>
  <si>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</si>
  <si>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</si>
  <si>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</si>
  <si>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</si>
  <si>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</si>
  <si>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</si>
  <si>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</si>
  <si>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</si>
  <si>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</si>
  <si>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</si>
  <si>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</si>
  <si>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</si>
  <si>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</si>
  <si>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</si>
  <si>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</si>
  <si>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</si>
  <si>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</si>
  <si>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</si>
  <si>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</si>
  <si>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</si>
  <si>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</si>
  <si>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</si>
  <si>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</si>
  <si>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</si>
  <si>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</si>
  <si>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</si>
  <si>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</si>
  <si>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</si>
  <si>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</si>
  <si>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</si>
  <si>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</si>
  <si>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</si>
  <si>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</si>
  <si>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</si>
  <si>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</si>
  <si>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</si>
  <si>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</si>
  <si>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</si>
  <si>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</si>
  <si>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</si>
  <si>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</si>
  <si>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</si>
  <si>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</si>
  <si>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</si>
  <si>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</si>
  <si>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</si>
  <si>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</si>
  <si>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</si>
  <si>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</si>
  <si>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</si>
  <si>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</si>
  <si>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</si>
  <si>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</si>
  <si>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</si>
  <si>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</si>
  <si>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</si>
  <si>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</si>
  <si>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</si>
  <si>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</si>
  <si>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</si>
  <si>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</si>
  <si>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</si>
  <si>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</si>
  <si>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</si>
  <si>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</si>
  <si>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</si>
  <si>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</si>
  <si>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</si>
  <si>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</si>
  <si>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</si>
  <si>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</si>
  <si>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</si>
  <si>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</si>
  <si>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</si>
  <si>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</si>
  <si>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</si>
  <si>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</si>
  <si>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</si>
  <si>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</si>
  <si>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</si>
  <si>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</si>
  <si>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</si>
  <si>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</si>
  <si>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</si>
  <si>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</si>
  <si>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</si>
  <si>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</si>
  <si>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</si>
  <si>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</si>
  <si>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</si>
  <si>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</si>
  <si>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</si>
  <si>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</si>
  <si>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</si>
  <si>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</si>
  <si>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</si>
  <si>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</si>
  <si>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</si>
  <si>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</si>
  <si>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</si>
  <si>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</si>
  <si>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</si>
  <si>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</si>
  <si>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</si>
  <si>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</si>
  <si>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</si>
  <si>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</si>
  <si>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</si>
  <si>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</si>
  <si>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</si>
  <si>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</si>
  <si>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</si>
  <si>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</si>
  <si>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</si>
  <si>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</si>
  <si>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</si>
  <si>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</si>
  <si>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</si>
  <si>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</si>
  <si>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</si>
  <si>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</si>
  <si>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</si>
  <si>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</si>
  <si>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</si>
  <si>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</si>
  <si>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</si>
  <si>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</si>
  <si>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</si>
  <si>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</si>
  <si>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</si>
  <si>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</si>
  <si>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</si>
  <si>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</si>
  <si>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</si>
  <si>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</si>
  <si>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</si>
  <si>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</si>
  <si>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</si>
  <si>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</si>
  <si>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</si>
  <si>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</si>
  <si>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</si>
  <si>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</si>
  <si>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</si>
  <si>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</si>
  <si>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</si>
  <si>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</si>
  <si>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</si>
  <si>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</si>
  <si>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</si>
  <si>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</si>
  <si>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</si>
  <si>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</si>
  <si>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</si>
  <si>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</si>
  <si>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</si>
  <si>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</si>
  <si>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</si>
  <si>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</si>
  <si>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</si>
  <si>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</si>
  <si>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</si>
  <si>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</si>
  <si>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</si>
  <si>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</si>
  <si>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</si>
  <si>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</si>
  <si>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</si>
  <si>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</si>
  <si>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</si>
  <si>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</si>
  <si>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</si>
  <si>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</si>
  <si>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</si>
  <si>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</si>
  <si>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</si>
  <si>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</si>
  <si>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</si>
  <si>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</si>
  <si>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</si>
  <si>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</si>
  <si>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</si>
  <si>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</si>
  <si>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</si>
  <si>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</si>
  <si>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</si>
  <si>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</si>
  <si>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</si>
  <si>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</si>
  <si>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</si>
  <si>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</si>
  <si>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</si>
  <si>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</si>
  <si>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</si>
  <si>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</si>
  <si>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</si>
  <si>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</si>
  <si>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</si>
  <si>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</si>
  <si>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</si>
  <si>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</si>
  <si>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</si>
  <si>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</si>
  <si>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</si>
  <si>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</si>
  <si>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</si>
  <si>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</si>
  <si>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</si>
  <si>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</si>
  <si>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</si>
  <si>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</si>
  <si>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</si>
  <si>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</si>
  <si>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</si>
  <si>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</si>
  <si>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</si>
  <si>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</si>
  <si>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</si>
  <si>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</si>
  <si>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</si>
  <si>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</si>
  <si>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</si>
  <si>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</si>
  <si>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</si>
  <si>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</si>
  <si>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</si>
  <si>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</si>
  <si>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</si>
  <si>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</si>
  <si>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</si>
  <si>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</si>
  <si>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</si>
  <si>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</si>
  <si>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</si>
  <si>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</si>
  <si>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</si>
  <si>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</si>
  <si>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</si>
  <si>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</si>
  <si>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</si>
  <si>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</si>
  <si>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</si>
  <si>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</si>
  <si>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</si>
  <si>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</si>
  <si>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</si>
  <si>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</si>
  <si>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</si>
  <si>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</si>
  <si>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</si>
  <si>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</si>
  <si>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</si>
  <si>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</si>
  <si>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</si>
  <si>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</si>
  <si>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</si>
  <si>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</si>
  <si>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</si>
  <si>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</si>
  <si>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</si>
  <si>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</si>
  <si>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</si>
  <si>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</si>
  <si>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</si>
  <si>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</si>
  <si>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</si>
  <si>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</si>
  <si>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</si>
  <si>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</si>
  <si>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</si>
  <si>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</si>
  <si>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</si>
  <si>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</si>
  <si>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</si>
  <si>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</si>
  <si>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</si>
  <si>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</si>
  <si>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</si>
  <si>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</si>
  <si>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</si>
  <si>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</si>
  <si>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</si>
  <si>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</si>
  <si>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</si>
  <si>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</si>
  <si>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</si>
  <si>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</si>
  <si>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</si>
  <si>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</si>
  <si>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</si>
  <si>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</si>
  <si>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</si>
  <si>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</si>
  <si>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</si>
  <si>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</si>
  <si>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</si>
  <si>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</si>
  <si>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</si>
  <si>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</si>
  <si>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</si>
  <si>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</si>
  <si>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</si>
  <si>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</si>
  <si>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</si>
  <si>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</si>
  <si>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</si>
  <si>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</si>
  <si>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</si>
  <si>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</si>
  <si>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</si>
  <si>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</si>
  <si>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</si>
  <si>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</si>
  <si>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</si>
  <si>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</si>
  <si>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</si>
  <si>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</si>
  <si>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</si>
  <si>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</si>
  <si>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</si>
  <si>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</si>
  <si>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</si>
  <si>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</si>
  <si>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</si>
  <si>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</si>
  <si>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</si>
  <si>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</si>
  <si>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</si>
  <si>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</si>
  <si>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</si>
  <si>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</si>
  <si>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</si>
  <si>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</si>
  <si>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</si>
  <si>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</si>
  <si>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</si>
  <si>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</si>
  <si>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</si>
  <si>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</si>
  <si>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</si>
  <si>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</si>
  <si>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</si>
  <si>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</si>
  <si>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</si>
  <si>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</si>
  <si>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</si>
  <si>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</si>
  <si>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</si>
  <si>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</si>
  <si>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</si>
  <si>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</si>
  <si>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</si>
  <si>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</si>
  <si>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</si>
  <si>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</si>
  <si>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</si>
  <si>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</si>
  <si>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</si>
  <si>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</si>
  <si>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</si>
  <si>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</si>
  <si>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</si>
  <si>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</si>
  <si>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</si>
  <si>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</si>
  <si>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</si>
  <si>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</si>
  <si>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</si>
  <si>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</si>
  <si>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</si>
  <si>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</si>
  <si>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</si>
  <si>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</si>
  <si>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</si>
  <si>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</si>
  <si>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</si>
  <si>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</si>
  <si>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</si>
  <si>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</si>
  <si>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</si>
  <si>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</si>
  <si>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</si>
  <si>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</si>
  <si>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</si>
  <si>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</si>
  <si>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</si>
  <si>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</si>
  <si>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</si>
  <si>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</si>
  <si>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</si>
  <si>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</si>
  <si>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</si>
  <si>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</si>
  <si>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</si>
  <si>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</si>
  <si>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</si>
  <si>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</si>
  <si>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</si>
  <si>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</si>
  <si>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</si>
  <si>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</si>
  <si>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</si>
  <si>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</si>
  <si>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</si>
  <si>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</si>
  <si>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</si>
  <si>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</si>
  <si>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</si>
  <si>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</si>
  <si>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</si>
  <si>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</si>
  <si>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</si>
  <si>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</si>
  <si>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</si>
  <si>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</si>
  <si>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</si>
  <si>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</si>
  <si>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</si>
  <si>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</si>
  <si>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</si>
  <si>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</si>
  <si>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</si>
  <si>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</si>
  <si>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</si>
  <si>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</si>
  <si>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</si>
  <si>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</si>
  <si>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</si>
  <si>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</si>
  <si>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</si>
  <si>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</si>
  <si>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</si>
  <si>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</si>
  <si>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</si>
  <si>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</si>
  <si>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</si>
  <si>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</si>
  <si>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</si>
  <si>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</si>
  <si>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</si>
  <si>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</si>
  <si>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</si>
  <si>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</si>
  <si>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</si>
  <si>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</si>
  <si>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</si>
  <si>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</si>
  <si>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</si>
  <si>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</si>
  <si>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</si>
  <si>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</si>
  <si>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</si>
  <si>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</si>
  <si>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</si>
  <si>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</si>
  <si>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</si>
  <si>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</si>
  <si>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</si>
  <si>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</si>
  <si>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</si>
  <si>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</si>
  <si>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</si>
  <si>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</si>
  <si>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</si>
  <si>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</si>
  <si>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</si>
  <si>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</si>
  <si>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</si>
  <si>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</si>
  <si>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</si>
  <si>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</si>
  <si>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</si>
  <si>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</si>
  <si>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</si>
  <si>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</si>
  <si>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</si>
  <si>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</si>
  <si>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</si>
  <si>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</si>
  <si>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</si>
  <si>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</si>
  <si>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</si>
  <si>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</si>
  <si>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</si>
  <si>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</si>
  <si>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</si>
  <si>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</si>
  <si>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</si>
  <si>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</si>
  <si>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</si>
  <si>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</si>
  <si>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</si>
  <si>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</si>
  <si>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</si>
  <si>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</si>
  <si>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</si>
  <si>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</si>
  <si>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</si>
  <si>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</si>
  <si>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</si>
  <si>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</si>
  <si>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</si>
  <si>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</si>
  <si>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</si>
  <si>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</si>
  <si>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</si>
  <si>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</si>
  <si>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</si>
  <si>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</si>
  <si>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</si>
  <si>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</si>
  <si>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</si>
  <si>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</si>
  <si>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</si>
  <si>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</si>
  <si>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</si>
  <si>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</si>
  <si>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</si>
  <si>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</si>
  <si>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</si>
  <si>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</si>
  <si>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</si>
  <si>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</si>
  <si>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</si>
  <si>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</si>
  <si>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</si>
  <si>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</si>
  <si>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</si>
  <si>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</si>
  <si>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</si>
  <si>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</si>
  <si>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</si>
  <si>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</si>
  <si>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</si>
  <si>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</si>
  <si>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</si>
  <si>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</si>
  <si>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</si>
  <si>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</si>
  <si>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</si>
  <si>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</si>
  <si>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</si>
  <si>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</si>
  <si>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</si>
  <si>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</si>
  <si>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</si>
  <si>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</si>
  <si>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</si>
  <si>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</si>
  <si>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</si>
  <si>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</si>
  <si>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</si>
  <si>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</si>
  <si>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</si>
  <si>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</si>
  <si>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</si>
  <si>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</si>
  <si>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</si>
  <si>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</si>
  <si>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</si>
  <si>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</si>
  <si>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</si>
  <si>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</si>
  <si>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</si>
  <si>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</si>
  <si>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</si>
  <si>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</si>
  <si>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</si>
  <si>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</si>
  <si>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</si>
  <si>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</si>
  <si>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</si>
  <si>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</si>
  <si>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</si>
  <si>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</si>
  <si>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</si>
  <si>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</si>
  <si>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</si>
  <si>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</si>
  <si>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</si>
  <si>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</si>
  <si>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</si>
  <si>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</si>
  <si>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</si>
  <si>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</si>
  <si>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</si>
  <si>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</si>
  <si>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</si>
  <si>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</si>
  <si>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</si>
  <si>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</si>
  <si>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</si>
  <si>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</si>
  <si>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</si>
  <si>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</si>
  <si>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</si>
  <si>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</si>
  <si>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</si>
  <si>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</si>
  <si>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</si>
  <si>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</si>
  <si>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</si>
  <si>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</si>
  <si>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</si>
  <si>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</si>
  <si>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</si>
  <si>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</si>
  <si>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</si>
  <si>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</si>
  <si>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</si>
  <si>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</si>
  <si>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</si>
  <si>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</si>
  <si>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</si>
  <si>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</si>
  <si>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</si>
  <si>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</si>
  <si>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</si>
  <si>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</si>
  <si>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</si>
  <si>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</si>
  <si>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</si>
  <si>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</si>
  <si>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</si>
  <si>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</si>
  <si>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</si>
  <si>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</si>
  <si>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</si>
  <si>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</si>
  <si>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</si>
  <si>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</si>
  <si>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</si>
  <si>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</si>
  <si>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</si>
  <si>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</si>
  <si>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</si>
  <si>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</si>
  <si>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</si>
  <si>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</si>
  <si>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</si>
  <si>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</si>
  <si>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</si>
  <si>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</si>
  <si>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</si>
  <si>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</si>
  <si>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</si>
  <si>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</si>
  <si>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</si>
  <si>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</si>
  <si>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</si>
  <si>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</si>
  <si>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</si>
  <si>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</si>
  <si>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</si>
  <si>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</si>
  <si>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</si>
  <si>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</si>
  <si>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</si>
  <si>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</si>
  <si>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</si>
  <si>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</si>
  <si>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</si>
  <si>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</si>
  <si>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</si>
  <si>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</si>
  <si>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</si>
  <si>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</si>
  <si>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</si>
  <si>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</si>
  <si>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</si>
  <si>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</si>
  <si>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</si>
  <si>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</si>
  <si>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</si>
  <si>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</si>
  <si>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</si>
  <si>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</si>
  <si>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</si>
  <si>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</si>
  <si>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</si>
  <si>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</si>
  <si>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</si>
  <si>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</si>
  <si>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</si>
  <si>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</si>
  <si>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</si>
  <si>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</si>
  <si>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</si>
  <si>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</si>
  <si>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</si>
  <si>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</si>
  <si>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</si>
  <si>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</si>
  <si>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</si>
  <si>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</si>
  <si>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</si>
  <si>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</si>
  <si>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</si>
  <si>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</si>
  <si>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</si>
  <si>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</si>
  <si>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</si>
  <si>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</si>
  <si>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</si>
  <si>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</si>
  <si>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</si>
  <si>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</si>
  <si>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</si>
  <si>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</si>
  <si>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</si>
  <si>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</si>
  <si>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</si>
  <si>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</si>
  <si>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</si>
  <si>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</si>
  <si>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</si>
  <si>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</si>
  <si>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</si>
  <si>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</si>
  <si>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</si>
  <si>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</si>
  <si>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</si>
  <si>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</si>
  <si>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</si>
  <si>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</si>
  <si>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</si>
  <si>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</si>
  <si>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</si>
  <si>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</si>
  <si>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</si>
  <si>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</si>
  <si>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</si>
  <si>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</si>
  <si>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</si>
  <si>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</si>
  <si>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</si>
  <si>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</si>
  <si>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</si>
  <si>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</si>
  <si>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</si>
  <si>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</si>
  <si>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</si>
  <si>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</si>
  <si>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</si>
  <si>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</si>
  <si>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</si>
  <si>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</si>
  <si>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</si>
  <si>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</si>
  <si>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</si>
  <si>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</si>
  <si>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</si>
  <si>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</si>
  <si>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</si>
  <si>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</si>
  <si>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</si>
  <si>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</si>
  <si>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</si>
  <si>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</si>
  <si>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</si>
  <si>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</si>
  <si>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</si>
  <si>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</si>
  <si>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</si>
  <si>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</si>
  <si>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</si>
  <si>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</si>
  <si>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</si>
  <si>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</si>
  <si>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</si>
  <si>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</si>
  <si>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</si>
  <si>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</si>
  <si>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</si>
  <si>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</si>
  <si>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</si>
  <si>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</si>
  <si>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</si>
  <si>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</si>
  <si>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</si>
  <si>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</si>
  <si>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</si>
  <si>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</si>
  <si>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</si>
  <si>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</si>
  <si>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</si>
  <si>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</si>
  <si>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</si>
  <si>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</si>
  <si>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</si>
  <si>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</si>
  <si>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</si>
  <si>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</si>
  <si>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</si>
  <si>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</si>
  <si>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</si>
  <si>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</si>
  <si>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</si>
  <si>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</si>
  <si>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</si>
  <si>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</si>
  <si>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</si>
  <si>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</si>
  <si>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</si>
  <si>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</si>
  <si>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</si>
  <si>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</si>
  <si>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</si>
  <si>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</si>
  <si>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</si>
  <si>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</si>
  <si>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</si>
  <si>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</si>
  <si>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</si>
  <si>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</si>
  <si>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</si>
  <si>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</si>
  <si>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</si>
  <si>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</si>
  <si>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</si>
  <si>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</si>
  <si>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</si>
  <si>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</si>
  <si>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</si>
  <si>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</si>
  <si>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</si>
  <si>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</si>
  <si>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</si>
  <si>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</si>
  <si>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</si>
  <si>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</si>
  <si>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</si>
  <si>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</si>
  <si>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</si>
  <si>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</si>
  <si>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</si>
  <si>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</si>
  <si>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</si>
  <si>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</si>
  <si>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</si>
  <si>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</si>
  <si>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</si>
  <si>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</si>
  <si>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</si>
  <si>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</si>
  <si>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</si>
  <si>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</si>
  <si>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</si>
  <si>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</si>
  <si>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</si>
  <si>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</si>
  <si>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</si>
  <si>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</si>
  <si>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</si>
  <si>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</si>
  <si>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</si>
  <si>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</si>
  <si>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</si>
  <si>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</si>
  <si>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</si>
  <si>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</si>
  <si>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</si>
  <si>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</si>
  <si>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</si>
  <si>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</si>
  <si>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</si>
  <si>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</si>
  <si>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</si>
  <si>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</si>
  <si>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</si>
  <si>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</si>
  <si>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</si>
  <si>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</si>
  <si>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</si>
  <si>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</si>
  <si>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</si>
  <si>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</si>
  <si>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</si>
  <si>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</si>
  <si>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</si>
  <si>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</si>
  <si>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</si>
  <si>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</si>
  <si>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</si>
  <si>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</si>
  <si>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</si>
  <si>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</si>
  <si>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</si>
  <si>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</si>
  <si>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</si>
  <si>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</si>
  <si>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</si>
  <si>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</si>
  <si>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</si>
  <si>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</si>
  <si>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</si>
  <si>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</si>
  <si>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</si>
  <si>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</si>
  <si>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</si>
  <si>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</si>
  <si>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</si>
  <si>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</si>
  <si>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</si>
  <si>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</si>
  <si>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</si>
  <si>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</si>
  <si>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</si>
  <si>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</si>
  <si>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</si>
  <si>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</si>
  <si>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</si>
  <si>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</si>
  <si>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</si>
  <si>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</si>
  <si>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</si>
  <si>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</si>
  <si>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</si>
  <si>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</si>
  <si>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</si>
  <si>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</si>
  <si>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</si>
  <si>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</si>
  <si>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</si>
  <si>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</si>
  <si>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</si>
  <si>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</si>
  <si>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</si>
  <si>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</si>
  <si>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</si>
  <si>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</si>
  <si>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</si>
  <si>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</si>
  <si>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</si>
  <si>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</si>
  <si>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</si>
  <si>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</si>
  <si>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</si>
  <si>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</si>
  <si>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</si>
  <si>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</si>
  <si>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</si>
  <si>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</si>
  <si>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</si>
  <si>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</si>
  <si>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</si>
  <si>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</si>
  <si>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</si>
  <si>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</si>
  <si>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</si>
  <si>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</si>
  <si>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</si>
  <si>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</si>
  <si>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</si>
  <si>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</si>
  <si>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</si>
  <si>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</si>
  <si>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</si>
  <si>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</si>
  <si>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</si>
  <si>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</si>
  <si>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</si>
  <si>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</si>
  <si>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</si>
  <si>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</si>
  <si>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</si>
  <si>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</si>
  <si>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</si>
  <si>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</si>
  <si>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</si>
  <si>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</si>
  <si>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</si>
  <si>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</si>
  <si>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</si>
  <si>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</si>
  <si>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</si>
  <si>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</si>
  <si>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</si>
  <si>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</si>
  <si>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</si>
  <si>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</si>
  <si>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</si>
  <si>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</si>
  <si>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</si>
  <si>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</si>
  <si>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</si>
  <si>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</si>
  <si>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</si>
  <si>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</si>
  <si>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</si>
  <si>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</si>
  <si>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</si>
  <si>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</si>
  <si>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</si>
  <si>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</si>
  <si>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</si>
  <si>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</si>
  <si>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</si>
  <si>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</si>
  <si>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</si>
  <si>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</si>
  <si>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</si>
  <si>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</si>
  <si>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</si>
  <si>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</si>
  <si>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</si>
  <si>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</si>
  <si>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</si>
  <si>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</si>
  <si>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</si>
  <si>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</si>
  <si>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</si>
  <si>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</si>
  <si>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</si>
  <si>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</si>
  <si>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</si>
  <si>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</si>
  <si>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</si>
  <si>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</si>
  <si>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</si>
  <si>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</si>
  <si>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</si>
  <si>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</si>
  <si>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</si>
  <si>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</si>
  <si>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</si>
  <si>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</si>
  <si>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</si>
  <si>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</si>
  <si>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</si>
  <si>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</si>
  <si>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</si>
  <si>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</si>
  <si>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</si>
  <si>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</si>
  <si>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</si>
  <si>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</si>
  <si>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</si>
  <si>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</si>
  <si>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</si>
  <si>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</si>
  <si>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</si>
  <si>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</si>
  <si>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</si>
  <si>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</si>
  <si>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</si>
  <si>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</si>
  <si>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</si>
  <si>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</si>
  <si>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</si>
  <si>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</si>
  <si>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</si>
  <si>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</si>
  <si>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</si>
  <si>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</si>
  <si>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</si>
  <si>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</si>
  <si>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</si>
  <si>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</si>
  <si>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</si>
  <si>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</si>
  <si>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</si>
  <si>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</si>
  <si>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</si>
  <si>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</si>
  <si>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</si>
  <si>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</si>
  <si>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</si>
  <si>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</si>
  <si>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</si>
  <si>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</si>
  <si>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</si>
  <si>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</si>
  <si>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</si>
  <si>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</si>
  <si>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</si>
  <si>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</si>
  <si>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</si>
  <si>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</si>
  <si>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</si>
  <si>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</si>
  <si>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</si>
  <si>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</si>
  <si>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</si>
  <si>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</si>
  <si>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</si>
  <si>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</si>
  <si>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</si>
  <si>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</si>
  <si>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</si>
  <si>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</si>
  <si>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</si>
  <si>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</si>
  <si>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</si>
  <si>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</si>
  <si>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</si>
  <si>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</si>
  <si>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</si>
  <si>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</si>
  <si>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</si>
  <si>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</si>
  <si>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</si>
  <si>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</si>
  <si>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</si>
  <si>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</si>
  <si>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</si>
  <si>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</si>
  <si>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</si>
  <si>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</si>
  <si>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</si>
  <si>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</si>
  <si>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</si>
  <si>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</si>
  <si>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</si>
  <si>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</si>
  <si>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</si>
  <si>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</si>
  <si>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</si>
  <si>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</si>
  <si>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</si>
  <si>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</si>
  <si>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</si>
  <si>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</si>
  <si>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</si>
  <si>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</si>
  <si>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</si>
  <si>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</si>
  <si>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</si>
  <si>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</si>
  <si>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</si>
  <si>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</si>
  <si>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</si>
  <si>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</si>
  <si>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</si>
  <si>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</si>
  <si>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</si>
  <si>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</si>
  <si>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</si>
  <si>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</si>
  <si>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</si>
  <si>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</si>
  <si>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</si>
  <si>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</si>
  <si>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</si>
  <si>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</si>
  <si>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</si>
  <si>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</si>
  <si>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</si>
  <si>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</si>
  <si>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</si>
  <si>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</si>
  <si>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</si>
  <si>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</si>
  <si>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</si>
  <si>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</si>
  <si>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</si>
  <si>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</si>
  <si>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</si>
  <si>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</si>
  <si>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</si>
  <si>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</si>
  <si>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</si>
  <si>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</si>
  <si>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</si>
  <si>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</si>
  <si>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</si>
  <si>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</si>
  <si>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</si>
  <si>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</si>
  <si>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</si>
  <si>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</si>
  <si>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</si>
  <si>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</si>
  <si>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</si>
  <si>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</si>
  <si>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</si>
  <si>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</si>
  <si>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</si>
  <si>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</si>
  <si>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</si>
  <si>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</si>
  <si>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</si>
  <si>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</si>
  <si>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</si>
  <si>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</si>
  <si>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</si>
  <si>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</si>
  <si>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</si>
  <si>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</si>
  <si>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</si>
  <si>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</si>
  <si>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</si>
  <si>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</si>
  <si>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</si>
  <si>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</si>
  <si>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</si>
  <si>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</si>
  <si>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</si>
  <si>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</si>
  <si>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</si>
  <si>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</si>
  <si>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</si>
  <si>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</si>
  <si>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</si>
  <si>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</si>
  <si>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</si>
  <si>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</si>
  <si>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</si>
  <si>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</si>
  <si>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</si>
  <si>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</si>
  <si>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</si>
  <si>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</si>
  <si>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</si>
  <si>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</si>
  <si>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</si>
  <si>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</si>
  <si>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</si>
  <si>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</si>
  <si>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</si>
  <si>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</si>
  <si>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</si>
  <si>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</si>
  <si>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</si>
  <si>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</si>
  <si>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</si>
  <si>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</si>
  <si>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</si>
  <si>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</si>
  <si>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</si>
  <si>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</si>
  <si>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</si>
  <si>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</si>
  <si>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</si>
  <si>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</si>
  <si>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</si>
  <si>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</si>
  <si>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</si>
  <si>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</si>
  <si>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</si>
  <si>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</si>
  <si>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</si>
  <si>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</si>
  <si>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</si>
  <si>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</si>
  <si>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</si>
  <si>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</si>
  <si>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</si>
  <si>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</si>
  <si>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</si>
  <si>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</si>
  <si>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</si>
  <si>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</si>
  <si>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</si>
  <si>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</si>
  <si>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</si>
  <si>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</si>
  <si>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</si>
  <si>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</si>
  <si>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</si>
  <si>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</si>
  <si>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</si>
  <si>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</si>
  <si>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</si>
  <si>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</si>
  <si>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</si>
  <si>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</si>
  <si>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</si>
  <si>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</si>
  <si>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</si>
  <si>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</si>
  <si>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</si>
  <si>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</si>
  <si>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</si>
  <si>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</si>
  <si>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</si>
  <si>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</si>
  <si>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</si>
  <si>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</si>
  <si>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</si>
  <si>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</si>
  <si>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</si>
  <si>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</si>
  <si>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</si>
  <si>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</si>
  <si>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</si>
  <si>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</si>
  <si>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</si>
  <si>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</si>
  <si>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</si>
  <si>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</si>
  <si>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</si>
  <si>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</si>
  <si>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</si>
  <si>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</si>
  <si>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</si>
  <si>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</si>
  <si>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</si>
  <si>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</si>
  <si>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</si>
  <si>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</si>
  <si>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</si>
  <si>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</si>
  <si>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</si>
  <si>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</si>
  <si>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</si>
  <si>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</si>
  <si>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</si>
  <si>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</si>
  <si>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</si>
  <si>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</si>
  <si>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</si>
  <si>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</si>
  <si>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</si>
  <si>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</si>
  <si>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</si>
  <si>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</si>
  <si>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</si>
  <si>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</si>
  <si>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</si>
  <si>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</si>
  <si>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</si>
  <si>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</si>
  <si>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</si>
  <si>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</si>
  <si>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</si>
  <si>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</si>
  <si>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</si>
  <si>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</si>
  <si>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</si>
  <si>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</si>
  <si>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</si>
  <si>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</si>
  <si>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</si>
  <si>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</si>
  <si>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</si>
  <si>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</si>
  <si>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</si>
  <si>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</si>
  <si>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</si>
  <si>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</si>
  <si>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</si>
  <si>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</si>
  <si>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</si>
  <si>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</si>
  <si>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</si>
  <si>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</si>
  <si>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</si>
  <si>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</si>
  <si>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</si>
  <si>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</si>
  <si>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</si>
  <si>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</si>
  <si>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</si>
  <si>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</si>
  <si>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</si>
  <si>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</si>
  <si>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</si>
  <si>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</si>
  <si>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</si>
  <si>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</si>
  <si>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</si>
  <si>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</si>
  <si>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</si>
  <si>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</si>
  <si>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</si>
  <si>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</si>
  <si>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</si>
  <si>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</si>
  <si>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</si>
  <si>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</si>
  <si>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</si>
  <si>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</si>
  <si>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</si>
  <si>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</si>
  <si>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</si>
  <si>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</si>
  <si>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</si>
  <si>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</si>
  <si>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</si>
  <si>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</si>
  <si>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</si>
  <si>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</si>
  <si>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</si>
  <si>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</si>
  <si>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</si>
  <si>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</si>
  <si>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</si>
  <si>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</si>
  <si>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</si>
  <si>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</si>
  <si>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</si>
  <si>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</si>
  <si>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</si>
  <si>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</si>
  <si>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</si>
  <si>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</si>
  <si>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</si>
  <si>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</si>
  <si>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</si>
  <si>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</si>
  <si>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</si>
  <si>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</si>
  <si>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</si>
  <si>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</si>
  <si>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</si>
  <si>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</si>
  <si>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</si>
  <si>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</si>
  <si>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</si>
  <si>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</si>
  <si>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</si>
  <si>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</si>
  <si>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</si>
  <si>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</si>
  <si>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</si>
  <si>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</si>
  <si>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</si>
  <si>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</si>
  <si>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</si>
  <si>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</si>
  <si>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</si>
  <si>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</si>
  <si>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</si>
  <si>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</si>
  <si>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</si>
  <si>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</si>
  <si>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</si>
  <si>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</si>
  <si>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</si>
  <si>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</si>
  <si>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</si>
  <si>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</si>
  <si>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</si>
  <si>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</si>
  <si>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</si>
  <si>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</si>
  <si>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</si>
  <si>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</si>
  <si>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</si>
  <si>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</si>
  <si>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</si>
  <si>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</si>
  <si>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</si>
  <si>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</si>
  <si>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</si>
  <si>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</si>
  <si>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</si>
  <si>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</si>
  <si>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</si>
  <si>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</si>
  <si>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</si>
  <si>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</si>
  <si>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</si>
  <si>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</si>
  <si>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</si>
  <si>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</si>
  <si>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</si>
  <si>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</si>
  <si>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</si>
  <si>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</si>
  <si>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</si>
  <si>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</si>
  <si>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</si>
  <si>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</si>
  <si>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</si>
  <si>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</si>
  <si>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</si>
  <si>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</si>
  <si>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</si>
  <si>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</si>
  <si>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</si>
  <si>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</si>
  <si>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</si>
  <si>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</si>
  <si>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</si>
  <si>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</si>
  <si>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</si>
  <si>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</si>
  <si>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</si>
  <si>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</si>
  <si>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</si>
  <si>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</si>
  <si>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</si>
  <si>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</si>
  <si>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</si>
  <si>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</si>
  <si>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</si>
  <si>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</si>
  <si>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</si>
  <si>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</si>
  <si>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</si>
  <si>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</si>
  <si>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</si>
  <si>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</si>
  <si>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</si>
  <si>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</si>
  <si>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</si>
  <si>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</si>
  <si>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</si>
  <si>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</si>
  <si>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</si>
  <si>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</si>
  <si>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</si>
  <si>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</si>
  <si>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</si>
  <si>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</si>
  <si>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</si>
  <si>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</si>
  <si>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</si>
  <si>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</si>
  <si>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</si>
  <si>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</si>
  <si>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</si>
  <si>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</si>
  <si>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</si>
  <si>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</si>
  <si>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</si>
  <si>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</si>
  <si>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</si>
  <si>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</si>
  <si>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</si>
  <si>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</si>
  <si>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</si>
  <si>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</si>
  <si>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</si>
  <si>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</si>
  <si>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</si>
  <si>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</si>
  <si>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</si>
  <si>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</si>
  <si>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</si>
  <si>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</si>
  <si>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</si>
  <si>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</si>
  <si>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</si>
  <si>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</si>
  <si>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</si>
  <si>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</si>
  <si>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</si>
  <si>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</si>
  <si>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</si>
  <si>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</si>
  <si>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</si>
  <si>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</si>
  <si>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</si>
  <si>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</si>
  <si>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</si>
  <si>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</si>
  <si>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</si>
  <si>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</si>
  <si>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</si>
  <si>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</si>
  <si>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</si>
  <si>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</si>
  <si>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</si>
  <si>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</si>
  <si>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</si>
  <si>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</si>
  <si>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</si>
  <si>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</si>
  <si>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</si>
  <si>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</si>
  <si>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</si>
  <si>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</si>
  <si>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</si>
  <si>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</si>
  <si>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</si>
  <si>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</si>
  <si>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</si>
  <si>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</si>
  <si>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</si>
  <si>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</si>
  <si>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</si>
  <si>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</si>
  <si>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</si>
  <si>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</si>
  <si>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</si>
  <si>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</si>
  <si>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</si>
  <si>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</si>
  <si>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</si>
  <si>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</si>
  <si>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</si>
  <si>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</si>
  <si>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</si>
  <si>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</si>
  <si>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</si>
  <si>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</si>
  <si>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</si>
  <si>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</si>
  <si>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</si>
  <si>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</si>
  <si>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</si>
  <si>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</si>
  <si>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</si>
  <si>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</si>
  <si>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</si>
  <si>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</si>
  <si>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</si>
  <si>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</si>
  <si>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</si>
  <si>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</si>
  <si>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</si>
  <si>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</si>
  <si>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</si>
  <si>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</si>
  <si>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</si>
  <si>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</si>
  <si>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</si>
  <si>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</si>
  <si>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</si>
  <si>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</si>
  <si>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</si>
  <si>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</si>
  <si>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</si>
  <si>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</si>
  <si>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</si>
  <si>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</si>
  <si>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</si>
  <si>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</si>
  <si>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</si>
  <si>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</si>
  <si>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</si>
  <si>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</si>
  <si>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</si>
  <si>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</si>
  <si>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</si>
  <si>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</si>
  <si>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</si>
  <si>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</si>
  <si>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</si>
  <si>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</si>
  <si>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</si>
  <si>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</si>
  <si>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</si>
  <si>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</si>
  <si>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</si>
  <si>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</si>
  <si>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</si>
  <si>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</si>
  <si>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</si>
  <si>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</si>
  <si>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</si>
  <si>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</si>
  <si>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</si>
  <si>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</si>
  <si>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</si>
  <si>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</si>
  <si>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</si>
  <si>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</si>
  <si>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</si>
  <si>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</si>
  <si>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</si>
  <si>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</si>
  <si>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</si>
  <si>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</si>
  <si>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</si>
  <si>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</si>
  <si>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</si>
  <si>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</si>
  <si>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</si>
  <si>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</si>
  <si>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</si>
  <si>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</si>
  <si>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</si>
  <si>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</si>
  <si>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</si>
  <si>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</si>
  <si>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</si>
  <si>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</si>
  <si>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</si>
  <si>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</si>
  <si>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</si>
  <si>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</si>
  <si>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</si>
  <si>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</si>
  <si>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</si>
  <si>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</si>
  <si>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</si>
  <si>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</si>
  <si>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</si>
  <si>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</si>
  <si>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</si>
  <si>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</si>
  <si>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</si>
  <si>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</si>
  <si>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</si>
  <si>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</si>
  <si>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</si>
  <si>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</si>
  <si>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</si>
  <si>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</si>
  <si>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</si>
  <si>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</si>
  <si>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</si>
  <si>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</si>
  <si>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</si>
  <si>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</si>
  <si>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</si>
  <si>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</si>
  <si>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</si>
  <si>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</si>
  <si>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</si>
  <si>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</si>
  <si>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</si>
  <si>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</si>
  <si>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</si>
  <si>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</si>
  <si>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</si>
  <si>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</si>
  <si>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</si>
  <si>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</si>
  <si>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</si>
  <si>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</si>
  <si>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</si>
  <si>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</si>
  <si>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</si>
  <si>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</si>
  <si>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</si>
  <si>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</si>
  <si>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</si>
  <si>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</si>
  <si>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</si>
  <si>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</si>
  <si>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</si>
  <si>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</si>
  <si>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</si>
  <si>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</si>
  <si>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</si>
  <si>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</si>
  <si>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</si>
  <si>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</si>
  <si>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</si>
  <si>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</si>
  <si>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</si>
  <si>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</si>
  <si>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</si>
  <si>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</si>
  <si>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</si>
  <si>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</si>
  <si>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</si>
  <si>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</si>
  <si>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</si>
  <si>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</si>
  <si>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</si>
  <si>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</si>
  <si>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</si>
  <si>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</si>
  <si>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</si>
  <si>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</si>
  <si>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</si>
  <si>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</si>
  <si>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</si>
  <si>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</si>
  <si>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</si>
  <si>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</si>
  <si>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</si>
  <si>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</si>
  <si>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</si>
  <si>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</si>
  <si>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</si>
  <si>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</si>
  <si>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</si>
  <si>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</si>
  <si>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</si>
  <si>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</si>
  <si>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</si>
  <si>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</si>
  <si>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</si>
  <si>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</si>
  <si>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</si>
  <si>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</si>
  <si>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</si>
  <si>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</si>
  <si>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</si>
  <si>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</si>
  <si>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</si>
  <si>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</si>
  <si>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</si>
  <si>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</si>
  <si>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</si>
  <si>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</si>
  <si>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</si>
  <si>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</si>
  <si>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</si>
  <si>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</si>
  <si>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</si>
  <si>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</si>
  <si>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</si>
  <si>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</si>
  <si>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</si>
  <si>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</si>
  <si>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</si>
  <si>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</si>
  <si>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</si>
  <si>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</si>
  <si>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</si>
  <si>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</si>
  <si>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</si>
  <si>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</si>
  <si>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</si>
  <si>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</si>
  <si>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</si>
  <si>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</si>
  <si>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</si>
  <si>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</si>
  <si>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</si>
  <si>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</si>
  <si>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</si>
  <si>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</si>
  <si>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</si>
  <si>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</si>
  <si>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</si>
  <si>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</si>
  <si>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</si>
  <si>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</si>
  <si>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</si>
  <si>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</si>
  <si>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</si>
  <si>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</si>
  <si>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</si>
  <si>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</si>
  <si>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</si>
  <si>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</si>
  <si>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</si>
  <si>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</si>
  <si>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</si>
  <si>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</si>
  <si>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</si>
  <si>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</si>
  <si>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</si>
  <si>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</si>
  <si>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</si>
  <si>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</si>
  <si>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</si>
  <si>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</si>
  <si>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</si>
  <si>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</si>
  <si>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</si>
  <si>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</si>
  <si>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</si>
  <si>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</si>
  <si>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</si>
  <si>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</si>
  <si>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</si>
  <si>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</si>
  <si>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</si>
  <si>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</si>
  <si>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</si>
  <si>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</si>
  <si>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</si>
  <si>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</si>
  <si>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</si>
  <si>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</si>
  <si>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</si>
  <si>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</si>
  <si>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</si>
  <si>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</si>
  <si>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</si>
  <si>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</si>
  <si>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</si>
  <si>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</si>
  <si>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</si>
  <si>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</si>
  <si>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</si>
  <si>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</si>
  <si>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</si>
  <si>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</si>
  <si>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</si>
  <si>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</si>
  <si>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</si>
  <si>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</si>
  <si>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</si>
  <si>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</si>
  <si>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</si>
  <si>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</si>
  <si>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</si>
  <si>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</si>
  <si>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</si>
  <si>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</si>
  <si>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</si>
  <si>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</si>
  <si>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</si>
  <si>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</si>
  <si>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</si>
  <si>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</si>
  <si>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</si>
  <si>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</si>
  <si>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</si>
  <si>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</si>
  <si>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</si>
  <si>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</si>
  <si>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</si>
  <si>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</si>
  <si>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</si>
  <si>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</si>
  <si>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</si>
  <si>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</si>
  <si>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</si>
  <si>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</si>
  <si>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</si>
  <si>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</si>
  <si>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</si>
  <si>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</si>
  <si>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</si>
  <si>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</si>
  <si>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</si>
  <si>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</si>
  <si>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</si>
  <si>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</si>
  <si>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</si>
  <si>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</si>
  <si>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</si>
  <si>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</si>
  <si>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</si>
  <si>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</si>
  <si>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</si>
  <si>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</si>
  <si>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</si>
  <si>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</si>
  <si>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</si>
  <si>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</si>
  <si>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</si>
  <si>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</si>
  <si>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</si>
  <si>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</si>
  <si>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</si>
  <si>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</si>
  <si>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</si>
  <si>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</si>
  <si>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</si>
  <si>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</si>
  <si>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</si>
  <si>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</si>
  <si>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</si>
  <si>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</si>
  <si>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</si>
  <si>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</si>
  <si>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</si>
  <si>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</si>
  <si>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</si>
  <si>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</si>
  <si>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</si>
  <si>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</si>
  <si>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</si>
  <si>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</si>
  <si>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</si>
  <si>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</si>
  <si>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</si>
  <si>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</si>
  <si>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</si>
  <si>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</si>
  <si>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</si>
  <si>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</si>
  <si>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</si>
  <si>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</si>
  <si>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</si>
  <si>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</si>
  <si>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</si>
  <si>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</si>
  <si>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</si>
  <si>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</si>
  <si>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</si>
  <si>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</si>
  <si>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</si>
  <si>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</si>
  <si>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</si>
  <si>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</si>
  <si>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</si>
  <si>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</si>
  <si>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</si>
  <si>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</si>
  <si>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</si>
  <si>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</si>
  <si>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</si>
  <si>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</si>
  <si>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</si>
  <si>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</si>
  <si>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</si>
  <si>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</si>
  <si>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</si>
  <si>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</si>
  <si>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</si>
  <si>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</si>
  <si>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</si>
  <si>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</si>
  <si>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</si>
  <si>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</si>
  <si>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</si>
  <si>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</si>
  <si>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</si>
  <si>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</si>
  <si>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</si>
  <si>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</si>
  <si>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</si>
  <si>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</si>
  <si>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</si>
  <si>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</si>
  <si>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</si>
  <si>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</si>
  <si>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</si>
  <si>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</si>
  <si>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</si>
  <si>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</si>
  <si>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</si>
  <si>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</si>
  <si>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</si>
  <si>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</si>
  <si>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</si>
  <si>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</si>
  <si>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</si>
  <si>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</si>
  <si>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</si>
  <si>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</si>
  <si>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</si>
  <si>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</si>
  <si>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</si>
  <si>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</si>
  <si>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</si>
  <si>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</si>
  <si>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</si>
  <si>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</si>
  <si>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</si>
  <si>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</si>
  <si>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</si>
  <si>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</si>
  <si>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</si>
  <si>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</si>
  <si>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</si>
  <si>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</si>
  <si>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</si>
  <si>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</si>
  <si>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</si>
  <si>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</si>
  <si>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</si>
  <si>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</si>
  <si>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</si>
  <si>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</si>
  <si>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</si>
  <si>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</si>
  <si>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</si>
  <si>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</si>
  <si>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</si>
  <si>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</si>
  <si>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</si>
  <si>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</si>
  <si>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</si>
  <si>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</si>
  <si>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</si>
  <si>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</si>
  <si>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</si>
  <si>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</si>
  <si>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</si>
  <si>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</si>
  <si>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</si>
  <si>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</si>
  <si>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</si>
  <si>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</si>
  <si>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</si>
  <si>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</si>
  <si>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</si>
  <si>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</si>
  <si>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</si>
  <si>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</si>
  <si>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</si>
  <si>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</si>
  <si>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</si>
  <si>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</si>
  <si>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</si>
  <si>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</si>
  <si>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</si>
  <si>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</si>
  <si>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</si>
  <si>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</si>
  <si>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</si>
  <si>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</si>
  <si>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</si>
  <si>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</si>
  <si>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</si>
  <si>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</si>
  <si>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</si>
  <si>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</si>
  <si>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</si>
  <si>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</si>
  <si>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</si>
  <si>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</si>
  <si>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</si>
  <si>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</si>
  <si>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</si>
  <si>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</si>
  <si>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</si>
  <si>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</si>
  <si>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</si>
  <si>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</si>
  <si>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</si>
  <si>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</si>
  <si>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</si>
  <si>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</si>
  <si>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</si>
  <si>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</si>
  <si>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</si>
  <si>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</si>
  <si>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</si>
  <si>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</si>
  <si>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</si>
  <si>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</si>
  <si>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</si>
  <si>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</si>
  <si>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</si>
  <si>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</si>
  <si>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</si>
  <si>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</si>
  <si>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</si>
  <si>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</si>
  <si>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</si>
  <si>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</si>
  <si>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</si>
  <si>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</si>
  <si>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</si>
  <si>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</si>
  <si>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</si>
  <si>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</si>
  <si>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</si>
  <si>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</si>
  <si>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</si>
  <si>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</si>
  <si>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</si>
  <si>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</si>
  <si>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</si>
  <si>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</si>
  <si>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</si>
  <si>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</si>
  <si>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</si>
  <si>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</si>
  <si>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</si>
  <si>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</si>
  <si>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</si>
  <si>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</si>
  <si>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</si>
  <si>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</si>
  <si>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</si>
  <si>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</si>
  <si>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</si>
  <si>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</si>
  <si>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</si>
  <si>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</si>
  <si>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</si>
  <si>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</si>
  <si>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</si>
  <si>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</si>
  <si>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</si>
  <si>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</si>
  <si>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</si>
  <si>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</si>
  <si>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</si>
  <si>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</si>
  <si>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</si>
  <si>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</si>
  <si>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</si>
  <si>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</si>
  <si>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</si>
  <si>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</si>
  <si>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</si>
  <si>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</si>
  <si>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</si>
  <si>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</si>
  <si>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</si>
  <si>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</si>
  <si>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</si>
  <si>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</si>
  <si>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</si>
  <si>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</si>
  <si>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</si>
  <si>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</si>
  <si>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</si>
  <si>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</si>
  <si>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</si>
  <si>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</si>
  <si>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</si>
  <si>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</si>
  <si>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</si>
  <si>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</si>
  <si>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</si>
  <si>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</si>
  <si>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</si>
  <si>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</si>
  <si>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</si>
  <si>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</si>
  <si>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</si>
  <si>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</si>
  <si>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</si>
  <si>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</si>
  <si>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</si>
  <si>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</si>
  <si>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</si>
  <si>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</si>
  <si>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</si>
  <si>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</si>
  <si>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</si>
  <si>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</si>
  <si>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</si>
  <si>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</si>
  <si>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</si>
  <si>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</si>
  <si>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</si>
  <si>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</si>
  <si>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</si>
  <si>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</si>
  <si>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</si>
  <si>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</si>
  <si>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</si>
  <si>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</si>
  <si>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</si>
  <si>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</si>
  <si>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</si>
  <si>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</si>
  <si>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</si>
  <si>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</si>
  <si>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</si>
  <si>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</si>
  <si>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</si>
  <si>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</si>
  <si>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</si>
  <si>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</si>
  <si>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</si>
  <si>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</si>
  <si>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</si>
  <si>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</si>
  <si>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</si>
  <si>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</si>
  <si>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</si>
  <si>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</si>
  <si>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</si>
  <si>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</si>
  <si>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</si>
  <si>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</si>
  <si>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</si>
  <si>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</si>
  <si>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</si>
  <si>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</si>
  <si>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</si>
  <si>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</si>
  <si>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</si>
  <si>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</si>
  <si>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</si>
  <si>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</si>
  <si>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</si>
  <si>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</si>
  <si>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</si>
  <si>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</si>
  <si>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</si>
  <si>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</si>
  <si>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</si>
  <si>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</si>
  <si>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</si>
  <si>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</si>
  <si>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</si>
  <si>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</si>
  <si>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</si>
  <si>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</si>
  <si>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</si>
  <si>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</si>
  <si>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</si>
  <si>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</si>
  <si>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</si>
  <si>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</si>
  <si>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</si>
  <si>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</si>
  <si>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</si>
  <si>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</si>
  <si>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</si>
  <si>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</si>
  <si>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</si>
  <si>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</si>
  <si>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</si>
  <si>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</si>
  <si>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</si>
  <si>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</si>
  <si>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</si>
  <si>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</si>
  <si>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</si>
  <si>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</si>
  <si>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</si>
  <si>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</si>
  <si>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</si>
  <si>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</si>
  <si>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</si>
  <si>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</si>
  <si>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</si>
  <si>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</si>
  <si>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</si>
  <si>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</si>
  <si>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</si>
  <si>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</si>
  <si>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</si>
  <si>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</si>
  <si>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</si>
  <si>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</si>
  <si>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</si>
  <si>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</si>
  <si>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</si>
  <si>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</si>
  <si>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</si>
  <si>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</si>
  <si>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</si>
  <si>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</si>
  <si>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</si>
  <si>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</si>
  <si>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</si>
  <si>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</si>
  <si>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</si>
  <si>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</si>
  <si>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</si>
  <si>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</si>
  <si>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</si>
  <si>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</si>
  <si>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</si>
  <si>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</si>
  <si>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</si>
  <si>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</si>
  <si>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</si>
  <si>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</si>
  <si>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</si>
  <si>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</si>
  <si>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</si>
  <si>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</si>
  <si>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</si>
  <si>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</si>
  <si>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</si>
  <si>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</si>
  <si>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</si>
  <si>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</si>
  <si>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</si>
  <si>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</si>
  <si>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</si>
  <si>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</si>
  <si>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</si>
  <si>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</si>
  <si>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</si>
  <si>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</si>
  <si>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</si>
  <si>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</si>
  <si>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</si>
  <si>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</si>
  <si>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</si>
  <si>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</si>
  <si>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</si>
  <si>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</si>
  <si>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</si>
  <si>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</si>
  <si>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</si>
  <si>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</si>
  <si>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</si>
  <si>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</si>
  <si>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</si>
  <si>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</si>
  <si>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</si>
  <si>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</si>
  <si>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</si>
  <si>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</si>
  <si>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</si>
  <si>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</si>
  <si>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</si>
  <si>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</si>
  <si>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</si>
  <si>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</si>
  <si>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</si>
  <si>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</si>
  <si>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</si>
  <si>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</si>
  <si>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</si>
  <si>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</si>
  <si>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</si>
  <si>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</si>
  <si>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</si>
  <si>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</si>
  <si>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</si>
  <si>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</si>
  <si>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</si>
  <si>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</si>
  <si>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</si>
  <si>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</si>
  <si>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</si>
  <si>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</si>
  <si>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</si>
  <si>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</si>
  <si>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</si>
  <si>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</si>
  <si>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</si>
  <si>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</si>
  <si>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</si>
  <si>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</si>
  <si>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</si>
  <si>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</si>
  <si>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</si>
  <si>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</si>
  <si>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</si>
  <si>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</si>
  <si>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</si>
  <si>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</si>
  <si>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</si>
  <si>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</si>
  <si>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</si>
  <si>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</si>
  <si>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</si>
  <si>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</si>
  <si>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</si>
  <si>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</si>
  <si>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</si>
  <si>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</si>
  <si>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</si>
  <si>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</si>
  <si>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</si>
  <si>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</si>
  <si>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</si>
  <si>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</si>
  <si>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</si>
  <si>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</si>
  <si>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</si>
  <si>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</si>
  <si>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</si>
  <si>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</si>
  <si>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</si>
  <si>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</si>
  <si>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</si>
  <si>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</si>
  <si>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</si>
  <si>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</si>
  <si>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</si>
  <si>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</si>
  <si>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</si>
  <si>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</si>
  <si>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</si>
  <si>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</si>
  <si>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</si>
  <si>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</si>
  <si>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</si>
  <si>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</si>
  <si>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</si>
  <si>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</si>
  <si>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</si>
  <si>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</si>
  <si>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</si>
  <si>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</si>
  <si>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</si>
  <si>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</si>
  <si>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</si>
  <si>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</si>
  <si>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</si>
  <si>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</si>
  <si>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</si>
  <si>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</si>
  <si>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</si>
  <si>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</si>
  <si>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</si>
  <si>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</si>
  <si>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</si>
  <si>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</si>
  <si>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</si>
  <si>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</si>
  <si>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</si>
  <si>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</si>
  <si>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</si>
  <si>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</si>
  <si>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</si>
  <si>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</si>
  <si>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</si>
  <si>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</si>
  <si>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</si>
  <si>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</si>
  <si>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</si>
  <si>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</si>
  <si>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</si>
  <si>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</si>
  <si>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</si>
  <si>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</si>
  <si>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</si>
  <si>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</si>
  <si>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</si>
  <si>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</si>
  <si>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</si>
  <si>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</si>
  <si>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</si>
  <si>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</si>
  <si>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</si>
  <si>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</si>
  <si>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</si>
  <si>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</si>
  <si>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</si>
  <si>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</si>
  <si>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</si>
  <si>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</si>
  <si>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</si>
  <si>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</si>
  <si>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</si>
  <si>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</si>
  <si>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</si>
  <si>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</si>
  <si>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</si>
  <si>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</si>
  <si>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</si>
  <si>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</si>
  <si>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</si>
  <si>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</si>
  <si>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</si>
  <si>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</si>
  <si>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</si>
  <si>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</si>
  <si>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</si>
  <si>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</si>
  <si>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</si>
  <si>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</si>
  <si>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</si>
  <si>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</si>
  <si>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</si>
  <si>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</si>
  <si>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</si>
  <si>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</si>
  <si>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</si>
  <si>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</si>
  <si>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</si>
  <si>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</si>
  <si>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</si>
  <si>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</si>
  <si>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</si>
  <si>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</si>
  <si>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</si>
  <si>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</si>
  <si>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</si>
  <si>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</si>
  <si>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</si>
  <si>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</si>
  <si>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</si>
  <si>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</si>
  <si>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</si>
  <si>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</si>
  <si>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</si>
  <si>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</si>
  <si>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</si>
  <si>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</si>
  <si>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</si>
  <si>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</si>
  <si>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</si>
  <si>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</si>
  <si>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</si>
  <si>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</si>
  <si>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</si>
  <si>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</si>
  <si>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</si>
  <si>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</si>
  <si>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</si>
  <si>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</si>
  <si>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</si>
  <si>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</si>
  <si>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</si>
  <si>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</si>
  <si>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</si>
  <si>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</si>
  <si>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</si>
  <si>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</si>
  <si>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</si>
  <si>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</si>
  <si>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</si>
  <si>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</si>
  <si>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</si>
  <si>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</si>
  <si>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</si>
  <si>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</si>
  <si>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</si>
  <si>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</si>
  <si>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</si>
  <si>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</si>
  <si>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</si>
  <si>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</si>
  <si>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</si>
  <si>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</si>
  <si>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</si>
  <si>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</si>
  <si>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</si>
  <si>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</si>
  <si>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</si>
  <si>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</si>
  <si>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</si>
  <si>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</si>
  <si>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</si>
  <si>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</si>
  <si>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</si>
  <si>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</si>
  <si>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</si>
  <si>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</si>
  <si>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</si>
  <si>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</si>
  <si>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</si>
  <si>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</si>
  <si>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</si>
  <si>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</si>
  <si>
    <t>EUR</t>
  </si>
  <si>
    <t>USD</t>
  </si>
  <si>
    <t>Today</t>
  </si>
  <si>
    <t>DFs</t>
  </si>
  <si>
    <t>marketBuild</t>
  </si>
  <si>
    <t>RUB</t>
  </si>
  <si>
    <t>AFN</t>
  </si>
  <si>
    <t>ALL</t>
  </si>
  <si>
    <t>GBP</t>
  </si>
  <si>
    <t>DZD</t>
  </si>
  <si>
    <t>AOA</t>
  </si>
  <si>
    <t>XCD</t>
  </si>
  <si>
    <t>ARS</t>
  </si>
  <si>
    <t>AMD</t>
  </si>
  <si>
    <t>AWG</t>
  </si>
  <si>
    <t>SHP</t>
  </si>
  <si>
    <t>AUD</t>
  </si>
  <si>
    <t>AZN</t>
  </si>
  <si>
    <t>BSD</t>
  </si>
  <si>
    <t>BHD</t>
  </si>
  <si>
    <t>BDT</t>
  </si>
  <si>
    <t>BBD</t>
  </si>
  <si>
    <t>BYR</t>
  </si>
  <si>
    <t>BZD</t>
  </si>
  <si>
    <t>XOF</t>
  </si>
  <si>
    <t>BMD</t>
  </si>
  <si>
    <t>BTN</t>
  </si>
  <si>
    <t>INR</t>
  </si>
  <si>
    <t>BOB</t>
  </si>
  <si>
    <t>BAM</t>
  </si>
  <si>
    <t>BWP</t>
  </si>
  <si>
    <t>BRL</t>
  </si>
  <si>
    <t>BND</t>
  </si>
  <si>
    <t>SGD</t>
  </si>
  <si>
    <t>BGN</t>
  </si>
  <si>
    <t>BIF</t>
  </si>
  <si>
    <t>KHR</t>
  </si>
  <si>
    <t>XAF</t>
  </si>
  <si>
    <t>CAD</t>
  </si>
  <si>
    <t>CVE</t>
  </si>
  <si>
    <t>KYD</t>
  </si>
  <si>
    <t>CLP</t>
  </si>
  <si>
    <t>CNY</t>
  </si>
  <si>
    <t>COP</t>
  </si>
  <si>
    <t>KMF</t>
  </si>
  <si>
    <t>CDF</t>
  </si>
  <si>
    <t>NZD</t>
  </si>
  <si>
    <t>CRC</t>
  </si>
  <si>
    <t>HRK</t>
  </si>
  <si>
    <t>CUC</t>
  </si>
  <si>
    <t>CUP</t>
  </si>
  <si>
    <t>ANG</t>
  </si>
  <si>
    <t>CZK</t>
  </si>
  <si>
    <t>DKK</t>
  </si>
  <si>
    <t>DJF</t>
  </si>
  <si>
    <t>DOP</t>
  </si>
  <si>
    <t>EGP</t>
  </si>
  <si>
    <t>ERN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</si>
  <si>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</si>
  <si>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</si>
  <si>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</si>
  <si>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</si>
  <si>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</si>
  <si>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</si>
  <si>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</si>
  <si>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</si>
  <si>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</si>
  <si>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</si>
  <si>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</si>
  <si>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</si>
  <si>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</si>
  <si>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HKD</t>
  </si>
  <si>
    <t>HUF</t>
  </si>
  <si>
    <t>ISK</t>
  </si>
  <si>
    <t>IDR</t>
  </si>
  <si>
    <t>IRR</t>
  </si>
  <si>
    <t>IQD</t>
  </si>
  <si>
    <t>ILS</t>
  </si>
  <si>
    <t>JMD</t>
  </si>
  <si>
    <t>JPY</t>
  </si>
  <si>
    <t>JOD</t>
  </si>
  <si>
    <t>KZT</t>
  </si>
  <si>
    <t>KES</t>
  </si>
  <si>
    <t>KPW</t>
  </si>
  <si>
    <t>KRW</t>
  </si>
  <si>
    <t>KWD</t>
  </si>
  <si>
    <t>KGS</t>
  </si>
  <si>
    <t>LAK</t>
  </si>
  <si>
    <t>LBP</t>
  </si>
  <si>
    <t>LSL</t>
  </si>
  <si>
    <t>ZAR</t>
  </si>
  <si>
    <t>LRD</t>
  </si>
  <si>
    <t>LYD</t>
  </si>
  <si>
    <t>CHF</t>
  </si>
  <si>
    <t>MOP</t>
  </si>
  <si>
    <t>MKD</t>
  </si>
  <si>
    <t>MGA</t>
  </si>
  <si>
    <t>MWK</t>
  </si>
  <si>
    <t>MYR</t>
  </si>
  <si>
    <t>MVR</t>
  </si>
  <si>
    <t>MRO</t>
  </si>
  <si>
    <t>MUR</t>
  </si>
  <si>
    <t>MXN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</si>
  <si>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</si>
  <si>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</si>
  <si>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</si>
  <si>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</si>
  <si>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</si>
  <si>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</si>
  <si>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</si>
  <si>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</si>
  <si>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</si>
  <si>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TRY</t>
  </si>
  <si>
    <t>NOK</t>
  </si>
  <si>
    <t>OMR</t>
  </si>
  <si>
    <t>PKR</t>
  </si>
  <si>
    <t>PAB</t>
  </si>
  <si>
    <t>PGK</t>
  </si>
  <si>
    <t>PYG</t>
  </si>
  <si>
    <t>PEN</t>
  </si>
  <si>
    <t>PHP</t>
  </si>
  <si>
    <t>PLN</t>
  </si>
  <si>
    <t>QAR</t>
  </si>
  <si>
    <t>RON</t>
  </si>
  <si>
    <t>RWF</t>
  </si>
  <si>
    <t>WST</t>
  </si>
  <si>
    <t>STD</t>
  </si>
  <si>
    <t>SAR</t>
  </si>
  <si>
    <t>RSD</t>
  </si>
  <si>
    <t>SCR</t>
  </si>
  <si>
    <t>SLL</t>
  </si>
  <si>
    <t>SBD</t>
  </si>
  <si>
    <t>SOS</t>
  </si>
  <si>
    <t>SSP</t>
  </si>
  <si>
    <t>LKR</t>
  </si>
  <si>
    <t>SDG</t>
  </si>
  <si>
    <t>SRD</t>
  </si>
  <si>
    <t>SZL</t>
  </si>
  <si>
    <t>SEK</t>
  </si>
  <si>
    <t>SYP</t>
  </si>
  <si>
    <t>TWD</t>
  </si>
  <si>
    <t>TJS</t>
  </si>
  <si>
    <t>TZS</t>
  </si>
  <si>
    <t>THB</t>
  </si>
  <si>
    <t>TOP</t>
  </si>
  <si>
    <t>TTD</t>
  </si>
  <si>
    <t>TND</t>
  </si>
  <si>
    <t>TMT</t>
  </si>
  <si>
    <t>UGX</t>
  </si>
  <si>
    <t>UAH</t>
  </si>
  <si>
    <t>AED</t>
  </si>
  <si>
    <t>UYU</t>
  </si>
  <si>
    <t>UZS</t>
  </si>
  <si>
    <t>VUV</t>
  </si>
  <si>
    <t>VEF</t>
  </si>
  <si>
    <t>VND</t>
  </si>
  <si>
    <t>YER</t>
  </si>
  <si>
    <t>ZMW</t>
  </si>
  <si>
    <t>EURUSD</t>
  </si>
  <si>
    <t>USDJPY</t>
  </si>
  <si>
    <t>AUDJPY</t>
  </si>
  <si>
    <t>EURCHF</t>
  </si>
  <si>
    <t>USDCHF</t>
  </si>
  <si>
    <t>Ticket:</t>
  </si>
  <si>
    <t>ProductCode</t>
  </si>
  <si>
    <t>F</t>
  </si>
  <si>
    <t>Notional</t>
  </si>
  <si>
    <t>NotionalCcy</t>
  </si>
  <si>
    <t>ValueTrade</t>
  </si>
  <si>
    <t>SetDate</t>
  </si>
  <si>
    <t>DeliveryDate</t>
  </si>
  <si>
    <t>FXPair</t>
  </si>
  <si>
    <t>AUDUSD</t>
  </si>
  <si>
    <t>CADUSD</t>
  </si>
  <si>
    <t>SEKUSD</t>
  </si>
  <si>
    <t>KRWUSD</t>
  </si>
  <si>
    <t>CHFUSD</t>
  </si>
  <si>
    <t>JPYUSD</t>
  </si>
  <si>
    <t>GBPUSD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</si>
</sst>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[$-409]d/mmm/yyyy;@"/>
    <numFmt numFmtId="167" formatCode="_(* #,##0_);_(* \(#,##0\);_(* &quot;-&quot;??_);_(@_)"/>
    <numFmt numFmtId="168" formatCode="d\-mmm\-yyyy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F9F9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  <xf numFmtId="14" fontId="0" fillId="0" borderId="0" xfId="0" applyNumberFormat="1"/>
    <xf numFmtId="1" fontId="0" fillId="0" borderId="0" xfId="0" applyNumberFormat="1"/>
    <xf numFmtId="165" fontId="0" fillId="0" borderId="0" xfId="1" applyNumberFormat="1" applyFont="1"/>
    <xf numFmtId="0" fontId="9" fillId="7" borderId="16" xfId="0" applyFont="1" applyFill="1" applyBorder="1" applyAlignment="1">
      <alignment vertical="center" wrapText="1"/>
    </xf>
    <xf numFmtId="0" fontId="9" fillId="7" borderId="0" xfId="0" applyFont="1" applyFill="1" applyBorder="1" applyAlignment="1">
      <alignment vertical="center" wrapText="1"/>
    </xf>
    <xf numFmtId="0" fontId="0" fillId="0" borderId="0" xfId="0" applyNumberFormat="1"/>
    <xf numFmtId="0" fontId="1" fillId="2" borderId="7" xfId="0" applyFont="1" applyFill="1" applyBorder="1"/>
    <xf numFmtId="0" fontId="1" fillId="2" borderId="7" xfId="0" applyNumberFormat="1" applyFont="1" applyFill="1" applyBorder="1" applyAlignment="1">
      <alignment horizontal="left"/>
    </xf>
    <xf numFmtId="166" fontId="0" fillId="2" borderId="7" xfId="0" applyNumberFormat="1" applyFill="1" applyBorder="1" applyAlignment="1">
      <alignment horizontal="left"/>
    </xf>
    <xf numFmtId="167" fontId="0" fillId="2" borderId="7" xfId="1" applyNumberFormat="1" applyFont="1" applyFill="1" applyBorder="1" applyAlignment="1">
      <alignment horizontal="left"/>
    </xf>
    <xf numFmtId="167" fontId="0" fillId="0" borderId="0" xfId="1" applyNumberFormat="1" applyFont="1"/>
    <xf numFmtId="168" fontId="0" fillId="0" borderId="0" xfId="0" applyNumberFormat="1"/>
    <xf numFmtId="0" fontId="0" fillId="0" borderId="17" xfId="0" applyBorder="1"/>
    <xf numFmtId="0" fontId="0" fillId="0" borderId="12" xfId="0" applyBorder="1"/>
    <xf numFmtId="14" fontId="0" fillId="0" borderId="8" xfId="0" applyNumberFormat="1" applyBorder="1"/>
    <xf numFmtId="14" fontId="0" fillId="0" borderId="13" xfId="0" applyNumberFormat="1" applyBorder="1"/>
    <xf numFmtId="0" fontId="0" fillId="0" borderId="15" xfId="0" applyBorder="1"/>
    <xf numFmtId="0" fontId="1" fillId="0" borderId="7" xfId="0" applyFont="1" applyBorder="1"/>
    <xf numFmtId="0" fontId="0" fillId="0" borderId="7" xfId="0" applyBorder="1"/>
    <xf numFmtId="0" fontId="1" fillId="0" borderId="7" xfId="0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H34" sqref="H34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W91"/>
  <sheetViews>
    <sheetView topLeftCell="A19" workbookViewId="0">
      <selection activeCell="C50" sqref="C50"/>
    </sheetView>
  </sheetViews>
  <sheetFormatPr defaultRowHeight="12.75" x14ac:dyDescent="0.2"/>
  <cols>
    <col min="2" max="2" width="11.7109375" bestFit="1" customWidth="1"/>
  </cols>
  <sheetData>
    <row r="3" spans="2:23" x14ac:dyDescent="0.2">
      <c r="C3" s="39">
        <f ca="1">_xll.MarketLoad(B5,C5:T45,V5:W12)</f>
        <v>1</v>
      </c>
    </row>
    <row r="5" spans="2:23" x14ac:dyDescent="0.2">
      <c r="B5" s="49">
        <v>42017</v>
      </c>
      <c r="C5" s="56" t="s">
        <v>8752</v>
      </c>
      <c r="D5" s="55" t="s">
        <v>8755</v>
      </c>
      <c r="E5" s="56" t="s">
        <v>8753</v>
      </c>
      <c r="F5" s="57" t="s">
        <v>8755</v>
      </c>
      <c r="G5" s="56" t="s">
        <v>8760</v>
      </c>
      <c r="H5" s="57" t="s">
        <v>8755</v>
      </c>
      <c r="I5" s="56" t="s">
        <v>8831</v>
      </c>
      <c r="J5" s="57" t="s">
        <v>8755</v>
      </c>
      <c r="K5" s="56" t="s">
        <v>8845</v>
      </c>
      <c r="L5" s="57" t="s">
        <v>8755</v>
      </c>
      <c r="M5" s="56" t="s">
        <v>8836</v>
      </c>
      <c r="N5" s="57" t="s">
        <v>8755</v>
      </c>
      <c r="O5" s="56" t="s">
        <v>8890</v>
      </c>
      <c r="P5" s="57" t="s">
        <v>8755</v>
      </c>
      <c r="Q5" s="56" t="s">
        <v>8790</v>
      </c>
      <c r="R5" s="57" t="s">
        <v>8755</v>
      </c>
      <c r="S5" s="56" t="s">
        <v>8768</v>
      </c>
      <c r="T5" s="57" t="s">
        <v>8755</v>
      </c>
      <c r="V5" s="55" t="s">
        <v>8910</v>
      </c>
      <c r="W5" s="56">
        <v>1.1781218308691079</v>
      </c>
    </row>
    <row r="6" spans="2:23" x14ac:dyDescent="0.2">
      <c r="C6" s="52">
        <v>42024</v>
      </c>
      <c r="D6" s="51">
        <v>1.0000145636353781</v>
      </c>
      <c r="E6" s="52">
        <v>42024</v>
      </c>
      <c r="F6" s="51">
        <v>0.99997666697777465</v>
      </c>
      <c r="G6" s="52">
        <v>42024</v>
      </c>
      <c r="H6" s="51">
        <v>0.99991654096677296</v>
      </c>
      <c r="I6" s="52">
        <v>42024</v>
      </c>
      <c r="J6" s="51">
        <v>0.99998580833426687</v>
      </c>
      <c r="K6" s="52">
        <v>42024</v>
      </c>
      <c r="L6" s="51">
        <v>0.99999690953899789</v>
      </c>
      <c r="M6" s="52">
        <v>42024</v>
      </c>
      <c r="N6" s="51">
        <v>0.99912009278623737</v>
      </c>
      <c r="O6" s="52">
        <v>42024</v>
      </c>
      <c r="P6" s="51">
        <v>1.0000059778982882</v>
      </c>
      <c r="Q6" s="52">
        <v>42024</v>
      </c>
      <c r="R6" s="51">
        <v>0.99980749050426454</v>
      </c>
      <c r="S6" s="52">
        <v>42024</v>
      </c>
      <c r="T6" s="51">
        <v>0.99952067927494637</v>
      </c>
      <c r="V6" s="55" t="s">
        <v>8930</v>
      </c>
      <c r="W6" s="56">
        <v>1.5169733862766999</v>
      </c>
    </row>
    <row r="7" spans="2:23" x14ac:dyDescent="0.2">
      <c r="C7" s="52">
        <v>42031</v>
      </c>
      <c r="D7" s="51">
        <v>1.0000281949641476</v>
      </c>
      <c r="E7" s="52">
        <v>42031</v>
      </c>
      <c r="F7" s="51">
        <v>0.99995333449997925</v>
      </c>
      <c r="G7" s="52">
        <v>42031</v>
      </c>
      <c r="H7" s="51">
        <v>0.99983308889895639</v>
      </c>
      <c r="I7" s="52">
        <v>42031</v>
      </c>
      <c r="J7" s="51">
        <v>0.99997161686993719</v>
      </c>
      <c r="K7" s="52">
        <v>42031</v>
      </c>
      <c r="L7" s="51">
        <v>0.99999624972596313</v>
      </c>
      <c r="M7" s="52">
        <v>42031</v>
      </c>
      <c r="N7" s="51">
        <v>0.99850213676764721</v>
      </c>
      <c r="O7" s="52">
        <v>42031</v>
      </c>
      <c r="P7" s="51">
        <v>1.0000112054667514</v>
      </c>
      <c r="Q7" s="52">
        <v>42031</v>
      </c>
      <c r="R7" s="51">
        <v>0.99961550655546527</v>
      </c>
      <c r="S7" s="52">
        <v>42031</v>
      </c>
      <c r="T7" s="51">
        <v>0.99904158829825018</v>
      </c>
      <c r="V7" s="55" t="s">
        <v>8929</v>
      </c>
      <c r="W7" s="56">
        <v>8.4447411231715376E-3</v>
      </c>
    </row>
    <row r="8" spans="2:23" x14ac:dyDescent="0.2">
      <c r="C8" s="52">
        <v>42038</v>
      </c>
      <c r="D8" s="51">
        <v>1.0000314251857463</v>
      </c>
      <c r="E8" s="52">
        <v>42038</v>
      </c>
      <c r="F8" s="51">
        <v>0.99993083580861941</v>
      </c>
      <c r="G8" s="52">
        <v>42038</v>
      </c>
      <c r="H8" s="51">
        <v>0.99974964379596853</v>
      </c>
      <c r="I8" s="52">
        <v>42038</v>
      </c>
      <c r="J8" s="51">
        <v>0.99995901672877274</v>
      </c>
      <c r="K8" s="52">
        <v>42038</v>
      </c>
      <c r="L8" s="51">
        <v>0.99999802055608455</v>
      </c>
      <c r="M8" s="52">
        <v>42038</v>
      </c>
      <c r="N8" s="51">
        <v>0.99818279376647234</v>
      </c>
      <c r="O8" s="52">
        <v>42038</v>
      </c>
      <c r="P8" s="51">
        <v>1.0000152024091944</v>
      </c>
      <c r="Q8" s="52">
        <v>42038</v>
      </c>
      <c r="R8" s="51">
        <v>0.9994236408704944</v>
      </c>
      <c r="S8" s="52">
        <v>42038</v>
      </c>
      <c r="T8" s="51">
        <v>0.9985627269597882</v>
      </c>
      <c r="V8" s="55" t="s">
        <v>8928</v>
      </c>
      <c r="W8" s="56">
        <v>0.98097351578670611</v>
      </c>
    </row>
    <row r="9" spans="2:23" x14ac:dyDescent="0.2">
      <c r="C9" s="52">
        <v>42047</v>
      </c>
      <c r="D9" s="51">
        <v>1.0000403064817365</v>
      </c>
      <c r="E9" s="52">
        <v>42047</v>
      </c>
      <c r="F9" s="51">
        <v>0.99990208821033866</v>
      </c>
      <c r="G9" s="52">
        <v>42047</v>
      </c>
      <c r="H9" s="51">
        <v>0.99964241922441077</v>
      </c>
      <c r="I9" s="52">
        <v>42047</v>
      </c>
      <c r="J9" s="51">
        <v>0.99994315773003684</v>
      </c>
      <c r="K9" s="52">
        <v>42047</v>
      </c>
      <c r="L9" s="51">
        <v>1.0000038689177781</v>
      </c>
      <c r="M9" s="52">
        <v>42047</v>
      </c>
      <c r="N9" s="51">
        <v>0.99794546121188588</v>
      </c>
      <c r="O9" s="52">
        <v>42047</v>
      </c>
      <c r="P9" s="51">
        <v>1.0000219608641967</v>
      </c>
      <c r="Q9" s="52">
        <v>42047</v>
      </c>
      <c r="R9" s="51">
        <v>0.99917701052995578</v>
      </c>
      <c r="S9" s="52">
        <v>42047</v>
      </c>
      <c r="T9" s="51">
        <v>0.99795793277005385</v>
      </c>
      <c r="V9" s="55" t="s">
        <v>8927</v>
      </c>
      <c r="W9" s="56">
        <v>9.2488863160928388E-4</v>
      </c>
    </row>
    <row r="10" spans="2:23" x14ac:dyDescent="0.2">
      <c r="C10" s="52">
        <v>42077</v>
      </c>
      <c r="D10" s="51">
        <v>1.0000534212562431</v>
      </c>
      <c r="E10" s="52">
        <v>42077</v>
      </c>
      <c r="F10" s="51">
        <v>0.99980633541517572</v>
      </c>
      <c r="G10" s="52">
        <v>42077</v>
      </c>
      <c r="H10" s="51">
        <v>0.99928441025096892</v>
      </c>
      <c r="I10" s="52">
        <v>42077</v>
      </c>
      <c r="J10" s="51">
        <v>0.99989572489157197</v>
      </c>
      <c r="K10" s="52">
        <v>42077</v>
      </c>
      <c r="L10" s="51">
        <v>1.0000521605642694</v>
      </c>
      <c r="M10" s="52">
        <v>42077</v>
      </c>
      <c r="N10" s="51">
        <v>0.99671572508718509</v>
      </c>
      <c r="O10" s="52">
        <v>42077</v>
      </c>
      <c r="P10" s="51">
        <v>1.000082965555058</v>
      </c>
      <c r="Q10" s="52">
        <v>42077</v>
      </c>
      <c r="R10" s="51">
        <v>0.99835671490718203</v>
      </c>
      <c r="S10" s="52">
        <v>42077</v>
      </c>
      <c r="T10" s="51">
        <v>0.99596819583455831</v>
      </c>
      <c r="V10" s="55" t="s">
        <v>8926</v>
      </c>
      <c r="W10" s="56">
        <v>0.12398081809584292</v>
      </c>
    </row>
    <row r="11" spans="2:23" x14ac:dyDescent="0.2">
      <c r="C11" s="52">
        <v>42107</v>
      </c>
      <c r="D11" s="51">
        <v>1.0001001216716108</v>
      </c>
      <c r="E11" s="52">
        <v>42107</v>
      </c>
      <c r="F11" s="51">
        <v>0.99969447136988854</v>
      </c>
      <c r="G11" s="52">
        <v>42107</v>
      </c>
      <c r="H11" s="51">
        <v>0.99892505876308735</v>
      </c>
      <c r="I11" s="52">
        <v>42107</v>
      </c>
      <c r="J11" s="51">
        <v>0.99985343066627475</v>
      </c>
      <c r="K11" s="52">
        <v>42107</v>
      </c>
      <c r="L11" s="51">
        <v>1.0001528862179232</v>
      </c>
      <c r="M11" s="52">
        <v>42107</v>
      </c>
      <c r="N11" s="51">
        <v>0.99540807119871566</v>
      </c>
      <c r="O11" s="52">
        <v>42107</v>
      </c>
      <c r="P11" s="51">
        <v>1.0001419605122148</v>
      </c>
      <c r="Q11" s="52">
        <v>42107</v>
      </c>
      <c r="R11" s="51">
        <v>0.99753982256757689</v>
      </c>
      <c r="S11" s="52">
        <v>42107</v>
      </c>
      <c r="T11" s="51">
        <v>0.99402804332348704</v>
      </c>
      <c r="V11" s="55" t="s">
        <v>8925</v>
      </c>
      <c r="W11" s="56">
        <v>0.83764581741776833</v>
      </c>
    </row>
    <row r="12" spans="2:23" x14ac:dyDescent="0.2">
      <c r="C12" s="52">
        <v>42197</v>
      </c>
      <c r="D12" s="51">
        <v>1.0003129590420328</v>
      </c>
      <c r="E12" s="52">
        <v>42197</v>
      </c>
      <c r="F12" s="51">
        <v>0.9992788105165783</v>
      </c>
      <c r="G12" s="52">
        <v>42197</v>
      </c>
      <c r="H12" s="51">
        <v>0.99782961948572424</v>
      </c>
      <c r="I12" s="52">
        <v>42197</v>
      </c>
      <c r="J12" s="51">
        <v>0.99971908944508858</v>
      </c>
      <c r="K12" s="52">
        <v>42197</v>
      </c>
      <c r="L12" s="51">
        <v>1.0007056668118972</v>
      </c>
      <c r="M12" s="52">
        <v>42197</v>
      </c>
      <c r="N12" s="51">
        <v>0.99220883437146756</v>
      </c>
      <c r="O12" s="52">
        <v>42197</v>
      </c>
      <c r="P12" s="51">
        <v>1.0003425419314271</v>
      </c>
      <c r="Q12" s="52">
        <v>42197</v>
      </c>
      <c r="R12" s="51">
        <v>0.99509453762477196</v>
      </c>
      <c r="S12" s="52">
        <v>42197</v>
      </c>
      <c r="T12" s="51">
        <v>0.9884730978329036</v>
      </c>
      <c r="V12" s="55" t="s">
        <v>8924</v>
      </c>
      <c r="W12" s="56">
        <v>0.81617380086349356</v>
      </c>
    </row>
    <row r="13" spans="2:23" x14ac:dyDescent="0.2">
      <c r="C13" s="52">
        <v>42287</v>
      </c>
      <c r="D13" s="51">
        <v>1.0005550681134339</v>
      </c>
      <c r="E13" s="52">
        <v>42287</v>
      </c>
      <c r="F13" s="51">
        <v>0.99856979260447565</v>
      </c>
      <c r="G13" s="52">
        <v>42287</v>
      </c>
      <c r="H13" s="51">
        <v>0.99667837430672579</v>
      </c>
      <c r="I13" s="52">
        <v>42287</v>
      </c>
      <c r="J13" s="51">
        <v>0.99959013389172013</v>
      </c>
      <c r="K13" s="52">
        <v>42287</v>
      </c>
      <c r="L13" s="51">
        <v>1.0014365845535824</v>
      </c>
      <c r="M13" s="52">
        <v>42287</v>
      </c>
      <c r="N13" s="51">
        <v>0.98997950054172612</v>
      </c>
      <c r="O13" s="52">
        <v>42287</v>
      </c>
      <c r="P13" s="51">
        <v>1.0006097343711684</v>
      </c>
      <c r="Q13" s="52">
        <v>42287</v>
      </c>
      <c r="R13" s="51">
        <v>0.9926153182544184</v>
      </c>
      <c r="S13" s="52">
        <v>42287</v>
      </c>
      <c r="T13" s="51">
        <v>0.98314786153234535</v>
      </c>
    </row>
    <row r="14" spans="2:23" x14ac:dyDescent="0.2">
      <c r="C14" s="52">
        <v>42382</v>
      </c>
      <c r="D14" s="51">
        <v>1.0008082050960283</v>
      </c>
      <c r="E14" s="52">
        <v>42382</v>
      </c>
      <c r="F14" s="51">
        <v>0.99740461531096214</v>
      </c>
      <c r="G14" s="52">
        <v>42382</v>
      </c>
      <c r="H14" s="51">
        <v>0.99532785335503438</v>
      </c>
      <c r="I14" s="52">
        <v>42382</v>
      </c>
      <c r="J14" s="51">
        <v>0.99947429686374745</v>
      </c>
      <c r="K14" s="52">
        <v>42382</v>
      </c>
      <c r="L14" s="51">
        <v>1.0022669046082031</v>
      </c>
      <c r="M14" s="52">
        <v>42382</v>
      </c>
      <c r="N14" s="51">
        <v>0.98810353872494838</v>
      </c>
      <c r="O14" s="52">
        <v>42382</v>
      </c>
      <c r="P14" s="51">
        <v>1.0008676935356446</v>
      </c>
      <c r="Q14" s="52">
        <v>42382</v>
      </c>
      <c r="R14" s="51">
        <v>0.989947578379066</v>
      </c>
      <c r="S14" s="52">
        <v>42382</v>
      </c>
      <c r="T14" s="51">
        <v>0.97772911424324715</v>
      </c>
    </row>
    <row r="15" spans="2:23" x14ac:dyDescent="0.2">
      <c r="C15" s="52">
        <v>42564</v>
      </c>
      <c r="D15" s="51">
        <v>1.0013577405428222</v>
      </c>
      <c r="E15" s="52">
        <v>42564</v>
      </c>
      <c r="F15" s="51">
        <v>0.99365365570067588</v>
      </c>
      <c r="G15" s="52">
        <v>42564</v>
      </c>
      <c r="H15" s="51">
        <v>0.99219958160107491</v>
      </c>
      <c r="I15" s="52">
        <v>42564</v>
      </c>
      <c r="J15" s="51">
        <v>0.99921248332179313</v>
      </c>
      <c r="K15" s="52">
        <v>42564</v>
      </c>
      <c r="L15" s="51">
        <v>1.003791748381893</v>
      </c>
      <c r="M15" s="52">
        <v>42564</v>
      </c>
      <c r="N15" s="51">
        <v>0.98418620755261477</v>
      </c>
      <c r="O15" s="52">
        <v>42564</v>
      </c>
      <c r="P15" s="51">
        <v>1.0011984753545047</v>
      </c>
      <c r="Q15" s="52">
        <v>42564</v>
      </c>
      <c r="R15" s="51">
        <v>0.9848238510445475</v>
      </c>
      <c r="S15" s="52">
        <v>42564</v>
      </c>
      <c r="T15" s="51">
        <v>0.96764136752112806</v>
      </c>
    </row>
    <row r="16" spans="2:23" x14ac:dyDescent="0.2">
      <c r="C16" s="52">
        <v>42747</v>
      </c>
      <c r="D16" s="51">
        <v>1.0017423532069809</v>
      </c>
      <c r="E16" s="52">
        <v>42747</v>
      </c>
      <c r="F16" s="51">
        <v>0.98806084050726706</v>
      </c>
      <c r="G16" s="52">
        <v>42747</v>
      </c>
      <c r="H16" s="51">
        <v>0.98822086564289557</v>
      </c>
      <c r="I16" s="52">
        <v>42747</v>
      </c>
      <c r="J16" s="51">
        <v>0.99895054995208288</v>
      </c>
      <c r="K16" s="52">
        <v>42747</v>
      </c>
      <c r="L16" s="51">
        <v>1.0051748053932901</v>
      </c>
      <c r="M16" s="52">
        <v>42747</v>
      </c>
      <c r="N16" s="51">
        <v>0.98111433340798959</v>
      </c>
      <c r="O16" s="52">
        <v>42747</v>
      </c>
      <c r="P16" s="51">
        <v>1.0011041970192307</v>
      </c>
      <c r="Q16" s="52">
        <v>42747</v>
      </c>
      <c r="R16" s="51">
        <v>0.97926900485670532</v>
      </c>
      <c r="S16" s="52">
        <v>42747</v>
      </c>
      <c r="T16" s="51">
        <v>0.95753296208257277</v>
      </c>
    </row>
    <row r="17" spans="3:20" x14ac:dyDescent="0.2">
      <c r="C17" s="52">
        <v>43112</v>
      </c>
      <c r="D17" s="51">
        <v>1.0020322622096745</v>
      </c>
      <c r="E17" s="52">
        <v>43112</v>
      </c>
      <c r="F17" s="51">
        <v>0.97285794944338533</v>
      </c>
      <c r="G17" s="52">
        <v>43112</v>
      </c>
      <c r="H17" s="51">
        <v>0.97812439961366149</v>
      </c>
      <c r="I17" s="52">
        <v>43112</v>
      </c>
      <c r="J17" s="51">
        <v>0.99816847063242764</v>
      </c>
      <c r="K17" s="52">
        <v>43112</v>
      </c>
      <c r="L17" s="51">
        <v>1.0077852312960454</v>
      </c>
      <c r="M17" s="52">
        <v>43112</v>
      </c>
      <c r="N17" s="51">
        <v>0.97177194079640594</v>
      </c>
      <c r="O17" s="52">
        <v>43112</v>
      </c>
      <c r="P17" s="51">
        <v>0.99910152004544661</v>
      </c>
      <c r="Q17" s="52">
        <v>43112</v>
      </c>
      <c r="R17" s="51">
        <v>0.96606487181206069</v>
      </c>
      <c r="S17" s="52">
        <v>43112</v>
      </c>
      <c r="T17" s="51">
        <v>0.93658996101839787</v>
      </c>
    </row>
    <row r="18" spans="3:20" x14ac:dyDescent="0.2">
      <c r="C18" s="52">
        <v>43477</v>
      </c>
      <c r="D18" s="51">
        <v>1.0011096200369649</v>
      </c>
      <c r="E18" s="52">
        <v>43477</v>
      </c>
      <c r="F18" s="51">
        <v>0.95470974002546238</v>
      </c>
      <c r="G18" s="52">
        <v>43477</v>
      </c>
      <c r="H18" s="51">
        <v>0.96602913707004956</v>
      </c>
      <c r="I18" s="52">
        <v>43477</v>
      </c>
      <c r="J18" s="51">
        <v>0.99656522699161232</v>
      </c>
      <c r="K18" s="52">
        <v>43477</v>
      </c>
      <c r="L18" s="51">
        <v>1.0091822750147763</v>
      </c>
      <c r="M18" s="52">
        <v>43477</v>
      </c>
      <c r="N18" s="51">
        <v>0.95976570434725117</v>
      </c>
      <c r="O18" s="52">
        <v>43477</v>
      </c>
      <c r="P18" s="51">
        <v>0.99381389571752032</v>
      </c>
      <c r="Q18" s="52">
        <v>43477</v>
      </c>
      <c r="R18" s="51">
        <v>0.95093916589596794</v>
      </c>
      <c r="S18" s="52">
        <v>43477</v>
      </c>
      <c r="T18" s="51">
        <v>0.91521477584896771</v>
      </c>
    </row>
    <row r="19" spans="3:20" x14ac:dyDescent="0.2">
      <c r="C19" s="52">
        <v>43842</v>
      </c>
      <c r="D19" s="51">
        <v>0.99873098596169096</v>
      </c>
      <c r="E19" s="52">
        <v>43842</v>
      </c>
      <c r="F19" s="51">
        <v>0.93529669868940013</v>
      </c>
      <c r="G19" s="52">
        <v>43842</v>
      </c>
      <c r="H19" s="51">
        <v>0.95266451330891389</v>
      </c>
      <c r="I19" s="52">
        <v>43842</v>
      </c>
      <c r="J19" s="51">
        <v>0.99434074790445925</v>
      </c>
      <c r="K19" s="52">
        <v>43842</v>
      </c>
      <c r="L19" s="51">
        <v>1.0086925114409091</v>
      </c>
      <c r="M19" s="52">
        <v>43842</v>
      </c>
      <c r="N19" s="51">
        <v>0.94599336085793517</v>
      </c>
      <c r="O19" s="52">
        <v>43842</v>
      </c>
      <c r="P19" s="51">
        <v>0.9848722815831793</v>
      </c>
      <c r="Q19" s="52">
        <v>43842</v>
      </c>
      <c r="R19" s="51">
        <v>0.93435740030294612</v>
      </c>
      <c r="S19" s="52">
        <v>43842</v>
      </c>
      <c r="T19" s="51">
        <v>0.89240440753715189</v>
      </c>
    </row>
    <row r="20" spans="3:20" x14ac:dyDescent="0.2">
      <c r="C20" s="52">
        <v>44207</v>
      </c>
      <c r="D20" s="51">
        <v>0.99423468129933157</v>
      </c>
      <c r="E20" s="52">
        <v>44207</v>
      </c>
      <c r="F20" s="51">
        <v>0.91510956900278506</v>
      </c>
      <c r="G20" s="52">
        <v>44207</v>
      </c>
      <c r="H20" s="51">
        <v>0.93876705146587858</v>
      </c>
      <c r="I20" s="52">
        <v>44207</v>
      </c>
      <c r="J20" s="51">
        <v>0.99142855839814448</v>
      </c>
      <c r="K20" s="52">
        <v>44207</v>
      </c>
      <c r="L20" s="51">
        <v>1.0058623180157489</v>
      </c>
      <c r="M20" s="52">
        <v>44207</v>
      </c>
      <c r="N20" s="51">
        <v>0.93217343985200907</v>
      </c>
      <c r="O20" s="52">
        <v>44207</v>
      </c>
      <c r="P20" s="51">
        <v>0.97327370257724199</v>
      </c>
      <c r="Q20" s="52">
        <v>44207</v>
      </c>
      <c r="R20" s="51">
        <v>0.91588000517689083</v>
      </c>
      <c r="S20" s="52">
        <v>44207</v>
      </c>
      <c r="T20" s="51">
        <v>0.86746599969074811</v>
      </c>
    </row>
    <row r="21" spans="3:20" x14ac:dyDescent="0.2">
      <c r="C21" s="52">
        <v>44572</v>
      </c>
      <c r="D21" s="51">
        <v>0.98749680545979179</v>
      </c>
      <c r="E21" s="52">
        <v>44572</v>
      </c>
      <c r="F21" s="51">
        <v>0.89451609571410906</v>
      </c>
      <c r="G21" s="52">
        <v>44572</v>
      </c>
      <c r="H21" s="51">
        <v>0.92443106275867459</v>
      </c>
      <c r="I21" s="52">
        <v>44572</v>
      </c>
      <c r="J21" s="51">
        <v>0.9879363561471155</v>
      </c>
      <c r="K21" s="52">
        <v>44572</v>
      </c>
      <c r="L21" s="51">
        <v>1.0011624957498255</v>
      </c>
      <c r="M21" s="52">
        <v>44572</v>
      </c>
      <c r="N21" s="51">
        <v>0.91817814700739486</v>
      </c>
      <c r="O21" s="52">
        <v>44572</v>
      </c>
      <c r="P21" s="51">
        <v>0.9596990045687811</v>
      </c>
      <c r="Q21" s="52">
        <v>44572</v>
      </c>
      <c r="R21" s="51">
        <v>0.89584478671738144</v>
      </c>
      <c r="S21" s="52">
        <v>44572</v>
      </c>
      <c r="T21" s="51">
        <v>0.84141758859378546</v>
      </c>
    </row>
    <row r="22" spans="3:20" x14ac:dyDescent="0.2">
      <c r="C22" s="52">
        <v>44937</v>
      </c>
      <c r="D22" s="51">
        <v>0.97872351874076469</v>
      </c>
      <c r="E22" s="52">
        <v>44937</v>
      </c>
      <c r="F22" s="51">
        <v>0.87382004573317529</v>
      </c>
      <c r="G22" s="52">
        <v>44937</v>
      </c>
      <c r="H22" s="51">
        <v>0.90959863483689463</v>
      </c>
      <c r="I22" s="52">
        <v>44937</v>
      </c>
      <c r="J22" s="51">
        <v>0.98364686354828845</v>
      </c>
      <c r="K22" s="52">
        <v>44937</v>
      </c>
      <c r="L22" s="51">
        <v>0.99479674089146997</v>
      </c>
      <c r="M22" s="52">
        <v>44937</v>
      </c>
      <c r="N22" s="51">
        <v>0.90381934905829286</v>
      </c>
      <c r="O22" s="52">
        <v>44937</v>
      </c>
      <c r="P22" s="51">
        <v>0.94458082891518558</v>
      </c>
      <c r="Q22" s="52">
        <v>44937</v>
      </c>
      <c r="R22" s="51">
        <v>0.87434770759958136</v>
      </c>
      <c r="S22" s="52">
        <v>44937</v>
      </c>
      <c r="T22" s="51">
        <v>0.815546184440058</v>
      </c>
    </row>
    <row r="23" spans="3:20" x14ac:dyDescent="0.2">
      <c r="C23" s="52">
        <v>45302</v>
      </c>
      <c r="D23" s="51">
        <v>0.96843378161094884</v>
      </c>
      <c r="E23" s="52">
        <v>45302</v>
      </c>
      <c r="F23" s="51">
        <v>0.85303020961447784</v>
      </c>
      <c r="G23" s="52">
        <v>45302</v>
      </c>
      <c r="H23" s="51">
        <v>0.89458765366171966</v>
      </c>
      <c r="I23" s="52">
        <v>45302</v>
      </c>
      <c r="J23" s="51">
        <v>0.97839372910323152</v>
      </c>
      <c r="K23" s="52">
        <v>45302</v>
      </c>
      <c r="L23" s="51">
        <v>0.98681571216714037</v>
      </c>
      <c r="M23" s="52">
        <v>45302</v>
      </c>
      <c r="N23" s="51">
        <v>0.8892184345091515</v>
      </c>
      <c r="O23" s="52">
        <v>45302</v>
      </c>
      <c r="P23" s="51">
        <v>0.92803584228623281</v>
      </c>
      <c r="Q23" s="52">
        <v>45302</v>
      </c>
      <c r="R23" s="51">
        <v>0.85167060564311403</v>
      </c>
      <c r="S23" s="52">
        <v>45302</v>
      </c>
      <c r="T23" s="51">
        <v>0.78983858187431077</v>
      </c>
    </row>
    <row r="24" spans="3:20" x14ac:dyDescent="0.2">
      <c r="C24" s="52">
        <v>45667</v>
      </c>
      <c r="D24" s="51">
        <v>0.95692605614724391</v>
      </c>
      <c r="E24" s="52">
        <v>45667</v>
      </c>
      <c r="F24" s="51">
        <v>0.83242293817866775</v>
      </c>
      <c r="G24" s="52">
        <v>45667</v>
      </c>
      <c r="H24" s="51">
        <v>0.87916244381956876</v>
      </c>
      <c r="I24" s="52">
        <v>45667</v>
      </c>
      <c r="J24" s="51">
        <v>0.97222195110836984</v>
      </c>
      <c r="K24" s="52">
        <v>45667</v>
      </c>
      <c r="L24" s="51">
        <v>0.97880662283771713</v>
      </c>
      <c r="M24" s="52">
        <v>45667</v>
      </c>
      <c r="N24" s="51">
        <v>0.87455313800776835</v>
      </c>
      <c r="O24" s="52">
        <v>45667</v>
      </c>
      <c r="P24" s="51">
        <v>0.91082484722911117</v>
      </c>
      <c r="Q24" s="52">
        <v>45667</v>
      </c>
      <c r="R24" s="51">
        <v>0.82859270794859541</v>
      </c>
      <c r="S24" s="52">
        <v>45667</v>
      </c>
      <c r="T24" s="51">
        <v>0.76398353115354156</v>
      </c>
    </row>
    <row r="25" spans="3:20" x14ac:dyDescent="0.2">
      <c r="C25" s="52">
        <v>46032</v>
      </c>
      <c r="D25" s="51">
        <v>0.9445847690557222</v>
      </c>
      <c r="E25" s="52">
        <v>46032</v>
      </c>
      <c r="F25" s="51">
        <v>0.81199447986486561</v>
      </c>
      <c r="G25" s="52">
        <v>46032</v>
      </c>
      <c r="H25" s="51">
        <v>0.86295206075938802</v>
      </c>
      <c r="I25" s="52">
        <v>46032</v>
      </c>
      <c r="J25" s="51">
        <v>0.96450203857944894</v>
      </c>
      <c r="K25" s="52">
        <v>46032</v>
      </c>
      <c r="L25" s="51">
        <v>0.96943683653764312</v>
      </c>
      <c r="M25" s="52">
        <v>46032</v>
      </c>
      <c r="N25" s="51">
        <v>0.86009851917767699</v>
      </c>
      <c r="O25" s="52">
        <v>46032</v>
      </c>
      <c r="P25" s="51">
        <v>0.89292975744193515</v>
      </c>
      <c r="Q25" s="52">
        <v>46032</v>
      </c>
      <c r="R25" s="51">
        <v>0.80515048272449385</v>
      </c>
      <c r="S25" s="52">
        <v>46032</v>
      </c>
      <c r="T25" s="51">
        <v>0.73834441054364919</v>
      </c>
    </row>
    <row r="26" spans="3:20" x14ac:dyDescent="0.2">
      <c r="C26" s="52">
        <v>46397</v>
      </c>
      <c r="D26" s="51">
        <v>0.9318265697090129</v>
      </c>
      <c r="E26" s="52">
        <v>46397</v>
      </c>
      <c r="F26" s="51">
        <v>0.79196804769902085</v>
      </c>
      <c r="G26" s="52">
        <v>46397</v>
      </c>
      <c r="H26" s="51">
        <v>0.84633484715933172</v>
      </c>
      <c r="I26" s="52">
        <v>46397</v>
      </c>
      <c r="J26" s="51">
        <v>0.95533146560808457</v>
      </c>
      <c r="K26" s="52">
        <v>46397</v>
      </c>
      <c r="L26" s="51">
        <v>0.95899746847716638</v>
      </c>
      <c r="M26" s="52">
        <v>46397</v>
      </c>
      <c r="N26" s="51">
        <v>0.84519580336114208</v>
      </c>
      <c r="O26" s="52">
        <v>46397</v>
      </c>
      <c r="P26" s="51">
        <v>0.87454265277557108</v>
      </c>
      <c r="Q26" s="52">
        <v>46397</v>
      </c>
      <c r="R26" s="51">
        <v>0.78190765066329049</v>
      </c>
      <c r="S26" s="52">
        <v>46397</v>
      </c>
      <c r="T26" s="51">
        <v>0.71296982507840823</v>
      </c>
    </row>
    <row r="27" spans="3:20" x14ac:dyDescent="0.2">
      <c r="C27" s="52">
        <v>46762</v>
      </c>
      <c r="D27" s="51">
        <v>0.9188823617635663</v>
      </c>
      <c r="E27" s="52">
        <v>46762</v>
      </c>
      <c r="F27" s="51">
        <v>0.77238730973638803</v>
      </c>
      <c r="G27" s="52">
        <v>46762</v>
      </c>
      <c r="H27" s="51">
        <v>0.82940882876750166</v>
      </c>
      <c r="I27" s="52">
        <v>46762</v>
      </c>
      <c r="J27" s="51">
        <v>0.94441103723952768</v>
      </c>
      <c r="K27" s="52">
        <v>46762</v>
      </c>
      <c r="L27" s="51">
        <v>0.9480232439343953</v>
      </c>
      <c r="M27" s="52">
        <v>46762</v>
      </c>
      <c r="N27" s="51">
        <v>0.82891663855227948</v>
      </c>
      <c r="O27" s="52">
        <v>46762</v>
      </c>
      <c r="P27" s="51">
        <v>0.8557523116363952</v>
      </c>
      <c r="Q27" s="52">
        <v>46762</v>
      </c>
      <c r="R27" s="51">
        <v>0.75919099184933514</v>
      </c>
      <c r="S27" s="52">
        <v>46762</v>
      </c>
      <c r="T27" s="51">
        <v>0.68773162685472755</v>
      </c>
    </row>
    <row r="28" spans="3:20" x14ac:dyDescent="0.2">
      <c r="C28" s="52">
        <v>47127</v>
      </c>
      <c r="D28" s="51">
        <v>0.90568050360547592</v>
      </c>
      <c r="E28" s="52">
        <v>47127</v>
      </c>
      <c r="F28" s="51">
        <v>0.75320877229165351</v>
      </c>
      <c r="G28" s="52">
        <v>47127</v>
      </c>
      <c r="H28" s="51">
        <v>0.81224503123021163</v>
      </c>
      <c r="I28" s="52">
        <v>47127</v>
      </c>
      <c r="J28" s="51">
        <v>0.93191502764227263</v>
      </c>
      <c r="K28" s="52">
        <v>47127</v>
      </c>
      <c r="L28" s="51">
        <v>0.93671583970142713</v>
      </c>
      <c r="M28" s="52">
        <v>47127</v>
      </c>
      <c r="N28" s="51">
        <v>0.81186033982303762</v>
      </c>
      <c r="O28" s="52">
        <v>47127</v>
      </c>
      <c r="P28" s="51">
        <v>0.83664973567610579</v>
      </c>
      <c r="Q28" s="52">
        <v>47127</v>
      </c>
      <c r="R28" s="51">
        <v>0.73701715919572885</v>
      </c>
      <c r="S28" s="52">
        <v>47127</v>
      </c>
      <c r="T28" s="51">
        <v>0.66283417407630962</v>
      </c>
    </row>
    <row r="29" spans="3:20" x14ac:dyDescent="0.2">
      <c r="C29" s="52">
        <v>47492</v>
      </c>
      <c r="D29" s="51">
        <v>0.89242559216666928</v>
      </c>
      <c r="E29" s="52">
        <v>47492</v>
      </c>
      <c r="F29" s="51">
        <v>0.73450106306815954</v>
      </c>
      <c r="G29" s="52">
        <v>47492</v>
      </c>
      <c r="H29" s="51">
        <v>0.79530682219509929</v>
      </c>
      <c r="I29" s="52">
        <v>47492</v>
      </c>
      <c r="J29" s="51">
        <v>0.91885472636640797</v>
      </c>
      <c r="K29" s="52">
        <v>47492</v>
      </c>
      <c r="L29" s="51">
        <v>0.92541478082866335</v>
      </c>
      <c r="M29" s="52">
        <v>47492</v>
      </c>
      <c r="N29" s="51">
        <v>0.79505062678752525</v>
      </c>
      <c r="O29" s="52">
        <v>47492</v>
      </c>
      <c r="P29" s="51">
        <v>0.81757059853701863</v>
      </c>
      <c r="Q29" s="52">
        <v>47492</v>
      </c>
      <c r="R29" s="51">
        <v>0.71593397154071892</v>
      </c>
      <c r="S29" s="52">
        <v>47492</v>
      </c>
      <c r="T29" s="51">
        <v>0.63879227004443584</v>
      </c>
    </row>
    <row r="30" spans="3:20" x14ac:dyDescent="0.2">
      <c r="C30" s="52">
        <v>47857</v>
      </c>
      <c r="D30" s="51">
        <v>0.87904892581040894</v>
      </c>
      <c r="E30" s="52">
        <v>47857</v>
      </c>
      <c r="F30" s="51">
        <v>0.71622835482653502</v>
      </c>
      <c r="G30" s="52">
        <v>47857</v>
      </c>
      <c r="H30" s="51">
        <v>0.77858224561557776</v>
      </c>
      <c r="I30" s="52">
        <v>47857</v>
      </c>
      <c r="J30" s="51">
        <v>0.90561425284585351</v>
      </c>
      <c r="K30" s="52">
        <v>47857</v>
      </c>
      <c r="L30" s="51">
        <v>0.91404636839878051</v>
      </c>
      <c r="M30" s="52">
        <v>47857</v>
      </c>
      <c r="N30" s="51">
        <v>0.77852155996564176</v>
      </c>
      <c r="O30" s="52">
        <v>47857</v>
      </c>
      <c r="P30" s="51">
        <v>0.79832151284252229</v>
      </c>
      <c r="Q30" s="52">
        <v>47857</v>
      </c>
      <c r="R30" s="51">
        <v>0.69611270387809665</v>
      </c>
      <c r="S30" s="52">
        <v>47857</v>
      </c>
      <c r="T30" s="51">
        <v>0.61574489585504144</v>
      </c>
    </row>
    <row r="31" spans="3:20" x14ac:dyDescent="0.2">
      <c r="C31" s="52">
        <v>48222</v>
      </c>
      <c r="D31" s="51">
        <v>0.86550720228047962</v>
      </c>
      <c r="E31" s="52">
        <v>48222</v>
      </c>
      <c r="F31" s="51">
        <v>0.69835805165552256</v>
      </c>
      <c r="G31" s="52">
        <v>48222</v>
      </c>
      <c r="H31" s="51">
        <v>0.76192609294237856</v>
      </c>
      <c r="I31" s="52">
        <v>48222</v>
      </c>
      <c r="J31" s="51">
        <v>0.89170400422117346</v>
      </c>
      <c r="K31" s="52">
        <v>48222</v>
      </c>
      <c r="L31" s="51">
        <v>0.90242092140019781</v>
      </c>
      <c r="M31" s="52">
        <v>48222</v>
      </c>
      <c r="N31" s="51">
        <v>0.76193824899982276</v>
      </c>
      <c r="O31" s="52">
        <v>48222</v>
      </c>
      <c r="P31" s="51">
        <v>0.77882162643929043</v>
      </c>
      <c r="Q31" s="52">
        <v>48222</v>
      </c>
      <c r="R31" s="51">
        <v>0.67730345016780058</v>
      </c>
      <c r="S31" s="52">
        <v>48222</v>
      </c>
      <c r="T31" s="51">
        <v>0.59349329913577675</v>
      </c>
    </row>
    <row r="32" spans="3:20" x14ac:dyDescent="0.2">
      <c r="C32" s="52">
        <v>48587</v>
      </c>
      <c r="D32" s="51">
        <v>0.85194162246333516</v>
      </c>
      <c r="E32" s="52">
        <v>48587</v>
      </c>
      <c r="F32" s="51">
        <v>0.68093255386584617</v>
      </c>
      <c r="G32" s="52">
        <v>48587</v>
      </c>
      <c r="H32" s="51">
        <v>0.74555807240318717</v>
      </c>
      <c r="I32" s="52">
        <v>48587</v>
      </c>
      <c r="J32" s="51">
        <v>0.87750605058078879</v>
      </c>
      <c r="K32" s="52">
        <v>48587</v>
      </c>
      <c r="L32" s="51">
        <v>0.89072359958991987</v>
      </c>
      <c r="M32" s="52">
        <v>48587</v>
      </c>
      <c r="N32" s="51">
        <v>0.74576491786153198</v>
      </c>
      <c r="O32" s="52">
        <v>48587</v>
      </c>
      <c r="P32" s="51">
        <v>0.75957353994985977</v>
      </c>
      <c r="Q32" s="52">
        <v>48587</v>
      </c>
      <c r="R32" s="51">
        <v>0.65939937797328907</v>
      </c>
      <c r="S32" s="52">
        <v>48587</v>
      </c>
      <c r="T32" s="51">
        <v>0.57200995493064966</v>
      </c>
    </row>
    <row r="33" spans="3:20" x14ac:dyDescent="0.2">
      <c r="C33" s="52">
        <v>48952</v>
      </c>
      <c r="D33" s="51">
        <v>0.83862146551961325</v>
      </c>
      <c r="E33" s="52">
        <v>48952</v>
      </c>
      <c r="F33" s="51">
        <v>0.66407730868443127</v>
      </c>
      <c r="G33" s="52">
        <v>48952</v>
      </c>
      <c r="H33" s="51">
        <v>0.72978181586673596</v>
      </c>
      <c r="I33" s="52">
        <v>48952</v>
      </c>
      <c r="J33" s="51">
        <v>0.86341357300551036</v>
      </c>
      <c r="K33" s="52">
        <v>48952</v>
      </c>
      <c r="L33" s="51">
        <v>0.87913067167359527</v>
      </c>
      <c r="M33" s="52">
        <v>48952</v>
      </c>
      <c r="N33" s="51">
        <v>0.73042741785896481</v>
      </c>
      <c r="O33" s="52">
        <v>48952</v>
      </c>
      <c r="P33" s="51">
        <v>0.74103281642441543</v>
      </c>
      <c r="Q33" s="52">
        <v>48952</v>
      </c>
      <c r="R33" s="51">
        <v>0.64230262817557315</v>
      </c>
      <c r="S33" s="52">
        <v>48952</v>
      </c>
      <c r="T33" s="51">
        <v>0.55126838867466654</v>
      </c>
    </row>
    <row r="34" spans="3:20" x14ac:dyDescent="0.2">
      <c r="C34" s="52">
        <v>49317</v>
      </c>
      <c r="D34" s="51">
        <v>0.82564588337793743</v>
      </c>
      <c r="E34" s="52">
        <v>49317</v>
      </c>
      <c r="F34" s="51">
        <v>0.6478011694375404</v>
      </c>
      <c r="G34" s="52">
        <v>49317</v>
      </c>
      <c r="H34" s="51">
        <v>0.71475572583077263</v>
      </c>
      <c r="I34" s="52">
        <v>49317</v>
      </c>
      <c r="J34" s="51">
        <v>0.84979542077837744</v>
      </c>
      <c r="K34" s="52">
        <v>49317</v>
      </c>
      <c r="L34" s="51">
        <v>0.86780943682135636</v>
      </c>
      <c r="M34" s="52">
        <v>49317</v>
      </c>
      <c r="N34" s="51">
        <v>0.71631662072423319</v>
      </c>
      <c r="O34" s="52">
        <v>49317</v>
      </c>
      <c r="P34" s="51">
        <v>0.72361069425295421</v>
      </c>
      <c r="Q34" s="52">
        <v>49317</v>
      </c>
      <c r="R34" s="51">
        <v>0.6259234023599608</v>
      </c>
      <c r="S34" s="52">
        <v>49317</v>
      </c>
      <c r="T34" s="51">
        <v>0.53124309062453068</v>
      </c>
    </row>
    <row r="35" spans="3:20" x14ac:dyDescent="0.2">
      <c r="C35" s="52">
        <v>49682</v>
      </c>
      <c r="D35" s="51">
        <v>0.81300622267866385</v>
      </c>
      <c r="E35" s="52">
        <v>49682</v>
      </c>
      <c r="F35" s="51">
        <v>0.63209638081570518</v>
      </c>
      <c r="G35" s="52">
        <v>49682</v>
      </c>
      <c r="H35" s="51">
        <v>0.70050493059841357</v>
      </c>
      <c r="I35" s="52">
        <v>49682</v>
      </c>
      <c r="J35" s="51">
        <v>0.83679689783251665</v>
      </c>
      <c r="K35" s="52">
        <v>49682</v>
      </c>
      <c r="L35" s="51">
        <v>0.85672509341188008</v>
      </c>
      <c r="M35" s="52">
        <v>49682</v>
      </c>
      <c r="N35" s="51">
        <v>0.70364612917397484</v>
      </c>
      <c r="O35" s="52">
        <v>49682</v>
      </c>
      <c r="P35" s="51">
        <v>0.70729235343721852</v>
      </c>
      <c r="Q35" s="52">
        <v>49682</v>
      </c>
      <c r="R35" s="51">
        <v>0.61028473064907574</v>
      </c>
      <c r="S35" s="52">
        <v>49682</v>
      </c>
      <c r="T35" s="51">
        <v>0.51178141039276448</v>
      </c>
    </row>
    <row r="36" spans="3:20" x14ac:dyDescent="0.2">
      <c r="C36" s="52">
        <v>50047</v>
      </c>
      <c r="D36" s="51">
        <v>0.80058504283147758</v>
      </c>
      <c r="E36" s="52">
        <v>50047</v>
      </c>
      <c r="F36" s="51">
        <v>0.61691203750443102</v>
      </c>
      <c r="G36" s="52">
        <v>50047</v>
      </c>
      <c r="H36" s="51">
        <v>0.68686261824724237</v>
      </c>
      <c r="I36" s="52">
        <v>50047</v>
      </c>
      <c r="J36" s="51">
        <v>0.82405683194236801</v>
      </c>
      <c r="K36" s="52">
        <v>50047</v>
      </c>
      <c r="L36" s="51">
        <v>0.84575967139088504</v>
      </c>
      <c r="M36" s="52">
        <v>50047</v>
      </c>
      <c r="N36" s="51">
        <v>0.69208059120462173</v>
      </c>
      <c r="O36" s="52">
        <v>50047</v>
      </c>
      <c r="P36" s="51">
        <v>0.69173165699793771</v>
      </c>
      <c r="Q36" s="52">
        <v>50047</v>
      </c>
      <c r="R36" s="51">
        <v>0.59538893444709262</v>
      </c>
      <c r="S36" s="52">
        <v>50047</v>
      </c>
      <c r="T36" s="51">
        <v>0.4928676220010329</v>
      </c>
    </row>
    <row r="37" spans="3:20" x14ac:dyDescent="0.2">
      <c r="C37" s="52">
        <v>50412</v>
      </c>
      <c r="D37" s="51">
        <v>0.7883822583354495</v>
      </c>
      <c r="E37" s="52">
        <v>50412</v>
      </c>
      <c r="F37" s="51">
        <v>0.60219216339417192</v>
      </c>
      <c r="G37" s="52">
        <v>50412</v>
      </c>
      <c r="H37" s="51">
        <v>0.67371338166101224</v>
      </c>
      <c r="I37" s="52">
        <v>50412</v>
      </c>
      <c r="J37" s="51">
        <v>0.81159366104383668</v>
      </c>
      <c r="K37" s="52">
        <v>50412</v>
      </c>
      <c r="L37" s="51">
        <v>0.83497061612886725</v>
      </c>
      <c r="M37" s="52">
        <v>50412</v>
      </c>
      <c r="N37" s="51">
        <v>0.68119017162405937</v>
      </c>
      <c r="O37" s="52">
        <v>50412</v>
      </c>
      <c r="P37" s="51">
        <v>0.67685952507414449</v>
      </c>
      <c r="Q37" s="52">
        <v>50412</v>
      </c>
      <c r="R37" s="51">
        <v>0.58111545536331577</v>
      </c>
      <c r="S37" s="52">
        <v>50412</v>
      </c>
      <c r="T37" s="51">
        <v>0.47467954556544972</v>
      </c>
    </row>
    <row r="38" spans="3:20" x14ac:dyDescent="0.2">
      <c r="C38" s="52">
        <v>50777</v>
      </c>
      <c r="D38" s="51">
        <v>0.77643002467528566</v>
      </c>
      <c r="E38" s="52">
        <v>50777</v>
      </c>
      <c r="F38" s="51">
        <v>0.58787853054778827</v>
      </c>
      <c r="G38" s="52">
        <v>50777</v>
      </c>
      <c r="H38" s="51">
        <v>0.66094705451165436</v>
      </c>
      <c r="I38" s="52">
        <v>50777</v>
      </c>
      <c r="J38" s="51">
        <v>0.79945363837181049</v>
      </c>
      <c r="K38" s="52">
        <v>50777</v>
      </c>
      <c r="L38" s="51">
        <v>0.82441248146149648</v>
      </c>
      <c r="M38" s="52">
        <v>50777</v>
      </c>
      <c r="N38" s="51">
        <v>0.67057238074251579</v>
      </c>
      <c r="O38" s="52">
        <v>50777</v>
      </c>
      <c r="P38" s="51">
        <v>0.66261191587690027</v>
      </c>
      <c r="Q38" s="52">
        <v>50777</v>
      </c>
      <c r="R38" s="51">
        <v>0.5673537732646855</v>
      </c>
      <c r="S38" s="52">
        <v>50777</v>
      </c>
      <c r="T38" s="51">
        <v>0.45736731228727984</v>
      </c>
    </row>
    <row r="39" spans="3:20" x14ac:dyDescent="0.2">
      <c r="C39" s="52">
        <v>51142</v>
      </c>
      <c r="D39" s="51">
        <v>0.76470906402075534</v>
      </c>
      <c r="E39" s="52">
        <v>51142</v>
      </c>
      <c r="F39" s="51">
        <v>0.57389867005313899</v>
      </c>
      <c r="G39" s="52">
        <v>51142</v>
      </c>
      <c r="H39" s="51">
        <v>0.64844472329622127</v>
      </c>
      <c r="I39" s="52">
        <v>51142</v>
      </c>
      <c r="J39" s="51">
        <v>0.78768005954838916</v>
      </c>
      <c r="K39" s="52">
        <v>51142</v>
      </c>
      <c r="L39" s="51">
        <v>0.81413698185339622</v>
      </c>
      <c r="M39" s="52">
        <v>51142</v>
      </c>
      <c r="N39" s="51">
        <v>0.65984933810797641</v>
      </c>
      <c r="O39" s="52">
        <v>51142</v>
      </c>
      <c r="P39" s="51">
        <v>0.64892923561985538</v>
      </c>
      <c r="Q39" s="52">
        <v>51142</v>
      </c>
      <c r="R39" s="51">
        <v>0.5540025514989505</v>
      </c>
      <c r="S39" s="52">
        <v>51142</v>
      </c>
      <c r="T39" s="51">
        <v>0.44105630225675663</v>
      </c>
    </row>
    <row r="40" spans="3:20" x14ac:dyDescent="0.2">
      <c r="C40" s="52">
        <v>51507</v>
      </c>
      <c r="D40" s="51">
        <v>0.75326413589424168</v>
      </c>
      <c r="E40" s="52">
        <v>51507</v>
      </c>
      <c r="F40" s="51">
        <v>0.56030582766299519</v>
      </c>
      <c r="G40" s="52">
        <v>51507</v>
      </c>
      <c r="H40" s="51">
        <v>0.6362278245560048</v>
      </c>
      <c r="I40" s="52">
        <v>51507</v>
      </c>
      <c r="J40" s="51">
        <v>0.77638458934296739</v>
      </c>
      <c r="K40" s="52">
        <v>51507</v>
      </c>
      <c r="L40" s="51">
        <v>0.80402688015925072</v>
      </c>
      <c r="M40" s="52">
        <v>51507</v>
      </c>
      <c r="N40" s="51">
        <v>0.64900280289355983</v>
      </c>
      <c r="O40" s="52">
        <v>51507</v>
      </c>
      <c r="P40" s="51">
        <v>0.63580589747493399</v>
      </c>
      <c r="Q40" s="52">
        <v>51507</v>
      </c>
      <c r="R40" s="51">
        <v>0.54109245511021975</v>
      </c>
      <c r="S40" s="52">
        <v>51507</v>
      </c>
      <c r="T40" s="51">
        <v>0.42565793293226079</v>
      </c>
    </row>
    <row r="41" spans="3:20" x14ac:dyDescent="0.2">
      <c r="C41" s="52">
        <v>51872</v>
      </c>
      <c r="D41" s="51">
        <v>0.74203388853838714</v>
      </c>
      <c r="E41" s="52">
        <v>51872</v>
      </c>
      <c r="F41" s="51">
        <v>0.54708637496040391</v>
      </c>
      <c r="G41" s="52">
        <v>51872</v>
      </c>
      <c r="H41" s="51">
        <v>0.62432233235651247</v>
      </c>
      <c r="I41" s="52">
        <v>51872</v>
      </c>
      <c r="J41" s="51">
        <v>0.76563965070747431</v>
      </c>
      <c r="K41" s="52">
        <v>51872</v>
      </c>
      <c r="L41" s="51">
        <v>0.79402602381863086</v>
      </c>
      <c r="M41" s="52">
        <v>51872</v>
      </c>
      <c r="N41" s="51">
        <v>0.6382938680994944</v>
      </c>
      <c r="O41" s="52">
        <v>51872</v>
      </c>
      <c r="P41" s="51">
        <v>0.62324345530290459</v>
      </c>
      <c r="Q41" s="52">
        <v>51872</v>
      </c>
      <c r="R41" s="51">
        <v>0.52866277112534843</v>
      </c>
      <c r="S41" s="52">
        <v>51872</v>
      </c>
      <c r="T41" s="51">
        <v>0.4110021956656939</v>
      </c>
    </row>
    <row r="42" spans="3:20" x14ac:dyDescent="0.2">
      <c r="C42" s="52">
        <v>52237</v>
      </c>
      <c r="D42" s="51">
        <v>0.73102788927847184</v>
      </c>
      <c r="E42" s="52">
        <v>52237</v>
      </c>
      <c r="F42" s="51">
        <v>0.53420012522288274</v>
      </c>
      <c r="G42" s="52">
        <v>52237</v>
      </c>
      <c r="H42" s="51">
        <v>0.61272912462035423</v>
      </c>
      <c r="I42" s="52">
        <v>52237</v>
      </c>
      <c r="J42" s="51">
        <v>0.75521862662864614</v>
      </c>
      <c r="K42" s="52">
        <v>52237</v>
      </c>
      <c r="L42" s="51">
        <v>0.78429782537744652</v>
      </c>
      <c r="M42" s="52">
        <v>52237</v>
      </c>
      <c r="N42" s="51">
        <v>0.62773354971766171</v>
      </c>
      <c r="O42" s="52">
        <v>52237</v>
      </c>
      <c r="P42" s="51">
        <v>0.61119029250448709</v>
      </c>
      <c r="Q42" s="52">
        <v>52237</v>
      </c>
      <c r="R42" s="51">
        <v>0.51662467347517271</v>
      </c>
      <c r="S42" s="52">
        <v>52237</v>
      </c>
      <c r="T42" s="51">
        <v>0.39709956043678479</v>
      </c>
    </row>
    <row r="43" spans="3:20" x14ac:dyDescent="0.2">
      <c r="C43" s="52">
        <v>52602</v>
      </c>
      <c r="D43" s="51">
        <v>0.72026447333400823</v>
      </c>
      <c r="E43" s="52">
        <v>52602</v>
      </c>
      <c r="F43" s="51">
        <v>0.52163300859197548</v>
      </c>
      <c r="G43" s="52">
        <v>52602</v>
      </c>
      <c r="H43" s="51">
        <v>0.60146623313626346</v>
      </c>
      <c r="I43" s="52">
        <v>52602</v>
      </c>
      <c r="J43" s="51">
        <v>0.74488979886872608</v>
      </c>
      <c r="K43" s="52">
        <v>52602</v>
      </c>
      <c r="L43" s="51">
        <v>0.77499781578621951</v>
      </c>
      <c r="M43" s="52">
        <v>52602</v>
      </c>
      <c r="N43" s="51">
        <v>0.61733185223431986</v>
      </c>
      <c r="O43" s="52">
        <v>52602</v>
      </c>
      <c r="P43" s="51">
        <v>0.59959813243286453</v>
      </c>
      <c r="Q43" s="52">
        <v>52602</v>
      </c>
      <c r="R43" s="51">
        <v>0.50489646177187486</v>
      </c>
      <c r="S43" s="52">
        <v>52602</v>
      </c>
      <c r="T43" s="51">
        <v>0.38395628594865816</v>
      </c>
    </row>
    <row r="44" spans="3:20" x14ac:dyDescent="0.2">
      <c r="C44" s="52">
        <v>52967</v>
      </c>
      <c r="D44" s="51">
        <v>0.70977948605266372</v>
      </c>
      <c r="E44" s="52">
        <v>52967</v>
      </c>
      <c r="F44" s="51">
        <v>0.50935621982121815</v>
      </c>
      <c r="G44" s="52">
        <v>52967</v>
      </c>
      <c r="H44" s="51">
        <v>0.59053935615270647</v>
      </c>
      <c r="I44" s="52">
        <v>52967</v>
      </c>
      <c r="J44" s="51">
        <v>0.73443389099768885</v>
      </c>
      <c r="K44" s="52">
        <v>52967</v>
      </c>
      <c r="L44" s="51">
        <v>0.76627424085360818</v>
      </c>
      <c r="M44" s="52">
        <v>52967</v>
      </c>
      <c r="N44" s="51">
        <v>0.60709802019601855</v>
      </c>
      <c r="O44" s="52">
        <v>52967</v>
      </c>
      <c r="P44" s="51">
        <v>0.58842179989647081</v>
      </c>
      <c r="Q44" s="52">
        <v>52967</v>
      </c>
      <c r="R44" s="51">
        <v>0.49340310742448085</v>
      </c>
      <c r="S44" s="52">
        <v>52967</v>
      </c>
      <c r="T44" s="51">
        <v>0.3715750341982888</v>
      </c>
    </row>
    <row r="45" spans="3:20" x14ac:dyDescent="0.2">
      <c r="C45" s="53">
        <v>53332</v>
      </c>
      <c r="D45" s="54">
        <v>0.69951286213128294</v>
      </c>
      <c r="E45" s="53">
        <v>53332</v>
      </c>
      <c r="F45" s="54">
        <v>0.49730449433691787</v>
      </c>
      <c r="G45" s="53">
        <v>53332</v>
      </c>
      <c r="H45" s="54">
        <v>0.58000233280272473</v>
      </c>
      <c r="I45" s="53">
        <v>53332</v>
      </c>
      <c r="J45" s="54">
        <v>0.72369355885129116</v>
      </c>
      <c r="K45" s="53">
        <v>53332</v>
      </c>
      <c r="L45" s="54">
        <v>0.75827837927951092</v>
      </c>
      <c r="M45" s="53">
        <v>53332</v>
      </c>
      <c r="N45" s="54">
        <v>0.59702833525354493</v>
      </c>
      <c r="O45" s="53">
        <v>53332</v>
      </c>
      <c r="P45" s="54">
        <v>0.57773301656249487</v>
      </c>
      <c r="Q45" s="53">
        <v>53332</v>
      </c>
      <c r="R45" s="54">
        <v>0.482142627361201</v>
      </c>
      <c r="S45" s="53">
        <v>53332</v>
      </c>
      <c r="T45" s="54">
        <v>0.36008244746607471</v>
      </c>
    </row>
    <row r="49" spans="2:23" x14ac:dyDescent="0.2">
      <c r="C49" s="39">
        <f ca="1">_xll.MarketLoad(B51,C51:T91,V51:W58)</f>
        <v>2</v>
      </c>
    </row>
    <row r="51" spans="2:23" x14ac:dyDescent="0.2">
      <c r="B51" s="49">
        <v>41772</v>
      </c>
      <c r="C51" s="56" t="s">
        <v>8752</v>
      </c>
      <c r="D51" s="55" t="s">
        <v>8755</v>
      </c>
      <c r="E51" s="56" t="s">
        <v>8753</v>
      </c>
      <c r="F51" s="57" t="s">
        <v>8755</v>
      </c>
      <c r="G51" s="56" t="s">
        <v>8760</v>
      </c>
      <c r="H51" s="57" t="s">
        <v>8755</v>
      </c>
      <c r="I51" s="56" t="s">
        <v>8831</v>
      </c>
      <c r="J51" s="57" t="s">
        <v>8755</v>
      </c>
      <c r="K51" s="56" t="s">
        <v>8845</v>
      </c>
      <c r="L51" s="57" t="s">
        <v>8755</v>
      </c>
      <c r="M51" s="56" t="s">
        <v>8836</v>
      </c>
      <c r="N51" s="57" t="s">
        <v>8755</v>
      </c>
      <c r="O51" s="56" t="s">
        <v>8890</v>
      </c>
      <c r="P51" s="57" t="s">
        <v>8755</v>
      </c>
      <c r="Q51" s="56" t="s">
        <v>8790</v>
      </c>
      <c r="R51" s="57" t="s">
        <v>8755</v>
      </c>
      <c r="S51" s="56" t="s">
        <v>8768</v>
      </c>
      <c r="T51" s="57" t="s">
        <v>8755</v>
      </c>
      <c r="V51" s="55" t="s">
        <v>8910</v>
      </c>
      <c r="W51" s="50">
        <v>1.3706039513036274</v>
      </c>
    </row>
    <row r="52" spans="2:23" x14ac:dyDescent="0.2">
      <c r="C52" s="52">
        <v>41779</v>
      </c>
      <c r="D52" s="51">
        <v>0.99995722327344394</v>
      </c>
      <c r="E52" s="52">
        <v>41779</v>
      </c>
      <c r="F52" s="51">
        <v>0.99998444458271518</v>
      </c>
      <c r="G52" s="52">
        <v>41779</v>
      </c>
      <c r="H52" s="51">
        <v>0.99991909141213464</v>
      </c>
      <c r="I52" s="52">
        <v>41779</v>
      </c>
      <c r="J52" s="51">
        <v>0.99998734255730337</v>
      </c>
      <c r="K52" s="52">
        <v>41779</v>
      </c>
      <c r="L52" s="51">
        <v>0.99999319452019653</v>
      </c>
      <c r="M52" s="52">
        <v>41779</v>
      </c>
      <c r="N52" s="51">
        <v>0.99939017707088174</v>
      </c>
      <c r="O52" s="52">
        <v>41779</v>
      </c>
      <c r="P52" s="51">
        <v>0.99985216886406203</v>
      </c>
      <c r="Q52" s="52">
        <v>41779</v>
      </c>
      <c r="R52" s="51">
        <v>0.99980909814809138</v>
      </c>
      <c r="S52" s="52">
        <v>41779</v>
      </c>
      <c r="T52" s="51">
        <v>0.99952067927494637</v>
      </c>
      <c r="V52" s="55" t="s">
        <v>8930</v>
      </c>
      <c r="W52" s="50">
        <v>1.6836753074752027</v>
      </c>
    </row>
    <row r="53" spans="2:23" x14ac:dyDescent="0.2">
      <c r="C53" s="52">
        <v>41786</v>
      </c>
      <c r="D53" s="51">
        <v>0.99991244863864515</v>
      </c>
      <c r="E53" s="52">
        <v>41786</v>
      </c>
      <c r="F53" s="51">
        <v>0.99996888940740125</v>
      </c>
      <c r="G53" s="52">
        <v>41786</v>
      </c>
      <c r="H53" s="51">
        <v>0.99983818937046876</v>
      </c>
      <c r="I53" s="52">
        <v>41786</v>
      </c>
      <c r="J53" s="51">
        <v>0.99997459809531164</v>
      </c>
      <c r="K53" s="52">
        <v>41786</v>
      </c>
      <c r="L53" s="51">
        <v>0.99998685844124491</v>
      </c>
      <c r="M53" s="52">
        <v>41786</v>
      </c>
      <c r="N53" s="51">
        <v>0.9988968462933151</v>
      </c>
      <c r="O53" s="52">
        <v>41786</v>
      </c>
      <c r="P53" s="51">
        <v>0.99970519495718457</v>
      </c>
      <c r="Q53" s="52">
        <v>41786</v>
      </c>
      <c r="R53" s="51">
        <v>0.99961823273969985</v>
      </c>
      <c r="S53" s="52">
        <v>41786</v>
      </c>
      <c r="T53" s="51">
        <v>0.99904158829825018</v>
      </c>
      <c r="V53" s="55" t="s">
        <v>8929</v>
      </c>
      <c r="W53" s="50">
        <v>9.7862954770899877E-3</v>
      </c>
    </row>
    <row r="54" spans="2:23" x14ac:dyDescent="0.2">
      <c r="C54" s="52">
        <v>41793</v>
      </c>
      <c r="D54" s="51">
        <v>0.99986310534034528</v>
      </c>
      <c r="E54" s="52">
        <v>41793</v>
      </c>
      <c r="F54" s="51">
        <v>0.99995333447405466</v>
      </c>
      <c r="G54" s="52">
        <v>41793</v>
      </c>
      <c r="H54" s="51">
        <v>0.99975729387447276</v>
      </c>
      <c r="I54" s="52">
        <v>41793</v>
      </c>
      <c r="J54" s="51">
        <v>0.99996133072553406</v>
      </c>
      <c r="K54" s="52">
        <v>41793</v>
      </c>
      <c r="L54" s="51">
        <v>0.99998099175422339</v>
      </c>
      <c r="M54" s="52">
        <v>41793</v>
      </c>
      <c r="N54" s="51">
        <v>0.99853480092092373</v>
      </c>
      <c r="O54" s="52">
        <v>41793</v>
      </c>
      <c r="P54" s="51">
        <v>0.99955893215731195</v>
      </c>
      <c r="Q54" s="52">
        <v>41793</v>
      </c>
      <c r="R54" s="51">
        <v>0.99942740376786832</v>
      </c>
      <c r="S54" s="52">
        <v>41793</v>
      </c>
      <c r="T54" s="51">
        <v>0.9985627269597882</v>
      </c>
      <c r="V54" s="55" t="s">
        <v>8928</v>
      </c>
      <c r="W54" s="50">
        <v>1.123959173963303</v>
      </c>
    </row>
    <row r="55" spans="2:23" x14ac:dyDescent="0.2">
      <c r="C55" s="52">
        <v>41802</v>
      </c>
      <c r="D55" s="51">
        <v>0.9998097046031299</v>
      </c>
      <c r="E55" s="52">
        <v>41802</v>
      </c>
      <c r="F55" s="51">
        <v>0.9999333356295752</v>
      </c>
      <c r="G55" s="52">
        <v>41802</v>
      </c>
      <c r="H55" s="51">
        <v>0.99965319590431612</v>
      </c>
      <c r="I55" s="52">
        <v>41802</v>
      </c>
      <c r="J55" s="51">
        <v>0.99994427293732957</v>
      </c>
      <c r="K55" s="52">
        <v>41802</v>
      </c>
      <c r="L55" s="51">
        <v>0.99997413857644557</v>
      </c>
      <c r="M55" s="52">
        <v>41802</v>
      </c>
      <c r="N55" s="51">
        <v>0.99813518489159525</v>
      </c>
      <c r="O55" s="52">
        <v>41802</v>
      </c>
      <c r="P55" s="51">
        <v>0.99937315962794637</v>
      </c>
      <c r="Q55" s="52">
        <v>41802</v>
      </c>
      <c r="R55" s="51">
        <v>0.99918288936927169</v>
      </c>
      <c r="S55" s="52">
        <v>41802</v>
      </c>
      <c r="T55" s="51">
        <v>0.99794941847242125</v>
      </c>
      <c r="V55" s="55" t="s">
        <v>8927</v>
      </c>
      <c r="W55" s="50">
        <v>9.780273477626568E-4</v>
      </c>
    </row>
    <row r="56" spans="2:23" x14ac:dyDescent="0.2">
      <c r="C56" s="52">
        <v>41832</v>
      </c>
      <c r="D56" s="51">
        <v>0.99970252923146996</v>
      </c>
      <c r="E56" s="52">
        <v>41832</v>
      </c>
      <c r="F56" s="51">
        <v>0.99985054843588672</v>
      </c>
      <c r="G56" s="52">
        <v>41832</v>
      </c>
      <c r="H56" s="51">
        <v>0.99930616627091062</v>
      </c>
      <c r="I56" s="52">
        <v>41832</v>
      </c>
      <c r="J56" s="51">
        <v>0.99988924530137424</v>
      </c>
      <c r="K56" s="52">
        <v>41832</v>
      </c>
      <c r="L56" s="51">
        <v>0.99995597072930664</v>
      </c>
      <c r="M56" s="52">
        <v>41832</v>
      </c>
      <c r="N56" s="51">
        <v>0.99655985245371448</v>
      </c>
      <c r="O56" s="52">
        <v>41832</v>
      </c>
      <c r="P56" s="51">
        <v>0.99877679347773896</v>
      </c>
      <c r="Q56" s="52">
        <v>41832</v>
      </c>
      <c r="R56" s="51">
        <v>0.99836859957371171</v>
      </c>
      <c r="S56" s="52">
        <v>41832</v>
      </c>
      <c r="T56" s="51">
        <v>0.99590987243303408</v>
      </c>
      <c r="V56" s="55" t="s">
        <v>8926</v>
      </c>
      <c r="W56" s="50">
        <v>0.152607508278718</v>
      </c>
    </row>
    <row r="57" spans="2:23" x14ac:dyDescent="0.2">
      <c r="C57" s="52">
        <v>41862</v>
      </c>
      <c r="D57" s="51">
        <v>0.99960623223285838</v>
      </c>
      <c r="E57" s="52">
        <v>41862</v>
      </c>
      <c r="F57" s="51">
        <v>0.99976477121365037</v>
      </c>
      <c r="G57" s="52">
        <v>41862</v>
      </c>
      <c r="H57" s="51">
        <v>0.99895723080455312</v>
      </c>
      <c r="I57" s="52">
        <v>41862</v>
      </c>
      <c r="J57" s="51">
        <v>0.99983597550028314</v>
      </c>
      <c r="K57" s="52">
        <v>41862</v>
      </c>
      <c r="L57" s="51">
        <v>0.99996876862595163</v>
      </c>
      <c r="M57" s="52">
        <v>41862</v>
      </c>
      <c r="N57" s="51">
        <v>0.9949345413293349</v>
      </c>
      <c r="O57" s="52">
        <v>41862</v>
      </c>
      <c r="P57" s="51">
        <v>0.99829873248944201</v>
      </c>
      <c r="Q57" s="52">
        <v>41862</v>
      </c>
      <c r="R57" s="51">
        <v>0.9975585886242837</v>
      </c>
      <c r="S57" s="52">
        <v>41862</v>
      </c>
      <c r="T57" s="51">
        <v>0.99387718261137559</v>
      </c>
      <c r="V57" s="55" t="s">
        <v>8925</v>
      </c>
      <c r="W57" s="50">
        <v>0.91740922923784385</v>
      </c>
    </row>
    <row r="58" spans="2:23" x14ac:dyDescent="0.2">
      <c r="C58" s="52">
        <v>41952</v>
      </c>
      <c r="D58" s="51">
        <v>0.99936462849563912</v>
      </c>
      <c r="E58" s="52">
        <v>41952</v>
      </c>
      <c r="F58" s="51">
        <v>0.9994972463711489</v>
      </c>
      <c r="G58" s="52">
        <v>41952</v>
      </c>
      <c r="H58" s="51">
        <v>0.99782988227453406</v>
      </c>
      <c r="I58" s="52">
        <v>41952</v>
      </c>
      <c r="J58" s="51">
        <v>0.99968134600432013</v>
      </c>
      <c r="K58" s="52">
        <v>41952</v>
      </c>
      <c r="L58" s="51">
        <v>1.000129412294227</v>
      </c>
      <c r="M58" s="52">
        <v>41952</v>
      </c>
      <c r="N58" s="51">
        <v>0.99015619161681279</v>
      </c>
      <c r="O58" s="52">
        <v>41952</v>
      </c>
      <c r="P58" s="51">
        <v>0.99695279124309977</v>
      </c>
      <c r="Q58" s="52">
        <v>41952</v>
      </c>
      <c r="R58" s="51">
        <v>0.99511995553980892</v>
      </c>
      <c r="S58" s="52">
        <v>41952</v>
      </c>
      <c r="T58" s="51">
        <v>0.98779625476135557</v>
      </c>
      <c r="V58" s="55" t="s">
        <v>8924</v>
      </c>
      <c r="W58" s="50">
        <v>0.93682435190149904</v>
      </c>
    </row>
    <row r="59" spans="2:23" x14ac:dyDescent="0.2">
      <c r="C59" s="52">
        <v>42042</v>
      </c>
      <c r="D59" s="51">
        <v>0.99915057763967852</v>
      </c>
      <c r="E59" s="52">
        <v>42042</v>
      </c>
      <c r="F59" s="51">
        <v>0.99917439070458214</v>
      </c>
      <c r="G59" s="52">
        <v>42042</v>
      </c>
      <c r="H59" s="51">
        <v>0.99639584675945114</v>
      </c>
      <c r="I59" s="52">
        <v>42042</v>
      </c>
      <c r="J59" s="51">
        <v>0.99953642204565307</v>
      </c>
      <c r="K59" s="52">
        <v>42042</v>
      </c>
      <c r="L59" s="51">
        <v>1.0003923648783104</v>
      </c>
      <c r="M59" s="52">
        <v>42042</v>
      </c>
      <c r="N59" s="51">
        <v>0.98614102751318455</v>
      </c>
      <c r="O59" s="52">
        <v>42042</v>
      </c>
      <c r="P59" s="51">
        <v>0.99559805483635433</v>
      </c>
      <c r="Q59" s="52">
        <v>42042</v>
      </c>
      <c r="R59" s="51">
        <v>0.9926720790176724</v>
      </c>
      <c r="S59" s="52">
        <v>42042</v>
      </c>
      <c r="T59" s="51">
        <v>0.98169970873037649</v>
      </c>
    </row>
    <row r="60" spans="2:23" x14ac:dyDescent="0.2">
      <c r="C60" s="52">
        <v>42137</v>
      </c>
      <c r="D60" s="51">
        <v>0.99891984334842454</v>
      </c>
      <c r="E60" s="52">
        <v>42137</v>
      </c>
      <c r="F60" s="51">
        <v>0.99870130713307359</v>
      </c>
      <c r="G60" s="52">
        <v>42137</v>
      </c>
      <c r="H60" s="51">
        <v>0.99439936994928046</v>
      </c>
      <c r="I60" s="52">
        <v>42137</v>
      </c>
      <c r="J60" s="51">
        <v>0.99937575448815974</v>
      </c>
      <c r="K60" s="52">
        <v>42137</v>
      </c>
      <c r="L60" s="51">
        <v>1.0006511842083476</v>
      </c>
      <c r="M60" s="52">
        <v>42137</v>
      </c>
      <c r="N60" s="51">
        <v>0.98225186621141025</v>
      </c>
      <c r="O60" s="52">
        <v>42137</v>
      </c>
      <c r="P60" s="51">
        <v>0.99395597015918535</v>
      </c>
      <c r="Q60" s="52">
        <v>42137</v>
      </c>
      <c r="R60" s="51">
        <v>0.99007917680012625</v>
      </c>
      <c r="S60" s="52">
        <v>42137</v>
      </c>
      <c r="T60" s="51">
        <v>0.97517666575368922</v>
      </c>
    </row>
    <row r="61" spans="2:23" x14ac:dyDescent="0.2">
      <c r="C61" s="52">
        <v>42319</v>
      </c>
      <c r="D61" s="51">
        <v>0.99838899607059306</v>
      </c>
      <c r="E61" s="52">
        <v>42319</v>
      </c>
      <c r="F61" s="51">
        <v>0.99671933379432709</v>
      </c>
      <c r="G61" s="52">
        <v>42319</v>
      </c>
      <c r="H61" s="51">
        <v>0.98900638350396375</v>
      </c>
      <c r="I61" s="52">
        <v>42319</v>
      </c>
      <c r="J61" s="51">
        <v>0.99906433703652919</v>
      </c>
      <c r="K61" s="52">
        <v>42319</v>
      </c>
      <c r="L61" s="51">
        <v>1.0011317943724398</v>
      </c>
      <c r="M61" s="52">
        <v>42319</v>
      </c>
      <c r="N61" s="51">
        <v>0.97408895300109788</v>
      </c>
      <c r="O61" s="52">
        <v>42319</v>
      </c>
      <c r="P61" s="51">
        <v>0.9895877070249135</v>
      </c>
      <c r="Q61" s="52">
        <v>42319</v>
      </c>
      <c r="R61" s="51">
        <v>0.98456253263475968</v>
      </c>
      <c r="S61" s="52">
        <v>42319</v>
      </c>
      <c r="T61" s="51">
        <v>0.96223141641348853</v>
      </c>
    </row>
    <row r="62" spans="2:23" x14ac:dyDescent="0.2">
      <c r="C62" s="52">
        <v>42502</v>
      </c>
      <c r="D62" s="51">
        <v>0.9975671476043001</v>
      </c>
      <c r="E62" s="52">
        <v>42502</v>
      </c>
      <c r="F62" s="51">
        <v>0.99259572115757089</v>
      </c>
      <c r="G62" s="52">
        <v>42502</v>
      </c>
      <c r="H62" s="51">
        <v>0.981557190779212</v>
      </c>
      <c r="I62" s="52">
        <v>42502</v>
      </c>
      <c r="J62" s="51">
        <v>0.99870319975227428</v>
      </c>
      <c r="K62" s="52">
        <v>42502</v>
      </c>
      <c r="L62" s="51">
        <v>1.001520281481054</v>
      </c>
      <c r="M62" s="52">
        <v>42502</v>
      </c>
      <c r="N62" s="51">
        <v>0.96642612796143534</v>
      </c>
      <c r="O62" s="52">
        <v>42502</v>
      </c>
      <c r="P62" s="51">
        <v>0.98425907261399459</v>
      </c>
      <c r="Q62" s="52">
        <v>42502</v>
      </c>
      <c r="R62" s="51">
        <v>0.9780164550194782</v>
      </c>
      <c r="S62" s="52">
        <v>42502</v>
      </c>
      <c r="T62" s="51">
        <v>0.94843697955082173</v>
      </c>
    </row>
    <row r="63" spans="2:23" x14ac:dyDescent="0.2">
      <c r="C63" s="52">
        <v>42867</v>
      </c>
      <c r="D63" s="51">
        <v>0.99392552201967999</v>
      </c>
      <c r="E63" s="52">
        <v>42867</v>
      </c>
      <c r="F63" s="51">
        <v>0.97672247181552285</v>
      </c>
      <c r="G63" s="52">
        <v>42867</v>
      </c>
      <c r="H63" s="51">
        <v>0.96196720948192538</v>
      </c>
      <c r="I63" s="52">
        <v>42867</v>
      </c>
      <c r="J63" s="51">
        <v>0.99761075759233653</v>
      </c>
      <c r="K63" s="52">
        <v>42867</v>
      </c>
      <c r="L63" s="51">
        <v>1.0012299985628179</v>
      </c>
      <c r="M63" s="52">
        <v>42867</v>
      </c>
      <c r="N63" s="51">
        <v>0.94607067186189153</v>
      </c>
      <c r="O63" s="52">
        <v>42867</v>
      </c>
      <c r="P63" s="51">
        <v>0.97265780186380912</v>
      </c>
      <c r="Q63" s="52">
        <v>42867</v>
      </c>
      <c r="R63" s="51">
        <v>0.96138296173559434</v>
      </c>
      <c r="S63" s="52">
        <v>42867</v>
      </c>
      <c r="T63" s="51">
        <v>0.9181032050057687</v>
      </c>
    </row>
    <row r="64" spans="2:23" x14ac:dyDescent="0.2">
      <c r="C64" s="52">
        <v>43232</v>
      </c>
      <c r="D64" s="51">
        <v>0.98631649628687634</v>
      </c>
      <c r="E64" s="52">
        <v>43232</v>
      </c>
      <c r="F64" s="51">
        <v>0.95347832414046618</v>
      </c>
      <c r="G64" s="52">
        <v>43232</v>
      </c>
      <c r="H64" s="51">
        <v>0.93895488371366764</v>
      </c>
      <c r="I64" s="52">
        <v>43232</v>
      </c>
      <c r="J64" s="51">
        <v>0.99547632772505035</v>
      </c>
      <c r="K64" s="52">
        <v>43232</v>
      </c>
      <c r="L64" s="51">
        <v>0.99840909498025421</v>
      </c>
      <c r="M64" s="52">
        <v>43232</v>
      </c>
      <c r="N64" s="51">
        <v>0.92309388226641609</v>
      </c>
      <c r="O64" s="52">
        <v>43232</v>
      </c>
      <c r="P64" s="51">
        <v>0.95475875264968235</v>
      </c>
      <c r="Q64" s="52">
        <v>43232</v>
      </c>
      <c r="R64" s="51">
        <v>0.94056273508728283</v>
      </c>
      <c r="S64" s="52">
        <v>43232</v>
      </c>
      <c r="T64" s="51">
        <v>0.88593336413974577</v>
      </c>
    </row>
    <row r="65" spans="3:20" x14ac:dyDescent="0.2">
      <c r="C65" s="52">
        <v>43597</v>
      </c>
      <c r="D65" s="51">
        <v>0.97473200763747803</v>
      </c>
      <c r="E65" s="52">
        <v>43597</v>
      </c>
      <c r="F65" s="51">
        <v>0.92622057777085909</v>
      </c>
      <c r="G65" s="52">
        <v>43597</v>
      </c>
      <c r="H65" s="51">
        <v>0.91476840266078874</v>
      </c>
      <c r="I65" s="52">
        <v>43597</v>
      </c>
      <c r="J65" s="51">
        <v>0.99199273414439881</v>
      </c>
      <c r="K65" s="52">
        <v>43597</v>
      </c>
      <c r="L65" s="51">
        <v>0.99271563560580345</v>
      </c>
      <c r="M65" s="52">
        <v>43597</v>
      </c>
      <c r="N65" s="51">
        <v>0.89891391500932771</v>
      </c>
      <c r="O65" s="52">
        <v>43597</v>
      </c>
      <c r="P65" s="51">
        <v>0.9337245835499155</v>
      </c>
      <c r="Q65" s="52">
        <v>43597</v>
      </c>
      <c r="R65" s="51">
        <v>0.91661811970991047</v>
      </c>
      <c r="S65" s="52">
        <v>43597</v>
      </c>
      <c r="T65" s="51">
        <v>0.85156495866903614</v>
      </c>
    </row>
    <row r="66" spans="3:20" x14ac:dyDescent="0.2">
      <c r="C66" s="52">
        <v>43962</v>
      </c>
      <c r="D66" s="51">
        <v>0.95937666735779825</v>
      </c>
      <c r="E66" s="52">
        <v>43962</v>
      </c>
      <c r="F66" s="51">
        <v>0.89674650827950109</v>
      </c>
      <c r="G66" s="52">
        <v>43962</v>
      </c>
      <c r="H66" s="51">
        <v>0.88993570684134138</v>
      </c>
      <c r="I66" s="52">
        <v>43962</v>
      </c>
      <c r="J66" s="51">
        <v>0.98669496090088038</v>
      </c>
      <c r="K66" s="52">
        <v>43962</v>
      </c>
      <c r="L66" s="51">
        <v>0.98284211210100192</v>
      </c>
      <c r="M66" s="52">
        <v>43962</v>
      </c>
      <c r="N66" s="51">
        <v>0.87462213092511976</v>
      </c>
      <c r="O66" s="52">
        <v>43962</v>
      </c>
      <c r="P66" s="51">
        <v>0.91046546875314316</v>
      </c>
      <c r="Q66" s="52">
        <v>43962</v>
      </c>
      <c r="R66" s="51">
        <v>0.89045170900240322</v>
      </c>
      <c r="S66" s="52">
        <v>43962</v>
      </c>
      <c r="T66" s="51">
        <v>0.8158218701406752</v>
      </c>
    </row>
    <row r="67" spans="3:20" x14ac:dyDescent="0.2">
      <c r="C67" s="52">
        <v>44327</v>
      </c>
      <c r="D67" s="51">
        <v>0.94078508886937906</v>
      </c>
      <c r="E67" s="52">
        <v>44327</v>
      </c>
      <c r="F67" s="51">
        <v>0.8662917886293503</v>
      </c>
      <c r="G67" s="52">
        <v>44327</v>
      </c>
      <c r="H67" s="51">
        <v>0.86465599538807769</v>
      </c>
      <c r="I67" s="52">
        <v>44327</v>
      </c>
      <c r="J67" s="51">
        <v>0.97959264145812119</v>
      </c>
      <c r="K67" s="52">
        <v>44327</v>
      </c>
      <c r="L67" s="51">
        <v>0.96886163635686606</v>
      </c>
      <c r="M67" s="52">
        <v>44327</v>
      </c>
      <c r="N67" s="51">
        <v>0.85080828289771304</v>
      </c>
      <c r="O67" s="52">
        <v>44327</v>
      </c>
      <c r="P67" s="51">
        <v>0.88602759771758555</v>
      </c>
      <c r="Q67" s="52">
        <v>44327</v>
      </c>
      <c r="R67" s="51">
        <v>0.86291198514724565</v>
      </c>
      <c r="S67" s="52">
        <v>44327</v>
      </c>
      <c r="T67" s="51">
        <v>0.77992572429346407</v>
      </c>
    </row>
    <row r="68" spans="3:20" x14ac:dyDescent="0.2">
      <c r="C68" s="52">
        <v>44692</v>
      </c>
      <c r="D68" s="51">
        <v>0.91962323863421158</v>
      </c>
      <c r="E68" s="52">
        <v>44692</v>
      </c>
      <c r="F68" s="51">
        <v>0.83592104360506114</v>
      </c>
      <c r="G68" s="52">
        <v>44692</v>
      </c>
      <c r="H68" s="51">
        <v>0.83885487495190891</v>
      </c>
      <c r="I68" s="52">
        <v>44692</v>
      </c>
      <c r="J68" s="51">
        <v>0.97118382349040866</v>
      </c>
      <c r="K68" s="52">
        <v>44692</v>
      </c>
      <c r="L68" s="51">
        <v>0.9525397085987739</v>
      </c>
      <c r="M68" s="52">
        <v>44692</v>
      </c>
      <c r="N68" s="51">
        <v>0.82791973458768309</v>
      </c>
      <c r="O68" s="52">
        <v>44692</v>
      </c>
      <c r="P68" s="51">
        <v>0.86131334172079821</v>
      </c>
      <c r="Q68" s="52">
        <v>44692</v>
      </c>
      <c r="R68" s="51">
        <v>0.83466243144724528</v>
      </c>
      <c r="S68" s="52">
        <v>44692</v>
      </c>
      <c r="T68" s="51">
        <v>0.74468180778575177</v>
      </c>
    </row>
    <row r="69" spans="3:20" x14ac:dyDescent="0.2">
      <c r="C69" s="52">
        <v>45057</v>
      </c>
      <c r="D69" s="51">
        <v>0.89677673818114201</v>
      </c>
      <c r="E69" s="52">
        <v>45057</v>
      </c>
      <c r="F69" s="51">
        <v>0.80550890961175969</v>
      </c>
      <c r="G69" s="52">
        <v>45057</v>
      </c>
      <c r="H69" s="51">
        <v>0.81287477606385883</v>
      </c>
      <c r="I69" s="52">
        <v>45057</v>
      </c>
      <c r="J69" s="51">
        <v>0.96123558981742119</v>
      </c>
      <c r="K69" s="52">
        <v>45057</v>
      </c>
      <c r="L69" s="51">
        <v>0.93434306182290394</v>
      </c>
      <c r="M69" s="52">
        <v>45057</v>
      </c>
      <c r="N69" s="51">
        <v>0.80583655079813266</v>
      </c>
      <c r="O69" s="52">
        <v>45057</v>
      </c>
      <c r="P69" s="51">
        <v>0.83618066017501036</v>
      </c>
      <c r="Q69" s="52">
        <v>45057</v>
      </c>
      <c r="R69" s="51">
        <v>0.80574490580062863</v>
      </c>
      <c r="S69" s="52">
        <v>45057</v>
      </c>
      <c r="T69" s="51">
        <v>0.71043720375387764</v>
      </c>
    </row>
    <row r="70" spans="3:20" x14ac:dyDescent="0.2">
      <c r="C70" s="52">
        <v>45422</v>
      </c>
      <c r="D70" s="51">
        <v>0.87288957672609835</v>
      </c>
      <c r="E70" s="52">
        <v>45422</v>
      </c>
      <c r="F70" s="51">
        <v>0.77551140468699664</v>
      </c>
      <c r="G70" s="52">
        <v>45422</v>
      </c>
      <c r="H70" s="51">
        <v>0.78690727954911655</v>
      </c>
      <c r="I70" s="52">
        <v>45422</v>
      </c>
      <c r="J70" s="51">
        <v>0.94950088518015108</v>
      </c>
      <c r="K70" s="52">
        <v>45422</v>
      </c>
      <c r="L70" s="51">
        <v>0.91519984163818735</v>
      </c>
      <c r="M70" s="52">
        <v>45422</v>
      </c>
      <c r="N70" s="51">
        <v>0.78483857131534518</v>
      </c>
      <c r="O70" s="52">
        <v>45422</v>
      </c>
      <c r="P70" s="51">
        <v>0.8108967121063132</v>
      </c>
      <c r="Q70" s="52">
        <v>45422</v>
      </c>
      <c r="R70" s="51">
        <v>0.77660746323881025</v>
      </c>
      <c r="S70" s="52">
        <v>45422</v>
      </c>
      <c r="T70" s="51">
        <v>0.67738419787095216</v>
      </c>
    </row>
    <row r="71" spans="3:20" x14ac:dyDescent="0.2">
      <c r="C71" s="52">
        <v>45787</v>
      </c>
      <c r="D71" s="51">
        <v>0.84819551868188714</v>
      </c>
      <c r="E71" s="52">
        <v>45787</v>
      </c>
      <c r="F71" s="51">
        <v>0.74585298721363391</v>
      </c>
      <c r="G71" s="52">
        <v>45787</v>
      </c>
      <c r="H71" s="51">
        <v>0.76087906098458491</v>
      </c>
      <c r="I71" s="52">
        <v>45787</v>
      </c>
      <c r="J71" s="51">
        <v>0.93582079312431299</v>
      </c>
      <c r="K71" s="52">
        <v>45787</v>
      </c>
      <c r="L71" s="51">
        <v>0.89589740512499161</v>
      </c>
      <c r="M71" s="52">
        <v>45787</v>
      </c>
      <c r="N71" s="51">
        <v>0.76497495659635906</v>
      </c>
      <c r="O71" s="52">
        <v>45787</v>
      </c>
      <c r="P71" s="51">
        <v>0.7849695244404491</v>
      </c>
      <c r="Q71" s="52">
        <v>45787</v>
      </c>
      <c r="R71" s="51">
        <v>0.74719386090625539</v>
      </c>
      <c r="S71" s="52">
        <v>45787</v>
      </c>
      <c r="T71" s="51">
        <v>0.64501998743867162</v>
      </c>
    </row>
    <row r="72" spans="3:20" x14ac:dyDescent="0.2">
      <c r="C72" s="52">
        <v>46152</v>
      </c>
      <c r="D72" s="51">
        <v>0.82345179920910949</v>
      </c>
      <c r="E72" s="52">
        <v>46152</v>
      </c>
      <c r="F72" s="51">
        <v>0.71710522231606577</v>
      </c>
      <c r="G72" s="52">
        <v>46152</v>
      </c>
      <c r="H72" s="51">
        <v>0.7351589393522896</v>
      </c>
      <c r="I72" s="52">
        <v>46152</v>
      </c>
      <c r="J72" s="51">
        <v>0.92011574829945431</v>
      </c>
      <c r="K72" s="52">
        <v>46152</v>
      </c>
      <c r="L72" s="51">
        <v>0.87638276177459473</v>
      </c>
      <c r="M72" s="52">
        <v>46152</v>
      </c>
      <c r="N72" s="51">
        <v>0.7461002234514772</v>
      </c>
      <c r="O72" s="52">
        <v>46152</v>
      </c>
      <c r="P72" s="51">
        <v>0.75904623471521138</v>
      </c>
      <c r="Q72" s="52">
        <v>46152</v>
      </c>
      <c r="R72" s="51">
        <v>0.7182490641032232</v>
      </c>
      <c r="S72" s="52">
        <v>46152</v>
      </c>
      <c r="T72" s="51">
        <v>0.61397405281771189</v>
      </c>
    </row>
    <row r="73" spans="3:20" x14ac:dyDescent="0.2">
      <c r="C73" s="52">
        <v>46517</v>
      </c>
      <c r="D73" s="51">
        <v>0.79880545631143884</v>
      </c>
      <c r="E73" s="52">
        <v>46517</v>
      </c>
      <c r="F73" s="51">
        <v>0.68944873425651687</v>
      </c>
      <c r="G73" s="52">
        <v>46517</v>
      </c>
      <c r="H73" s="51">
        <v>0.70971887158218672</v>
      </c>
      <c r="I73" s="52">
        <v>46517</v>
      </c>
      <c r="J73" s="51">
        <v>0.9028974278009817</v>
      </c>
      <c r="K73" s="52">
        <v>46517</v>
      </c>
      <c r="L73" s="51">
        <v>0.85698199244372264</v>
      </c>
      <c r="M73" s="52">
        <v>46517</v>
      </c>
      <c r="N73" s="51">
        <v>0.72875073577684824</v>
      </c>
      <c r="O73" s="52">
        <v>46517</v>
      </c>
      <c r="P73" s="51">
        <v>0.73350165745724227</v>
      </c>
      <c r="Q73" s="52">
        <v>46517</v>
      </c>
      <c r="R73" s="51">
        <v>0.69018961210198226</v>
      </c>
      <c r="S73" s="52">
        <v>46517</v>
      </c>
      <c r="T73" s="51">
        <v>0.58479260147240386</v>
      </c>
    </row>
    <row r="74" spans="3:20" x14ac:dyDescent="0.2">
      <c r="C74" s="52">
        <v>46882</v>
      </c>
      <c r="D74" s="51">
        <v>0.77438449542303112</v>
      </c>
      <c r="E74" s="52">
        <v>46882</v>
      </c>
      <c r="F74" s="51">
        <v>0.66276958494612226</v>
      </c>
      <c r="G74" s="52">
        <v>46882</v>
      </c>
      <c r="H74" s="51">
        <v>0.684664578451049</v>
      </c>
      <c r="I74" s="52">
        <v>46882</v>
      </c>
      <c r="J74" s="51">
        <v>0.88440643133294039</v>
      </c>
      <c r="K74" s="52">
        <v>46882</v>
      </c>
      <c r="L74" s="51">
        <v>0.8381150333418349</v>
      </c>
      <c r="M74" s="52">
        <v>46882</v>
      </c>
      <c r="N74" s="51">
        <v>0.71230348964868173</v>
      </c>
      <c r="O74" s="52">
        <v>46882</v>
      </c>
      <c r="P74" s="51">
        <v>0.70839663260670216</v>
      </c>
      <c r="Q74" s="52">
        <v>46882</v>
      </c>
      <c r="R74" s="51">
        <v>0.6630300238054524</v>
      </c>
      <c r="S74" s="52">
        <v>46882</v>
      </c>
      <c r="T74" s="51">
        <v>0.55716402955113609</v>
      </c>
    </row>
    <row r="75" spans="3:20" x14ac:dyDescent="0.2">
      <c r="C75" s="52">
        <v>47247</v>
      </c>
      <c r="D75" s="51">
        <v>0.7510490369553946</v>
      </c>
      <c r="E75" s="52">
        <v>47247</v>
      </c>
      <c r="F75" s="51">
        <v>0.6372874609038911</v>
      </c>
      <c r="G75" s="52">
        <v>47247</v>
      </c>
      <c r="H75" s="51">
        <v>0.66051686666959497</v>
      </c>
      <c r="I75" s="52">
        <v>47247</v>
      </c>
      <c r="J75" s="51">
        <v>0.86560386608584794</v>
      </c>
      <c r="K75" s="52">
        <v>47247</v>
      </c>
      <c r="L75" s="51">
        <v>0.82016376828855742</v>
      </c>
      <c r="M75" s="52">
        <v>47247</v>
      </c>
      <c r="N75" s="51">
        <v>0.69505008507498067</v>
      </c>
      <c r="O75" s="52">
        <v>47247</v>
      </c>
      <c r="P75" s="51">
        <v>0.68441218520827996</v>
      </c>
      <c r="Q75" s="52">
        <v>47247</v>
      </c>
      <c r="R75" s="51">
        <v>0.63744124274924796</v>
      </c>
      <c r="S75" s="52">
        <v>47247</v>
      </c>
      <c r="T75" s="51">
        <v>0.53098486761688402</v>
      </c>
    </row>
    <row r="76" spans="3:20" x14ac:dyDescent="0.2">
      <c r="C76" s="52">
        <v>47612</v>
      </c>
      <c r="D76" s="51">
        <v>0.7290304499332958</v>
      </c>
      <c r="E76" s="52">
        <v>47612</v>
      </c>
      <c r="F76" s="51">
        <v>0.61300302832588294</v>
      </c>
      <c r="G76" s="52">
        <v>47612</v>
      </c>
      <c r="H76" s="51">
        <v>0.6373023193673979</v>
      </c>
      <c r="I76" s="52">
        <v>47612</v>
      </c>
      <c r="J76" s="51">
        <v>0.84683997067656003</v>
      </c>
      <c r="K76" s="52">
        <v>47612</v>
      </c>
      <c r="L76" s="51">
        <v>0.80306269028823263</v>
      </c>
      <c r="M76" s="52">
        <v>47612</v>
      </c>
      <c r="N76" s="51">
        <v>0.67578358354790913</v>
      </c>
      <c r="O76" s="52">
        <v>47612</v>
      </c>
      <c r="P76" s="51">
        <v>0.66154115509157241</v>
      </c>
      <c r="Q76" s="52">
        <v>47612</v>
      </c>
      <c r="R76" s="51">
        <v>0.6135062713090893</v>
      </c>
      <c r="S76" s="52">
        <v>47612</v>
      </c>
      <c r="T76" s="51">
        <v>0.5061894810928087</v>
      </c>
    </row>
    <row r="77" spans="3:20" x14ac:dyDescent="0.2">
      <c r="C77" s="52">
        <v>47977</v>
      </c>
      <c r="D77" s="51">
        <v>0.7079775898003452</v>
      </c>
      <c r="E77" s="52">
        <v>47977</v>
      </c>
      <c r="F77" s="51">
        <v>0.58978532672543371</v>
      </c>
      <c r="G77" s="52">
        <v>47977</v>
      </c>
      <c r="H77" s="51">
        <v>0.61482800110020852</v>
      </c>
      <c r="I77" s="52">
        <v>47977</v>
      </c>
      <c r="J77" s="51">
        <v>0.82760644233403358</v>
      </c>
      <c r="K77" s="52">
        <v>47977</v>
      </c>
      <c r="L77" s="51">
        <v>0.78652060354636655</v>
      </c>
      <c r="M77" s="52">
        <v>47977</v>
      </c>
      <c r="N77" s="51">
        <v>0.65519373700144001</v>
      </c>
      <c r="O77" s="52">
        <v>47977</v>
      </c>
      <c r="P77" s="51">
        <v>0.63950310955124567</v>
      </c>
      <c r="Q77" s="52">
        <v>47977</v>
      </c>
      <c r="R77" s="51">
        <v>0.5908912693363626</v>
      </c>
      <c r="S77" s="52">
        <v>47977</v>
      </c>
      <c r="T77" s="51">
        <v>0.48270380640708727</v>
      </c>
    </row>
    <row r="78" spans="3:20" x14ac:dyDescent="0.2">
      <c r="C78" s="52">
        <v>48342</v>
      </c>
      <c r="D78" s="51">
        <v>0.68782596031695387</v>
      </c>
      <c r="E78" s="52">
        <v>48342</v>
      </c>
      <c r="F78" s="51">
        <v>0.56755900082832489</v>
      </c>
      <c r="G78" s="52">
        <v>48342</v>
      </c>
      <c r="H78" s="51">
        <v>0.5931744419843058</v>
      </c>
      <c r="I78" s="52">
        <v>48342</v>
      </c>
      <c r="J78" s="51">
        <v>0.80835590445051642</v>
      </c>
      <c r="K78" s="52">
        <v>48342</v>
      </c>
      <c r="L78" s="51">
        <v>0.77058870432699766</v>
      </c>
      <c r="M78" s="52">
        <v>48342</v>
      </c>
      <c r="N78" s="51">
        <v>0.63445614199391487</v>
      </c>
      <c r="O78" s="52">
        <v>48342</v>
      </c>
      <c r="P78" s="51">
        <v>0.6185275226015271</v>
      </c>
      <c r="Q78" s="52">
        <v>48342</v>
      </c>
      <c r="R78" s="51">
        <v>0.56958910213423275</v>
      </c>
      <c r="S78" s="52">
        <v>48342</v>
      </c>
      <c r="T78" s="51">
        <v>0.46042324934188827</v>
      </c>
    </row>
    <row r="79" spans="3:20" x14ac:dyDescent="0.2">
      <c r="C79" s="52">
        <v>48707</v>
      </c>
      <c r="D79" s="51">
        <v>0.66865492880395649</v>
      </c>
      <c r="E79" s="52">
        <v>48707</v>
      </c>
      <c r="F79" s="51">
        <v>0.54640642798742478</v>
      </c>
      <c r="G79" s="52">
        <v>48707</v>
      </c>
      <c r="H79" s="51">
        <v>0.57255348461954214</v>
      </c>
      <c r="I79" s="52">
        <v>48707</v>
      </c>
      <c r="J79" s="51">
        <v>0.78953889145313616</v>
      </c>
      <c r="K79" s="52">
        <v>48707</v>
      </c>
      <c r="L79" s="51">
        <v>0.75531342526957912</v>
      </c>
      <c r="M79" s="52">
        <v>48707</v>
      </c>
      <c r="N79" s="51">
        <v>0.61461402651721941</v>
      </c>
      <c r="O79" s="52">
        <v>48707</v>
      </c>
      <c r="P79" s="51">
        <v>0.5988113008172995</v>
      </c>
      <c r="Q79" s="52">
        <v>48707</v>
      </c>
      <c r="R79" s="51">
        <v>0.549587904933171</v>
      </c>
      <c r="S79" s="52">
        <v>48707</v>
      </c>
      <c r="T79" s="51">
        <v>0.43925322129650424</v>
      </c>
    </row>
    <row r="80" spans="3:20" x14ac:dyDescent="0.2">
      <c r="C80" s="52">
        <v>49072</v>
      </c>
      <c r="D80" s="51">
        <v>0.65037943456337755</v>
      </c>
      <c r="E80" s="52">
        <v>49072</v>
      </c>
      <c r="F80" s="51">
        <v>0.5262235613884777</v>
      </c>
      <c r="G80" s="52">
        <v>49072</v>
      </c>
      <c r="H80" s="51">
        <v>0.55298182408033492</v>
      </c>
      <c r="I80" s="52">
        <v>49072</v>
      </c>
      <c r="J80" s="51">
        <v>0.77156500789042226</v>
      </c>
      <c r="K80" s="52">
        <v>49072</v>
      </c>
      <c r="L80" s="51">
        <v>0.74073685032829661</v>
      </c>
      <c r="M80" s="52">
        <v>49072</v>
      </c>
      <c r="N80" s="51">
        <v>0.59658392242323421</v>
      </c>
      <c r="O80" s="52">
        <v>49072</v>
      </c>
      <c r="P80" s="51">
        <v>0.58052316056946007</v>
      </c>
      <c r="Q80" s="52">
        <v>49072</v>
      </c>
      <c r="R80" s="51">
        <v>0.5308721265066022</v>
      </c>
      <c r="S80" s="52">
        <v>49072</v>
      </c>
      <c r="T80" s="51">
        <v>0.41910816872049911</v>
      </c>
    </row>
    <row r="81" spans="3:20" x14ac:dyDescent="0.2">
      <c r="C81" s="52">
        <v>49437</v>
      </c>
      <c r="D81" s="51">
        <v>0.63295486192079209</v>
      </c>
      <c r="E81" s="52">
        <v>49437</v>
      </c>
      <c r="F81" s="51">
        <v>0.50695005698934392</v>
      </c>
      <c r="G81" s="52">
        <v>49437</v>
      </c>
      <c r="H81" s="51">
        <v>0.53442505594130674</v>
      </c>
      <c r="I81" s="52">
        <v>49437</v>
      </c>
      <c r="J81" s="51">
        <v>0.75461542778639412</v>
      </c>
      <c r="K81" s="52">
        <v>49437</v>
      </c>
      <c r="L81" s="51">
        <v>0.72696914933679435</v>
      </c>
      <c r="M81" s="52">
        <v>49437</v>
      </c>
      <c r="N81" s="51">
        <v>0.5805006031661244</v>
      </c>
      <c r="O81" s="52">
        <v>49437</v>
      </c>
      <c r="P81" s="51">
        <v>0.56386467380506122</v>
      </c>
      <c r="Q81" s="52">
        <v>49437</v>
      </c>
      <c r="R81" s="51">
        <v>0.5134778283969097</v>
      </c>
      <c r="S81" s="52">
        <v>49437</v>
      </c>
      <c r="T81" s="51">
        <v>0.39989354119360809</v>
      </c>
    </row>
    <row r="82" spans="3:20" x14ac:dyDescent="0.2">
      <c r="C82" s="52">
        <v>49802</v>
      </c>
      <c r="D82" s="51">
        <v>0.61635873963261956</v>
      </c>
      <c r="E82" s="52">
        <v>49802</v>
      </c>
      <c r="F82" s="51">
        <v>0.48854522517624882</v>
      </c>
      <c r="G82" s="52">
        <v>49802</v>
      </c>
      <c r="H82" s="51">
        <v>0.51675836597376212</v>
      </c>
      <c r="I82" s="52">
        <v>49802</v>
      </c>
      <c r="J82" s="51">
        <v>0.73829838981677143</v>
      </c>
      <c r="K82" s="52">
        <v>49802</v>
      </c>
      <c r="L82" s="51">
        <v>0.71401879976038829</v>
      </c>
      <c r="M82" s="52">
        <v>49802</v>
      </c>
      <c r="N82" s="51">
        <v>0.56562041083345516</v>
      </c>
      <c r="O82" s="52">
        <v>49802</v>
      </c>
      <c r="P82" s="51">
        <v>0.54858456348177909</v>
      </c>
      <c r="Q82" s="52">
        <v>49802</v>
      </c>
      <c r="R82" s="51">
        <v>0.49727916444497128</v>
      </c>
      <c r="S82" s="52">
        <v>49802</v>
      </c>
      <c r="T82" s="51">
        <v>0.38158026605945428</v>
      </c>
    </row>
    <row r="83" spans="3:20" x14ac:dyDescent="0.2">
      <c r="C83" s="52">
        <v>50167</v>
      </c>
      <c r="D83" s="51">
        <v>0.60051017521126948</v>
      </c>
      <c r="E83" s="52">
        <v>50167</v>
      </c>
      <c r="F83" s="51">
        <v>0.47095726124709414</v>
      </c>
      <c r="G83" s="52">
        <v>50167</v>
      </c>
      <c r="H83" s="51">
        <v>0.49988203869196335</v>
      </c>
      <c r="I83" s="52">
        <v>50167</v>
      </c>
      <c r="J83" s="51">
        <v>0.72256175493663499</v>
      </c>
      <c r="K83" s="52">
        <v>50167</v>
      </c>
      <c r="L83" s="51">
        <v>0.70176737529481625</v>
      </c>
      <c r="M83" s="52">
        <v>50167</v>
      </c>
      <c r="N83" s="51">
        <v>0.55154663469645981</v>
      </c>
      <c r="O83" s="52">
        <v>50167</v>
      </c>
      <c r="P83" s="51">
        <v>0.53417706174414792</v>
      </c>
      <c r="Q83" s="52">
        <v>50167</v>
      </c>
      <c r="R83" s="51">
        <v>0.48202674211866575</v>
      </c>
      <c r="S83" s="52">
        <v>50167</v>
      </c>
      <c r="T83" s="51">
        <v>0.36418394027510692</v>
      </c>
    </row>
    <row r="84" spans="3:20" x14ac:dyDescent="0.2">
      <c r="C84" s="52">
        <v>50532</v>
      </c>
      <c r="D84" s="51">
        <v>0.58533472645521589</v>
      </c>
      <c r="E84" s="52">
        <v>50532</v>
      </c>
      <c r="F84" s="51">
        <v>0.45413792140163894</v>
      </c>
      <c r="G84" s="52">
        <v>50532</v>
      </c>
      <c r="H84" s="51">
        <v>0.48370595963488261</v>
      </c>
      <c r="I84" s="52">
        <v>50532</v>
      </c>
      <c r="J84" s="51">
        <v>0.70738451625911569</v>
      </c>
      <c r="K84" s="52">
        <v>50532</v>
      </c>
      <c r="L84" s="51">
        <v>0.69010435506717716</v>
      </c>
      <c r="M84" s="52">
        <v>50532</v>
      </c>
      <c r="N84" s="51">
        <v>0.53792014580976732</v>
      </c>
      <c r="O84" s="52">
        <v>50532</v>
      </c>
      <c r="P84" s="51">
        <v>0.52018687462014068</v>
      </c>
      <c r="Q84" s="52">
        <v>50532</v>
      </c>
      <c r="R84" s="51">
        <v>0.46749802753281272</v>
      </c>
      <c r="S84" s="52">
        <v>50532</v>
      </c>
      <c r="T84" s="51">
        <v>0.34771159195778895</v>
      </c>
    </row>
    <row r="85" spans="3:20" x14ac:dyDescent="0.2">
      <c r="C85" s="52">
        <v>50897</v>
      </c>
      <c r="D85" s="51">
        <v>0.57076326999619287</v>
      </c>
      <c r="E85" s="52">
        <v>50897</v>
      </c>
      <c r="F85" s="51">
        <v>0.43800547420123692</v>
      </c>
      <c r="G85" s="52">
        <v>50897</v>
      </c>
      <c r="H85" s="51">
        <v>0.46811749435763611</v>
      </c>
      <c r="I85" s="52">
        <v>50897</v>
      </c>
      <c r="J85" s="51">
        <v>0.69274656110511923</v>
      </c>
      <c r="K85" s="52">
        <v>50897</v>
      </c>
      <c r="L85" s="51">
        <v>0.6789263001552992</v>
      </c>
      <c r="M85" s="52">
        <v>50897</v>
      </c>
      <c r="N85" s="51">
        <v>0.52441537973303898</v>
      </c>
      <c r="O85" s="52">
        <v>50897</v>
      </c>
      <c r="P85" s="51">
        <v>0.50620402578785828</v>
      </c>
      <c r="Q85" s="52">
        <v>50897</v>
      </c>
      <c r="R85" s="51">
        <v>0.45349415125482212</v>
      </c>
      <c r="S85" s="52">
        <v>50897</v>
      </c>
      <c r="T85" s="51">
        <v>0.33216293635678962</v>
      </c>
    </row>
    <row r="86" spans="3:20" x14ac:dyDescent="0.2">
      <c r="C86" s="52">
        <v>51262</v>
      </c>
      <c r="D86" s="51">
        <v>0.55692822185265523</v>
      </c>
      <c r="E86" s="52">
        <v>51262</v>
      </c>
      <c r="F86" s="51">
        <v>0.42260894472852373</v>
      </c>
      <c r="G86" s="52">
        <v>51262</v>
      </c>
      <c r="H86" s="51">
        <v>0.4531338999858941</v>
      </c>
      <c r="I86" s="52">
        <v>51262</v>
      </c>
      <c r="J86" s="51">
        <v>0.67870253360966426</v>
      </c>
      <c r="K86" s="52">
        <v>51262</v>
      </c>
      <c r="L86" s="51">
        <v>0.66808222997591515</v>
      </c>
      <c r="M86" s="52">
        <v>51262</v>
      </c>
      <c r="N86" s="51">
        <v>0.51102226901781755</v>
      </c>
      <c r="O86" s="52">
        <v>51262</v>
      </c>
      <c r="P86" s="51">
        <v>0.49213977022443151</v>
      </c>
      <c r="Q86" s="52">
        <v>51262</v>
      </c>
      <c r="R86" s="51">
        <v>0.44008282606292265</v>
      </c>
      <c r="S86" s="52">
        <v>51262</v>
      </c>
      <c r="T86" s="51">
        <v>0.3174521412152525</v>
      </c>
    </row>
    <row r="87" spans="3:20" x14ac:dyDescent="0.2">
      <c r="C87" s="52">
        <v>51627</v>
      </c>
      <c r="D87" s="51">
        <v>0.54378759061801363</v>
      </c>
      <c r="E87" s="52">
        <v>51627</v>
      </c>
      <c r="F87" s="51">
        <v>0.4078699677989775</v>
      </c>
      <c r="G87" s="52">
        <v>51627</v>
      </c>
      <c r="H87" s="51">
        <v>0.43874647800696009</v>
      </c>
      <c r="I87" s="52">
        <v>51627</v>
      </c>
      <c r="J87" s="51">
        <v>0.66534588392971727</v>
      </c>
      <c r="K87" s="52">
        <v>51627</v>
      </c>
      <c r="L87" s="51">
        <v>0.65745926338485261</v>
      </c>
      <c r="M87" s="52">
        <v>51627</v>
      </c>
      <c r="N87" s="51">
        <v>0.49795380442763709</v>
      </c>
      <c r="O87" s="52">
        <v>51627</v>
      </c>
      <c r="P87" s="51">
        <v>0.47827546412029015</v>
      </c>
      <c r="Q87" s="52">
        <v>51627</v>
      </c>
      <c r="R87" s="51">
        <v>0.42734535929852607</v>
      </c>
      <c r="S87" s="52">
        <v>51627</v>
      </c>
      <c r="T87" s="51">
        <v>0.30349263251492881</v>
      </c>
    </row>
    <row r="88" spans="3:20" x14ac:dyDescent="0.2">
      <c r="C88" s="52">
        <v>51992</v>
      </c>
      <c r="D88" s="51">
        <v>0.53113932618841198</v>
      </c>
      <c r="E88" s="52">
        <v>51992</v>
      </c>
      <c r="F88" s="51">
        <v>0.39374191846726131</v>
      </c>
      <c r="G88" s="52">
        <v>51992</v>
      </c>
      <c r="H88" s="51">
        <v>0.42493567635578527</v>
      </c>
      <c r="I88" s="52">
        <v>51992</v>
      </c>
      <c r="J88" s="51">
        <v>0.65246080117242256</v>
      </c>
      <c r="K88" s="52">
        <v>51992</v>
      </c>
      <c r="L88" s="51">
        <v>0.64702699094927685</v>
      </c>
      <c r="M88" s="52">
        <v>51992</v>
      </c>
      <c r="N88" s="51">
        <v>0.48520618697324697</v>
      </c>
      <c r="O88" s="52">
        <v>51992</v>
      </c>
      <c r="P88" s="51">
        <v>0.46474672061092714</v>
      </c>
      <c r="Q88" s="52">
        <v>51992</v>
      </c>
      <c r="R88" s="51">
        <v>0.41510878949344654</v>
      </c>
      <c r="S88" s="52">
        <v>51992</v>
      </c>
      <c r="T88" s="51">
        <v>0.29028645029011813</v>
      </c>
    </row>
    <row r="89" spans="3:20" x14ac:dyDescent="0.2">
      <c r="C89" s="52">
        <v>52357</v>
      </c>
      <c r="D89" s="51">
        <v>0.51882139101639135</v>
      </c>
      <c r="E89" s="52">
        <v>52357</v>
      </c>
      <c r="F89" s="51">
        <v>0.38020803147978677</v>
      </c>
      <c r="G89" s="52">
        <v>52357</v>
      </c>
      <c r="H89" s="51">
        <v>0.41168160575089457</v>
      </c>
      <c r="I89" s="52">
        <v>52357</v>
      </c>
      <c r="J89" s="51">
        <v>0.63982552913851198</v>
      </c>
      <c r="K89" s="52">
        <v>52357</v>
      </c>
      <c r="L89" s="51">
        <v>0.63675677240882567</v>
      </c>
      <c r="M89" s="52">
        <v>52357</v>
      </c>
      <c r="N89" s="51">
        <v>0.47277526583810298</v>
      </c>
      <c r="O89" s="52">
        <v>52357</v>
      </c>
      <c r="P89" s="51">
        <v>0.45167376831052009</v>
      </c>
      <c r="Q89" s="52">
        <v>52357</v>
      </c>
      <c r="R89" s="51">
        <v>0.40321779451129586</v>
      </c>
      <c r="S89" s="52">
        <v>52357</v>
      </c>
      <c r="T89" s="51">
        <v>0.27783060415362049</v>
      </c>
    </row>
    <row r="90" spans="3:20" x14ac:dyDescent="0.2">
      <c r="C90" s="52">
        <v>52722</v>
      </c>
      <c r="D90" s="51">
        <v>0.50666742408237508</v>
      </c>
      <c r="E90" s="52">
        <v>52722</v>
      </c>
      <c r="F90" s="51">
        <v>0.36723967386193351</v>
      </c>
      <c r="G90" s="52">
        <v>52722</v>
      </c>
      <c r="H90" s="51">
        <v>0.39899063313782362</v>
      </c>
      <c r="I90" s="52">
        <v>52722</v>
      </c>
      <c r="J90" s="51">
        <v>0.62723478505163077</v>
      </c>
      <c r="K90" s="52">
        <v>52722</v>
      </c>
      <c r="L90" s="51">
        <v>0.62662162592232662</v>
      </c>
      <c r="M90" s="52">
        <v>52722</v>
      </c>
      <c r="N90" s="51">
        <v>0.46065671161877808</v>
      </c>
      <c r="O90" s="52">
        <v>52722</v>
      </c>
      <c r="P90" s="51">
        <v>0.43916267037912399</v>
      </c>
      <c r="Q90" s="52">
        <v>52722</v>
      </c>
      <c r="R90" s="51">
        <v>0.3915333243702761</v>
      </c>
      <c r="S90" s="52">
        <v>52722</v>
      </c>
      <c r="T90" s="51">
        <v>0.26611790459205159</v>
      </c>
    </row>
    <row r="91" spans="3:20" x14ac:dyDescent="0.2">
      <c r="C91" s="53">
        <v>53087</v>
      </c>
      <c r="D91" s="54">
        <v>0.49466195202178648</v>
      </c>
      <c r="E91" s="53">
        <v>53087</v>
      </c>
      <c r="F91" s="54">
        <v>0.35479016522442142</v>
      </c>
      <c r="G91" s="53">
        <v>53087</v>
      </c>
      <c r="H91" s="54">
        <v>0.38690853754928944</v>
      </c>
      <c r="I91" s="53">
        <v>53087</v>
      </c>
      <c r="J91" s="54">
        <v>0.6145437069160874</v>
      </c>
      <c r="K91" s="53">
        <v>53087</v>
      </c>
      <c r="L91" s="54">
        <v>0.61674092969092809</v>
      </c>
      <c r="M91" s="53">
        <v>53087</v>
      </c>
      <c r="N91" s="54">
        <v>0.44884161274491802</v>
      </c>
      <c r="O91" s="53">
        <v>53087</v>
      </c>
      <c r="P91" s="54">
        <v>0.42724223835339231</v>
      </c>
      <c r="Q91" s="53">
        <v>53087</v>
      </c>
      <c r="R91" s="54">
        <v>0.38003011659915975</v>
      </c>
      <c r="S91" s="53">
        <v>53087</v>
      </c>
      <c r="T91" s="54">
        <v>0.25521053116603398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K45"/>
  <sheetViews>
    <sheetView tabSelected="1" workbookViewId="0">
      <selection activeCell="F6" sqref="F6"/>
    </sheetView>
  </sheetViews>
  <sheetFormatPr defaultColWidth="11.42578125" defaultRowHeight="12.75" x14ac:dyDescent="0.2"/>
  <cols>
    <col min="3" max="3" width="15" bestFit="1" customWidth="1"/>
    <col min="5" max="6" width="13.5703125" bestFit="1" customWidth="1"/>
  </cols>
  <sheetData>
    <row r="2" spans="2:11" x14ac:dyDescent="0.2">
      <c r="H2" s="13"/>
      <c r="I2" s="38"/>
    </row>
    <row r="3" spans="2:11" x14ac:dyDescent="0.2">
      <c r="B3" s="13" t="s">
        <v>8915</v>
      </c>
      <c r="C3" s="43"/>
      <c r="E3" s="13" t="s">
        <v>8920</v>
      </c>
    </row>
    <row r="4" spans="2:11" x14ac:dyDescent="0.2">
      <c r="B4" s="44" t="s">
        <v>8916</v>
      </c>
      <c r="C4" s="45" t="s">
        <v>8917</v>
      </c>
      <c r="F4" s="48">
        <f ca="1">_xll.ValueTrade(B4:C10,mkt1_, "PV")</f>
        <v>843424</v>
      </c>
      <c r="H4" s="13"/>
      <c r="I4" s="13"/>
      <c r="J4" s="13"/>
      <c r="K4" s="13"/>
    </row>
    <row r="5" spans="2:11" x14ac:dyDescent="0.2">
      <c r="B5" s="44" t="s">
        <v>8918</v>
      </c>
      <c r="C5" s="47">
        <v>10000000</v>
      </c>
      <c r="F5" s="48">
        <f ca="1">_xll.ValueTrade(B4:C10,mkt2_, "PV")</f>
        <v>2747186</v>
      </c>
      <c r="H5" s="38"/>
      <c r="I5" s="40"/>
      <c r="J5" s="38"/>
      <c r="K5" s="40"/>
    </row>
    <row r="6" spans="2:11" x14ac:dyDescent="0.2">
      <c r="B6" s="44" t="s">
        <v>8919</v>
      </c>
      <c r="C6" s="45" t="s">
        <v>8752</v>
      </c>
      <c r="H6" s="38"/>
      <c r="I6" s="40"/>
      <c r="J6" s="38"/>
      <c r="K6" s="40"/>
    </row>
    <row r="7" spans="2:11" x14ac:dyDescent="0.2">
      <c r="B7" s="44" t="s">
        <v>8921</v>
      </c>
      <c r="C7" s="46">
        <v>42536</v>
      </c>
      <c r="H7" s="38"/>
      <c r="I7" s="40"/>
      <c r="J7" s="38"/>
      <c r="K7" s="40"/>
    </row>
    <row r="8" spans="2:11" x14ac:dyDescent="0.2">
      <c r="B8" s="44" t="s">
        <v>8922</v>
      </c>
      <c r="C8" s="46">
        <f ca="1">C7+2</f>
        <v>42538</v>
      </c>
      <c r="H8" s="38"/>
      <c r="I8" s="40"/>
      <c r="J8" s="38"/>
      <c r="K8" s="40"/>
    </row>
    <row r="9" spans="2:11" x14ac:dyDescent="0.2">
      <c r="B9" s="44" t="s">
        <v>8923</v>
      </c>
      <c r="C9" s="45" t="s">
        <v>8910</v>
      </c>
      <c r="H9" s="38"/>
      <c r="I9" s="40"/>
      <c r="J9" s="38"/>
      <c r="K9" s="40"/>
    </row>
    <row r="10" spans="2:11" x14ac:dyDescent="0.2">
      <c r="B10" s="44" t="s">
        <v>21</v>
      </c>
      <c r="C10" s="45">
        <v>1.085</v>
      </c>
      <c r="H10" s="38"/>
      <c r="I10" s="40"/>
      <c r="J10" s="38"/>
      <c r="K10" s="40"/>
    </row>
    <row r="11" spans="2:11" x14ac:dyDescent="0.2">
      <c r="H11" s="38"/>
      <c r="I11" s="40"/>
      <c r="J11" s="38"/>
      <c r="K11" s="40"/>
    </row>
    <row r="12" spans="2:11" x14ac:dyDescent="0.2">
      <c r="H12" s="38"/>
      <c r="I12" s="40"/>
      <c r="J12" s="38"/>
      <c r="K12" s="40"/>
    </row>
    <row r="13" spans="2:11" x14ac:dyDescent="0.2">
      <c r="H13" s="38"/>
      <c r="I13" s="40"/>
      <c r="J13" s="38"/>
      <c r="K13" s="40"/>
    </row>
    <row r="14" spans="2:11" x14ac:dyDescent="0.2">
      <c r="H14" s="38"/>
      <c r="I14" s="40"/>
      <c r="J14" s="38"/>
      <c r="K14" s="40"/>
    </row>
    <row r="15" spans="2:11" x14ac:dyDescent="0.2">
      <c r="H15" s="38"/>
      <c r="I15" s="40"/>
      <c r="J15" s="38"/>
      <c r="K15" s="40"/>
    </row>
    <row r="16" spans="2:11" x14ac:dyDescent="0.2">
      <c r="H16" s="38"/>
      <c r="I16" s="40"/>
      <c r="J16" s="38"/>
      <c r="K16" s="40"/>
    </row>
    <row r="17" spans="8:11" x14ac:dyDescent="0.2">
      <c r="H17" s="38"/>
      <c r="I17" s="40"/>
      <c r="J17" s="38"/>
      <c r="K17" s="40"/>
    </row>
    <row r="18" spans="8:11" x14ac:dyDescent="0.2">
      <c r="H18" s="38"/>
      <c r="I18" s="40"/>
      <c r="J18" s="38"/>
      <c r="K18" s="40"/>
    </row>
    <row r="19" spans="8:11" x14ac:dyDescent="0.2">
      <c r="H19" s="38"/>
      <c r="I19" s="40"/>
      <c r="J19" s="38"/>
      <c r="K19" s="40"/>
    </row>
    <row r="20" spans="8:11" x14ac:dyDescent="0.2">
      <c r="H20" s="38"/>
      <c r="I20" s="40"/>
      <c r="J20" s="38"/>
      <c r="K20" s="40"/>
    </row>
    <row r="21" spans="8:11" x14ac:dyDescent="0.2">
      <c r="H21" s="38"/>
      <c r="I21" s="40"/>
      <c r="J21" s="38"/>
      <c r="K21" s="40"/>
    </row>
    <row r="22" spans="8:11" ht="26.25" customHeight="1" x14ac:dyDescent="0.2">
      <c r="H22" s="38"/>
      <c r="I22" s="40"/>
      <c r="J22" s="38"/>
      <c r="K22" s="40"/>
    </row>
    <row r="23" spans="8:11" x14ac:dyDescent="0.2">
      <c r="H23" s="38"/>
      <c r="I23" s="40"/>
      <c r="J23" s="38"/>
      <c r="K23" s="40"/>
    </row>
    <row r="25" spans="8:11" x14ac:dyDescent="0.2">
      <c r="H25" s="13"/>
      <c r="I25" s="39"/>
    </row>
    <row r="27" spans="8:11" x14ac:dyDescent="0.2">
      <c r="I27" s="40"/>
    </row>
    <row r="28" spans="8:11" x14ac:dyDescent="0.2">
      <c r="I28" s="40"/>
    </row>
    <row r="29" spans="8:11" x14ac:dyDescent="0.2">
      <c r="I29" s="40"/>
    </row>
    <row r="30" spans="8:11" x14ac:dyDescent="0.2">
      <c r="I30" s="40"/>
    </row>
    <row r="31" spans="8:11" x14ac:dyDescent="0.2">
      <c r="I31" s="40"/>
    </row>
    <row r="32" spans="8:11" x14ac:dyDescent="0.2">
      <c r="I32" s="40"/>
    </row>
    <row r="33" spans="9:9" x14ac:dyDescent="0.2">
      <c r="I33" s="40"/>
    </row>
    <row r="34" spans="9:9" x14ac:dyDescent="0.2">
      <c r="I34" s="40"/>
    </row>
    <row r="35" spans="9:9" x14ac:dyDescent="0.2">
      <c r="I35" s="40"/>
    </row>
    <row r="36" spans="9:9" x14ac:dyDescent="0.2">
      <c r="I36" s="40"/>
    </row>
    <row r="37" spans="9:9" x14ac:dyDescent="0.2">
      <c r="I37" s="40"/>
    </row>
    <row r="38" spans="9:9" x14ac:dyDescent="0.2">
      <c r="I38" s="40"/>
    </row>
    <row r="39" spans="9:9" x14ac:dyDescent="0.2">
      <c r="I39" s="40"/>
    </row>
    <row r="40" spans="9:9" x14ac:dyDescent="0.2">
      <c r="I40" s="40"/>
    </row>
    <row r="41" spans="9:9" x14ac:dyDescent="0.2">
      <c r="I41" s="40"/>
    </row>
    <row r="42" spans="9:9" x14ac:dyDescent="0.2">
      <c r="I42" s="40"/>
    </row>
    <row r="43" spans="9:9" x14ac:dyDescent="0.2">
      <c r="I43" s="40"/>
    </row>
    <row r="44" spans="9:9" x14ac:dyDescent="0.2">
      <c r="I44" s="40"/>
    </row>
    <row r="45" spans="9:9" x14ac:dyDescent="0.2">
      <c r="I45" s="40"/>
    </row>
  </sheetData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W168"/>
  <sheetViews>
    <sheetView workbookViewId="0">
      <selection activeCell="I25" sqref="I25"/>
    </sheetView>
  </sheetViews>
  <sheetFormatPr defaultColWidth="11.42578125" defaultRowHeight="12.75" x14ac:dyDescent="0.2"/>
  <sheetData>
    <row r="2" spans="2:23" x14ac:dyDescent="0.2">
      <c r="H2" s="13" t="s">
        <v>8754</v>
      </c>
      <c r="I2" s="38">
        <v>42432</v>
      </c>
    </row>
    <row r="3" spans="2:23" x14ac:dyDescent="0.2">
      <c r="B3" t="s">
        <v>22</v>
      </c>
      <c r="C3">
        <v>5</v>
      </c>
    </row>
    <row r="4" spans="2:23" x14ac:dyDescent="0.2">
      <c r="B4" t="s">
        <v>21</v>
      </c>
      <c r="C4">
        <v>5</v>
      </c>
      <c r="H4" s="13" t="s">
        <v>8752</v>
      </c>
      <c r="I4" s="13" t="s">
        <v>8755</v>
      </c>
      <c r="J4" s="13" t="s">
        <v>8753</v>
      </c>
      <c r="K4" s="13" t="s">
        <v>8755</v>
      </c>
    </row>
    <row r="5" spans="2:23" ht="13.5" thickBot="1" x14ac:dyDescent="0.25">
      <c r="B5" t="s">
        <v>23</v>
      </c>
      <c r="C5" s="8">
        <v>0.2</v>
      </c>
      <c r="H5" s="38">
        <f ca="1">I2</f>
        <v>42432</v>
      </c>
      <c r="I5" s="40">
        <v>1.03</v>
      </c>
      <c r="J5" s="38">
        <f ca="1">TODAY()</f>
        <v>42449</v>
      </c>
      <c r="K5" s="40">
        <v>1</v>
      </c>
    </row>
    <row r="6" spans="2:23" ht="15" thickBot="1" x14ac:dyDescent="0.25">
      <c r="B6" t="s">
        <v>24</v>
      </c>
      <c r="C6">
        <v>5</v>
      </c>
      <c r="H6" s="38">
        <f ca="1">H5+30</f>
        <v>42462</v>
      </c>
      <c r="I6" s="40">
        <f ca="1">I5*0.998</f>
        <v>1.0279400000000001</v>
      </c>
      <c r="J6" s="38">
        <f ca="1">J5+30</f>
        <v>42479</v>
      </c>
      <c r="K6" s="40">
        <f ca="1">K5*0.995</f>
        <v>0.995</v>
      </c>
      <c r="O6" s="41" t="s">
        <v>8902</v>
      </c>
      <c r="P6" s="42" t="str">
        <f ca="1">O6&amp;"USD"</f>
        <v>AEDUSD</v>
      </c>
      <c r="Q6">
        <f t="shared" ref="Q6:Q11" ca="1" si="0">YahooCurrencyConverter(O6, "USD")</f>
        <v>0.27229999999999999</v>
      </c>
      <c r="S6" t="str">
        <f ca="1">"{"&amp;O6&amp;","""&amp;O6&amp;""""&amp;"},"</f>
        <v>{AED,"AED"},</v>
      </c>
      <c r="V6" s="13" t="s">
        <v>8910</v>
      </c>
      <c r="W6">
        <f ca="1">YahooCurrencyConverter(MID(V6,1,3), MID(V6,4,3))</f>
        <v>1.1282000000000001</v>
      </c>
    </row>
    <row r="7" spans="2:23" ht="15" thickBot="1" x14ac:dyDescent="0.25">
      <c r="H7" s="38">
        <f t="shared" ref="H7:H23" ca="1" si="1">H6+30</f>
        <v>42492</v>
      </c>
      <c r="I7" s="40">
        <f t="shared" ref="I7:I23" ca="1" si="2">I6*0.998</f>
        <v>1.0258841200000002</v>
      </c>
      <c r="J7" s="38">
        <f t="shared" ref="J7:J23" ca="1" si="3">J6+30</f>
        <v>42509</v>
      </c>
      <c r="K7" s="40">
        <f t="shared" ref="K7:K23" ca="1" si="4">K6*0.995</f>
        <v>0.99002500000000004</v>
      </c>
      <c r="O7" s="41" t="s">
        <v>8758</v>
      </c>
      <c r="P7" s="42" t="str">
        <f ca="1">O7&amp;"USD"</f>
        <v>AFNUSD</v>
      </c>
      <c r="Q7">
        <f t="shared" ca="1" si="0"/>
        <v>1.46E-2</v>
      </c>
      <c r="S7" t="str">
        <f t="shared" ref="S7:S70" ca="1" si="5">"{"&amp;O7&amp;","""&amp;O7&amp;""""&amp;"},"</f>
        <v>{AFN,"AFN"},</v>
      </c>
      <c r="V7" s="13" t="s">
        <v>8911</v>
      </c>
      <c r="W7">
        <f ca="1">YahooCurrencyConverter(MID(V7,1,3), MID(V7,4,3))</f>
        <v>111.354</v>
      </c>
    </row>
    <row r="8" spans="2:23" ht="15" thickBot="1" x14ac:dyDescent="0.25">
      <c r="B8" t="s">
        <v>25</v>
      </c>
      <c r="C8" t="s">
        <v>26</v>
      </c>
      <c r="H8" s="38">
        <f t="shared" ca="1" si="1"/>
        <v>42522</v>
      </c>
      <c r="I8" s="40">
        <f t="shared" ca="1" si="2"/>
        <v>1.0238323517600001</v>
      </c>
      <c r="J8" s="38">
        <f t="shared" ca="1" si="3"/>
        <v>42539</v>
      </c>
      <c r="K8" s="40">
        <f t="shared" ca="1" si="4"/>
        <v>0.98507487500000002</v>
      </c>
      <c r="O8" s="41" t="s">
        <v>8759</v>
      </c>
      <c r="P8" s="42" t="str">
        <f ca="1">O8&amp;"USD"</f>
        <v>ALLUSD</v>
      </c>
      <c r="Q8">
        <f t="shared" ca="1" si="0"/>
        <v>8.0999999999999996E-3</v>
      </c>
      <c r="S8" t="str">
        <f t="shared" ca="1" si="5"/>
        <v>{ALL,"ALL"},</v>
      </c>
      <c r="V8" s="13" t="s">
        <v>8912</v>
      </c>
      <c r="W8">
        <f ca="1">YahooCurrencyConverter(MID(V8,1,3), MID(V8,4,3))</f>
        <v>84.52</v>
      </c>
    </row>
    <row r="9" spans="2:23" ht="15" thickBot="1" x14ac:dyDescent="0.25">
      <c r="B9" t="s">
        <v>27</v>
      </c>
      <c r="C9">
        <v>1000</v>
      </c>
      <c r="H9" s="38">
        <f t="shared" ca="1" si="1"/>
        <v>42552</v>
      </c>
      <c r="I9" s="40">
        <f t="shared" ca="1" si="2"/>
        <v>1.0217846870564802</v>
      </c>
      <c r="J9" s="38">
        <f t="shared" ca="1" si="3"/>
        <v>42569</v>
      </c>
      <c r="K9" s="40">
        <f t="shared" ca="1" si="4"/>
        <v>0.98014950062500006</v>
      </c>
      <c r="O9" s="41" t="s">
        <v>8765</v>
      </c>
      <c r="P9" s="42" t="str">
        <f ca="1">O9&amp;"USD"</f>
        <v>AMDUSD</v>
      </c>
      <c r="Q9">
        <f t="shared" ca="1" si="0"/>
        <v>2.0999999999999999E-3</v>
      </c>
      <c r="S9" t="str">
        <f t="shared" ca="1" si="5"/>
        <v>{AMD,"AMD"},</v>
      </c>
      <c r="V9" s="13" t="s">
        <v>8913</v>
      </c>
      <c r="W9">
        <f ca="1">YahooCurrencyConverter(MID(V9,1,3), MID(V9,4,3))</f>
        <v>1.0934999999999999</v>
      </c>
    </row>
    <row r="10" spans="2:23" ht="15" thickBot="1" x14ac:dyDescent="0.25">
      <c r="B10" t="s">
        <v>28</v>
      </c>
      <c r="C10">
        <v>0.54</v>
      </c>
      <c r="H10" s="38">
        <f t="shared" ca="1" si="1"/>
        <v>42582</v>
      </c>
      <c r="I10" s="40">
        <f t="shared" ca="1" si="2"/>
        <v>1.0197411176823672</v>
      </c>
      <c r="J10" s="38">
        <f t="shared" ca="1" si="3"/>
        <v>42599</v>
      </c>
      <c r="K10" s="40">
        <f t="shared" ca="1" si="4"/>
        <v>0.97524875312187509</v>
      </c>
      <c r="O10" s="41" t="s">
        <v>8803</v>
      </c>
      <c r="P10" s="42" t="str">
        <f t="shared" ref="P10:P71" ca="1" si="6">O10&amp;"USD"</f>
        <v>ANGUSD</v>
      </c>
      <c r="Q10">
        <f t="shared" ca="1" si="0"/>
        <v>0.55869999999999997</v>
      </c>
      <c r="S10" t="str">
        <f t="shared" ca="1" si="5"/>
        <v>{ANG,"ANG"},</v>
      </c>
      <c r="V10" s="13" t="s">
        <v>8914</v>
      </c>
      <c r="W10">
        <f ca="1">YahooCurrencyConverter(MID(V10,1,3), MID(V10,4,3))</f>
        <v>0.96940000000000004</v>
      </c>
    </row>
    <row r="11" spans="2:23" ht="15" thickBot="1" x14ac:dyDescent="0.25">
      <c r="E11" t="s">
        <v>19</v>
      </c>
      <c r="F11">
        <f ca="1">_xll.OptionPricer(C3, C4,C5,C6,B8:C10)</f>
        <v>0.88468363120939308</v>
      </c>
      <c r="H11" s="38">
        <f t="shared" ca="1" si="1"/>
        <v>42612</v>
      </c>
      <c r="I11" s="40">
        <f t="shared" ca="1" si="2"/>
        <v>1.0177016354470025</v>
      </c>
      <c r="J11" s="38">
        <f t="shared" ca="1" si="3"/>
        <v>42629</v>
      </c>
      <c r="K11" s="40">
        <f t="shared" ca="1" si="4"/>
        <v>0.97037250935626573</v>
      </c>
      <c r="O11" s="41" t="s">
        <v>8762</v>
      </c>
      <c r="P11" s="42" t="str">
        <f t="shared" ca="1" si="6"/>
        <v>AOAUSD</v>
      </c>
      <c r="Q11">
        <f t="shared" ca="1" si="0"/>
        <v>6.3E-3</v>
      </c>
      <c r="S11" t="str">
        <f t="shared" ca="1" si="5"/>
        <v>{AOA,"AOA"},</v>
      </c>
    </row>
    <row r="12" spans="2:23" ht="15" thickBot="1" x14ac:dyDescent="0.25">
      <c r="F12">
        <f ca="1">_xll.BlackScholes(C3, C4,C5,C6)</f>
        <v>0.88468363120939308</v>
      </c>
      <c r="H12" s="38">
        <f t="shared" ca="1" si="1"/>
        <v>42642</v>
      </c>
      <c r="I12" s="40">
        <f t="shared" ca="1" si="2"/>
        <v>1.0156662321761085</v>
      </c>
      <c r="J12" s="38">
        <f t="shared" ca="1" si="3"/>
        <v>42659</v>
      </c>
      <c r="K12" s="40">
        <f t="shared" ca="1" si="4"/>
        <v>0.96552064680948435</v>
      </c>
      <c r="O12" s="41" t="s">
        <v>8764</v>
      </c>
      <c r="P12" s="42" t="str">
        <f t="shared" ca="1" si="6"/>
        <v>ARSUSD</v>
      </c>
      <c r="Q12">
        <f t="shared" ref="Q12" ca="1" si="7">YahooCurrencyConverter(O12, "USD")</f>
        <v>6.7000000000000004E-2</v>
      </c>
      <c r="S12" t="str">
        <f t="shared" ca="1" si="5"/>
        <v>{ARS,"ARS"},</v>
      </c>
      <c r="V12" s="37">
        <f ca="1">_xll.MarketLoad(I2,H4:K23,V6:W10)</f>
        <v>0</v>
      </c>
    </row>
    <row r="13" spans="2:23" ht="15" thickBot="1" x14ac:dyDescent="0.25">
      <c r="H13" s="38">
        <f t="shared" ca="1" si="1"/>
        <v>42672</v>
      </c>
      <c r="I13" s="40">
        <f t="shared" ca="1" si="2"/>
        <v>1.0136348997117564</v>
      </c>
      <c r="J13" s="38">
        <f t="shared" ca="1" si="3"/>
        <v>42689</v>
      </c>
      <c r="K13" s="40">
        <f t="shared" ca="1" si="4"/>
        <v>0.96069304357543694</v>
      </c>
      <c r="O13" s="41" t="s">
        <v>8768</v>
      </c>
      <c r="P13" s="42" t="str">
        <f t="shared" ca="1" si="6"/>
        <v>AUDUSD</v>
      </c>
      <c r="Q13">
        <f t="shared" ref="Q13:Q44" ca="1" si="8">YahooCurrencyConverter(O13, "USD")</f>
        <v>0.76070000000000004</v>
      </c>
      <c r="S13" t="str">
        <f t="shared" ca="1" si="5"/>
        <v>{AUD,"AUD"},</v>
      </c>
    </row>
    <row r="14" spans="2:23" ht="15" thickBot="1" x14ac:dyDescent="0.25">
      <c r="H14" s="38">
        <f t="shared" ca="1" si="1"/>
        <v>42702</v>
      </c>
      <c r="I14" s="40">
        <f t="shared" ca="1" si="2"/>
        <v>1.0116076299123329</v>
      </c>
      <c r="J14" s="38">
        <f t="shared" ca="1" si="3"/>
        <v>42719</v>
      </c>
      <c r="K14" s="40">
        <f t="shared" ca="1" si="4"/>
        <v>0.95588957835755972</v>
      </c>
      <c r="O14" s="41" t="s">
        <v>8766</v>
      </c>
      <c r="P14" s="42" t="str">
        <f t="shared" ca="1" si="6"/>
        <v>AWGUSD</v>
      </c>
      <c r="Q14">
        <f t="shared" ca="1" si="8"/>
        <v>0.55869999999999997</v>
      </c>
      <c r="S14" t="str">
        <f t="shared" ca="1" si="5"/>
        <v>{AWG,"AWG"},</v>
      </c>
      <c r="V14">
        <f ca="1">_xll.fxSpot(V12,V9)</f>
        <v>1.093500018119812</v>
      </c>
    </row>
    <row r="15" spans="2:23" ht="15" thickBot="1" x14ac:dyDescent="0.25">
      <c r="H15" s="38">
        <f t="shared" ca="1" si="1"/>
        <v>42732</v>
      </c>
      <c r="I15" s="40">
        <f t="shared" ca="1" si="2"/>
        <v>1.0095844146525081</v>
      </c>
      <c r="J15" s="38">
        <f t="shared" ca="1" si="3"/>
        <v>42749</v>
      </c>
      <c r="K15" s="40">
        <f t="shared" ca="1" si="4"/>
        <v>0.95111013046577186</v>
      </c>
      <c r="O15" s="41" t="s">
        <v>8769</v>
      </c>
      <c r="P15" s="42" t="str">
        <f t="shared" ca="1" si="6"/>
        <v>AZNUSD</v>
      </c>
      <c r="Q15">
        <f t="shared" ca="1" si="8"/>
        <v>0.61919999999999997</v>
      </c>
      <c r="S15" t="str">
        <f t="shared" ca="1" si="5"/>
        <v>{AZN,"AZN"},</v>
      </c>
      <c r="V15">
        <f ca="1">_xll.fxSpot(0,"CHFEUR")</f>
        <v>0.91449475288391113</v>
      </c>
      <c r="W15">
        <f ca="1">1/W9</f>
        <v>0.91449474165523559</v>
      </c>
    </row>
    <row r="16" spans="2:23" ht="15" thickBot="1" x14ac:dyDescent="0.25">
      <c r="H16" s="38">
        <f t="shared" ca="1" si="1"/>
        <v>42762</v>
      </c>
      <c r="I16" s="40">
        <f t="shared" ca="1" si="2"/>
        <v>1.0075652458232032</v>
      </c>
      <c r="J16" s="38">
        <f t="shared" ca="1" si="3"/>
        <v>42779</v>
      </c>
      <c r="K16" s="40">
        <f t="shared" ca="1" si="4"/>
        <v>0.94635457981344295</v>
      </c>
      <c r="O16" s="41" t="s">
        <v>8781</v>
      </c>
      <c r="P16" s="42" t="str">
        <f t="shared" ca="1" si="6"/>
        <v>BAMUSD</v>
      </c>
      <c r="Q16">
        <f t="shared" ca="1" si="8"/>
        <v>0.57630000000000003</v>
      </c>
      <c r="S16" t="str">
        <f t="shared" ca="1" si="5"/>
        <v>{BAM,"BAM"},</v>
      </c>
      <c r="V16">
        <f ca="1">_xll.fxSpot(0,"EURJPY")</f>
        <v>125.62957763671875</v>
      </c>
    </row>
    <row r="17" spans="8:22" ht="15" thickBot="1" x14ac:dyDescent="0.25">
      <c r="H17" s="38">
        <f t="shared" ca="1" si="1"/>
        <v>42792</v>
      </c>
      <c r="I17" s="40">
        <f t="shared" ca="1" si="2"/>
        <v>1.0055501153315567</v>
      </c>
      <c r="J17" s="38">
        <f t="shared" ca="1" si="3"/>
        <v>42809</v>
      </c>
      <c r="K17" s="40">
        <f t="shared" ca="1" si="4"/>
        <v>0.94162280691437572</v>
      </c>
      <c r="O17" s="41" t="s">
        <v>8773</v>
      </c>
      <c r="P17" s="42" t="str">
        <f t="shared" ca="1" si="6"/>
        <v>BBDUSD</v>
      </c>
      <c r="Q17">
        <f t="shared" ca="1" si="8"/>
        <v>0.5</v>
      </c>
      <c r="S17" t="str">
        <f t="shared" ca="1" si="5"/>
        <v>{BBD,"BBD"},</v>
      </c>
      <c r="V17">
        <f ca="1">_xll.fxSpot(0,"CHFJPY")</f>
        <v>114.86899566650391</v>
      </c>
    </row>
    <row r="18" spans="8:22" ht="15" thickBot="1" x14ac:dyDescent="0.25">
      <c r="H18" s="38">
        <f t="shared" ca="1" si="1"/>
        <v>42822</v>
      </c>
      <c r="I18" s="40">
        <f t="shared" ca="1" si="2"/>
        <v>1.0035390151008936</v>
      </c>
      <c r="J18" s="38">
        <f t="shared" ca="1" si="3"/>
        <v>42839</v>
      </c>
      <c r="K18" s="40">
        <f t="shared" ca="1" si="4"/>
        <v>0.93691469287980389</v>
      </c>
      <c r="O18" s="41" t="s">
        <v>8772</v>
      </c>
      <c r="P18" s="42" t="str">
        <f t="shared" ca="1" si="6"/>
        <v>BDTUSD</v>
      </c>
      <c r="Q18">
        <f t="shared" ca="1" si="8"/>
        <v>1.2800000000000001E-2</v>
      </c>
      <c r="S18" t="str">
        <f t="shared" ca="1" si="5"/>
        <v>{BDT,"BDT"},</v>
      </c>
      <c r="V18">
        <f ca="1">_xll.fxSpot(0,"AUDUSD")</f>
        <v>0.75902074575424194</v>
      </c>
    </row>
    <row r="19" spans="8:22" ht="15" thickBot="1" x14ac:dyDescent="0.25">
      <c r="H19" s="38">
        <f t="shared" ca="1" si="1"/>
        <v>42852</v>
      </c>
      <c r="I19" s="40">
        <f t="shared" ca="1" si="2"/>
        <v>1.0015319370706919</v>
      </c>
      <c r="J19" s="38">
        <f t="shared" ca="1" si="3"/>
        <v>42869</v>
      </c>
      <c r="K19" s="40">
        <f t="shared" ca="1" si="4"/>
        <v>0.9322301194154049</v>
      </c>
      <c r="O19" s="41" t="s">
        <v>8786</v>
      </c>
      <c r="P19" s="42" t="str">
        <f t="shared" ca="1" si="6"/>
        <v>BGNUSD</v>
      </c>
      <c r="Q19">
        <f t="shared" ca="1" si="8"/>
        <v>0.57599999999999996</v>
      </c>
      <c r="S19" t="str">
        <f t="shared" ca="1" si="5"/>
        <v>{BGN,"BGN"},</v>
      </c>
    </row>
    <row r="20" spans="8:22" ht="15" thickBot="1" x14ac:dyDescent="0.25">
      <c r="H20" s="38">
        <f t="shared" ca="1" si="1"/>
        <v>42882</v>
      </c>
      <c r="I20" s="40">
        <f t="shared" ca="1" si="2"/>
        <v>0.99952887319655048</v>
      </c>
      <c r="J20" s="38">
        <f t="shared" ca="1" si="3"/>
        <v>42899</v>
      </c>
      <c r="K20" s="40">
        <f t="shared" ca="1" si="4"/>
        <v>0.92756896881832784</v>
      </c>
      <c r="O20" s="41" t="s">
        <v>8771</v>
      </c>
      <c r="P20" s="42" t="str">
        <f t="shared" ca="1" si="6"/>
        <v>BHDUSD</v>
      </c>
      <c r="Q20">
        <f t="shared" ca="1" si="8"/>
        <v>2.6524999999999999</v>
      </c>
      <c r="S20" t="str">
        <f t="shared" ca="1" si="5"/>
        <v>{BHD,"BHD"},</v>
      </c>
    </row>
    <row r="21" spans="8:22" ht="15" thickBot="1" x14ac:dyDescent="0.25">
      <c r="H21" s="38">
        <f t="shared" ca="1" si="1"/>
        <v>42912</v>
      </c>
      <c r="I21" s="40">
        <f t="shared" ca="1" si="2"/>
        <v>0.9975298154501574</v>
      </c>
      <c r="J21" s="38">
        <f t="shared" ca="1" si="3"/>
        <v>42929</v>
      </c>
      <c r="K21" s="40">
        <f t="shared" ca="1" si="4"/>
        <v>0.92293112397423616</v>
      </c>
      <c r="O21" s="41" t="s">
        <v>8787</v>
      </c>
      <c r="P21" s="42" t="str">
        <f t="shared" ca="1" si="6"/>
        <v>BIFUSD</v>
      </c>
      <c r="Q21">
        <f t="shared" ca="1" si="8"/>
        <v>5.9999999999999995E-4</v>
      </c>
      <c r="S21" t="str">
        <f t="shared" ca="1" si="5"/>
        <v>{BIF,"BIF"},</v>
      </c>
    </row>
    <row r="22" spans="8:22" ht="26.25" customHeight="1" thickBot="1" x14ac:dyDescent="0.25">
      <c r="H22" s="38">
        <f t="shared" ca="1" si="1"/>
        <v>42942</v>
      </c>
      <c r="I22" s="40">
        <f t="shared" ca="1" si="2"/>
        <v>0.9955347558192571</v>
      </c>
      <c r="J22" s="38">
        <f t="shared" ca="1" si="3"/>
        <v>42959</v>
      </c>
      <c r="K22" s="40">
        <f t="shared" ca="1" si="4"/>
        <v>0.91831646835436498</v>
      </c>
      <c r="O22" s="41" t="s">
        <v>8777</v>
      </c>
      <c r="P22" s="42" t="str">
        <f t="shared" ca="1" si="6"/>
        <v>BMDUSD</v>
      </c>
      <c r="Q22">
        <f t="shared" ca="1" si="8"/>
        <v>0.99990000000000001</v>
      </c>
      <c r="S22" t="str">
        <f t="shared" ca="1" si="5"/>
        <v>{BMD,"BMD"},</v>
      </c>
    </row>
    <row r="23" spans="8:22" ht="15" thickBot="1" x14ac:dyDescent="0.25">
      <c r="H23" s="38">
        <f t="shared" ca="1" si="1"/>
        <v>42972</v>
      </c>
      <c r="I23" s="40">
        <f t="shared" ca="1" si="2"/>
        <v>0.99354368630761858</v>
      </c>
      <c r="J23" s="38">
        <f t="shared" ca="1" si="3"/>
        <v>42989</v>
      </c>
      <c r="K23" s="40">
        <f t="shared" ca="1" si="4"/>
        <v>0.91372488601259316</v>
      </c>
      <c r="O23" s="41" t="s">
        <v>8784</v>
      </c>
      <c r="P23" s="42" t="str">
        <f t="shared" ca="1" si="6"/>
        <v>BNDUSD</v>
      </c>
      <c r="Q23">
        <f t="shared" ca="1" si="8"/>
        <v>0.73599999999999999</v>
      </c>
      <c r="S23" t="str">
        <f t="shared" ca="1" si="5"/>
        <v>{BND,"BND"},</v>
      </c>
    </row>
    <row r="24" spans="8:22" ht="15" thickBot="1" x14ac:dyDescent="0.25">
      <c r="O24" s="41" t="s">
        <v>8780</v>
      </c>
      <c r="P24" s="42" t="str">
        <f t="shared" ca="1" si="6"/>
        <v>BOBUSD</v>
      </c>
      <c r="Q24">
        <f t="shared" ca="1" si="8"/>
        <v>0.1464</v>
      </c>
      <c r="S24" t="str">
        <f t="shared" ca="1" si="5"/>
        <v>{BOB,"BOB"},</v>
      </c>
    </row>
    <row r="25" spans="8:22" ht="15" thickBot="1" x14ac:dyDescent="0.25">
      <c r="H25" s="13" t="s">
        <v>8756</v>
      </c>
      <c r="I25" s="39">
        <f ca="1">_xll.MarketLoad(I2,H4:K23,P6:Q155)</f>
        <v>0</v>
      </c>
      <c r="O25" s="41" t="s">
        <v>8783</v>
      </c>
      <c r="P25" s="42" t="str">
        <f t="shared" ca="1" si="6"/>
        <v>BRLUSD</v>
      </c>
      <c r="Q25">
        <f t="shared" ca="1" si="8"/>
        <v>0.27579999999999999</v>
      </c>
      <c r="S25" t="str">
        <f t="shared" ca="1" si="5"/>
        <v>{BRL,"BRL"},</v>
      </c>
    </row>
    <row r="26" spans="8:22" ht="15" thickBot="1" x14ac:dyDescent="0.25">
      <c r="O26" s="41" t="s">
        <v>8770</v>
      </c>
      <c r="P26" s="42" t="str">
        <f t="shared" ca="1" si="6"/>
        <v>BSDUSD</v>
      </c>
      <c r="Q26">
        <f t="shared" ca="1" si="8"/>
        <v>0.99950000000000006</v>
      </c>
      <c r="S26" t="str">
        <f t="shared" ca="1" si="5"/>
        <v>{BSD,"BSD"},</v>
      </c>
    </row>
    <row r="27" spans="8:22" ht="15" thickBot="1" x14ac:dyDescent="0.25">
      <c r="I27" s="40">
        <f ca="1">_xll.DF(I25,H4,H11)</f>
        <v>1.0177016258239746</v>
      </c>
      <c r="O27" s="41" t="s">
        <v>8778</v>
      </c>
      <c r="P27" s="42" t="str">
        <f t="shared" ca="1" si="6"/>
        <v>BTNUSD</v>
      </c>
      <c r="Q27">
        <f t="shared" ca="1" si="8"/>
        <v>1.4999999999999999E-2</v>
      </c>
      <c r="S27" t="str">
        <f t="shared" ca="1" si="5"/>
        <v>{BTN,"BTN"},</v>
      </c>
    </row>
    <row r="28" spans="8:22" ht="15" thickBot="1" x14ac:dyDescent="0.25">
      <c r="I28" s="40"/>
      <c r="O28" s="41" t="s">
        <v>8782</v>
      </c>
      <c r="P28" s="42" t="str">
        <f t="shared" ca="1" si="6"/>
        <v>BWPUSD</v>
      </c>
      <c r="Q28">
        <f t="shared" ca="1" si="8"/>
        <v>9.01E-2</v>
      </c>
      <c r="S28" t="str">
        <f t="shared" ca="1" si="5"/>
        <v>{BWP,"BWP"},</v>
      </c>
    </row>
    <row r="29" spans="8:22" ht="15" thickBot="1" x14ac:dyDescent="0.25">
      <c r="I29" s="40"/>
      <c r="O29" s="41" t="s">
        <v>8775</v>
      </c>
      <c r="P29" s="42" t="str">
        <f t="shared" ca="1" si="6"/>
        <v>BZDUSD</v>
      </c>
      <c r="Q29">
        <f t="shared" ca="1" si="8"/>
        <v>0.50129999999999997</v>
      </c>
      <c r="S29" t="str">
        <f t="shared" ca="1" si="5"/>
        <v>{BZD,"BZD"},</v>
      </c>
    </row>
    <row r="30" spans="8:22" ht="15" thickBot="1" x14ac:dyDescent="0.25">
      <c r="I30" s="40"/>
      <c r="O30" s="41" t="s">
        <v>8790</v>
      </c>
      <c r="P30" s="42" t="str">
        <f t="shared" ca="1" si="6"/>
        <v>CADUSD</v>
      </c>
      <c r="Q30">
        <f t="shared" ca="1" si="8"/>
        <v>0.76849999999999996</v>
      </c>
      <c r="S30" t="str">
        <f t="shared" ca="1" si="5"/>
        <v>{CAD,"CAD"},</v>
      </c>
    </row>
    <row r="31" spans="8:22" ht="15" thickBot="1" x14ac:dyDescent="0.25">
      <c r="I31" s="40"/>
      <c r="O31" s="41" t="s">
        <v>8797</v>
      </c>
      <c r="P31" s="42" t="str">
        <f t="shared" ca="1" si="6"/>
        <v>CDFUSD</v>
      </c>
      <c r="Q31">
        <f t="shared" ca="1" si="8"/>
        <v>1.1000000000000001E-3</v>
      </c>
      <c r="S31" t="str">
        <f t="shared" ca="1" si="5"/>
        <v>{CDF,"CDF"},</v>
      </c>
    </row>
    <row r="32" spans="8:22" ht="15" thickBot="1" x14ac:dyDescent="0.25">
      <c r="I32" s="40"/>
      <c r="O32" s="41" t="s">
        <v>8845</v>
      </c>
      <c r="P32" s="42" t="str">
        <f t="shared" ca="1" si="6"/>
        <v>CHFUSD</v>
      </c>
      <c r="Q32">
        <f t="shared" ca="1" si="8"/>
        <v>1.0316000000000001</v>
      </c>
      <c r="S32" t="str">
        <f t="shared" ca="1" si="5"/>
        <v>{CHF,"CHF"},</v>
      </c>
    </row>
    <row r="33" spans="9:19" ht="15" thickBot="1" x14ac:dyDescent="0.25">
      <c r="I33" s="40"/>
      <c r="O33" s="41" t="s">
        <v>8793</v>
      </c>
      <c r="P33" s="42" t="str">
        <f t="shared" ca="1" si="6"/>
        <v>CLPUSD</v>
      </c>
      <c r="Q33">
        <f t="shared" ca="1" si="8"/>
        <v>1.5E-3</v>
      </c>
      <c r="S33" t="str">
        <f t="shared" ca="1" si="5"/>
        <v>{CLP,"CLP"},</v>
      </c>
    </row>
    <row r="34" spans="9:19" ht="15" thickBot="1" x14ac:dyDescent="0.25">
      <c r="I34" s="40"/>
      <c r="O34" s="41" t="s">
        <v>8794</v>
      </c>
      <c r="P34" s="42" t="str">
        <f t="shared" ca="1" si="6"/>
        <v>CNYUSD</v>
      </c>
      <c r="Q34">
        <f t="shared" ca="1" si="8"/>
        <v>0.1545</v>
      </c>
      <c r="S34" t="str">
        <f t="shared" ca="1" si="5"/>
        <v>{CNY,"CNY"},</v>
      </c>
    </row>
    <row r="35" spans="9:19" ht="15" thickBot="1" x14ac:dyDescent="0.25">
      <c r="I35" s="40"/>
      <c r="O35" s="41" t="s">
        <v>8795</v>
      </c>
      <c r="P35" s="42" t="str">
        <f t="shared" ca="1" si="6"/>
        <v>COPUSD</v>
      </c>
      <c r="Q35">
        <f t="shared" ca="1" si="8"/>
        <v>2.9999999999999997E-4</v>
      </c>
      <c r="S35" t="str">
        <f t="shared" ca="1" si="5"/>
        <v>{COP,"COP"},</v>
      </c>
    </row>
    <row r="36" spans="9:19" ht="15" thickBot="1" x14ac:dyDescent="0.25">
      <c r="I36" s="40"/>
      <c r="O36" s="41" t="s">
        <v>8799</v>
      </c>
      <c r="P36" s="42" t="str">
        <f t="shared" ca="1" si="6"/>
        <v>CRCUSD</v>
      </c>
      <c r="Q36">
        <f t="shared" ca="1" si="8"/>
        <v>1.9E-3</v>
      </c>
      <c r="S36" t="str">
        <f t="shared" ca="1" si="5"/>
        <v>{CRC,"CRC"},</v>
      </c>
    </row>
    <row r="37" spans="9:19" ht="15" thickBot="1" x14ac:dyDescent="0.25">
      <c r="I37" s="40"/>
      <c r="O37" s="41" t="s">
        <v>8802</v>
      </c>
      <c r="P37" s="42" t="str">
        <f t="shared" ca="1" si="6"/>
        <v>CUPUSD</v>
      </c>
      <c r="Q37">
        <f t="shared" ca="1" si="8"/>
        <v>1</v>
      </c>
      <c r="S37" t="str">
        <f t="shared" ca="1" si="5"/>
        <v>{CUP,"CUP"},</v>
      </c>
    </row>
    <row r="38" spans="9:19" ht="15" thickBot="1" x14ac:dyDescent="0.25">
      <c r="I38" s="40"/>
      <c r="O38" s="41" t="s">
        <v>8791</v>
      </c>
      <c r="P38" s="42" t="str">
        <f t="shared" ca="1" si="6"/>
        <v>CVEUSD</v>
      </c>
      <c r="Q38">
        <f t="shared" ca="1" si="8"/>
        <v>1.0200000000000001E-2</v>
      </c>
      <c r="S38" t="str">
        <f t="shared" ca="1" si="5"/>
        <v>{CVE,"CVE"},</v>
      </c>
    </row>
    <row r="39" spans="9:19" ht="15" thickBot="1" x14ac:dyDescent="0.25">
      <c r="I39" s="40"/>
      <c r="O39" s="41" t="s">
        <v>8804</v>
      </c>
      <c r="P39" s="42" t="str">
        <f t="shared" ca="1" si="6"/>
        <v>CZKUSD</v>
      </c>
      <c r="Q39">
        <f t="shared" ca="1" si="8"/>
        <v>4.1700000000000001E-2</v>
      </c>
      <c r="S39" t="str">
        <f t="shared" ca="1" si="5"/>
        <v>{CZK,"CZK"},</v>
      </c>
    </row>
    <row r="40" spans="9:19" ht="15" thickBot="1" x14ac:dyDescent="0.25">
      <c r="I40" s="40"/>
      <c r="O40" s="41" t="s">
        <v>8806</v>
      </c>
      <c r="P40" s="42" t="str">
        <f t="shared" ca="1" si="6"/>
        <v>DJFUSD</v>
      </c>
      <c r="Q40">
        <f t="shared" ca="1" si="8"/>
        <v>5.5999999999999999E-3</v>
      </c>
      <c r="S40" t="str">
        <f t="shared" ca="1" si="5"/>
        <v>{DJF,"DJF"},</v>
      </c>
    </row>
    <row r="41" spans="9:19" ht="15" thickBot="1" x14ac:dyDescent="0.25">
      <c r="I41" s="40"/>
      <c r="O41" s="41" t="s">
        <v>8805</v>
      </c>
      <c r="P41" s="42" t="str">
        <f t="shared" ca="1" si="6"/>
        <v>DKKUSD</v>
      </c>
      <c r="Q41">
        <f t="shared" ca="1" si="8"/>
        <v>0.1512</v>
      </c>
      <c r="S41" t="str">
        <f t="shared" ca="1" si="5"/>
        <v>{DKK,"DKK"},</v>
      </c>
    </row>
    <row r="42" spans="9:19" ht="15" thickBot="1" x14ac:dyDescent="0.25">
      <c r="I42" s="40"/>
      <c r="O42" s="41" t="s">
        <v>8807</v>
      </c>
      <c r="P42" s="42" t="str">
        <f t="shared" ca="1" si="6"/>
        <v>DOPUSD</v>
      </c>
      <c r="Q42">
        <f t="shared" ca="1" si="8"/>
        <v>2.18E-2</v>
      </c>
      <c r="S42" t="str">
        <f t="shared" ca="1" si="5"/>
        <v>{DOP,"DOP"},</v>
      </c>
    </row>
    <row r="43" spans="9:19" ht="15" thickBot="1" x14ac:dyDescent="0.25">
      <c r="I43" s="40"/>
      <c r="O43" s="41" t="s">
        <v>8761</v>
      </c>
      <c r="P43" s="42" t="str">
        <f t="shared" ca="1" si="6"/>
        <v>DZDUSD</v>
      </c>
      <c r="Q43">
        <f t="shared" ca="1" si="8"/>
        <v>9.1000000000000004E-3</v>
      </c>
      <c r="S43" t="str">
        <f t="shared" ca="1" si="5"/>
        <v>{DZD,"DZD"},</v>
      </c>
    </row>
    <row r="44" spans="9:19" ht="15" thickBot="1" x14ac:dyDescent="0.25">
      <c r="I44" s="40"/>
      <c r="O44" s="41" t="s">
        <v>8808</v>
      </c>
      <c r="P44" s="42" t="str">
        <f t="shared" ca="1" si="6"/>
        <v>EGPUSD</v>
      </c>
      <c r="Q44">
        <f t="shared" ca="1" si="8"/>
        <v>0.11260000000000001</v>
      </c>
      <c r="S44" t="str">
        <f t="shared" ca="1" si="5"/>
        <v>{EGP,"EGP"},</v>
      </c>
    </row>
    <row r="45" spans="9:19" ht="15" thickBot="1" x14ac:dyDescent="0.25">
      <c r="I45" s="40"/>
      <c r="O45" s="41" t="s">
        <v>8809</v>
      </c>
      <c r="P45" s="42" t="str">
        <f t="shared" ca="1" si="6"/>
        <v>ERNUSD</v>
      </c>
      <c r="Q45">
        <f t="shared" ref="Q45:Q76" ca="1" si="9">YahooCurrencyConverter(O45, "USD")</f>
        <v>6.1800000000000001E-2</v>
      </c>
      <c r="S45" t="str">
        <f t="shared" ca="1" si="5"/>
        <v>{ERN,"ERN"},</v>
      </c>
    </row>
    <row r="46" spans="9:19" ht="15" thickBot="1" x14ac:dyDescent="0.25">
      <c r="O46" s="41" t="s">
        <v>8810</v>
      </c>
      <c r="P46" s="42" t="str">
        <f t="shared" ca="1" si="6"/>
        <v>ETBUSD</v>
      </c>
      <c r="Q46">
        <f t="shared" ca="1" si="9"/>
        <v>4.6899999999999997E-2</v>
      </c>
      <c r="S46" t="str">
        <f t="shared" ca="1" si="5"/>
        <v>{ETB,"ETB"},</v>
      </c>
    </row>
    <row r="47" spans="9:19" ht="15" thickBot="1" x14ac:dyDescent="0.25">
      <c r="O47" s="41" t="s">
        <v>8752</v>
      </c>
      <c r="P47" s="42" t="str">
        <f t="shared" ca="1" si="6"/>
        <v>EURUSD</v>
      </c>
      <c r="Q47">
        <f t="shared" ca="1" si="9"/>
        <v>1.1268</v>
      </c>
      <c r="S47" t="str">
        <f t="shared" ca="1" si="5"/>
        <v>{EUR,"EUR"},</v>
      </c>
    </row>
    <row r="48" spans="9:19" ht="15" thickBot="1" x14ac:dyDescent="0.25">
      <c r="O48" s="41" t="s">
        <v>8812</v>
      </c>
      <c r="P48" s="42" t="str">
        <f t="shared" ca="1" si="6"/>
        <v>FJDUSD</v>
      </c>
      <c r="Q48">
        <f t="shared" ca="1" si="9"/>
        <v>0.48020000000000002</v>
      </c>
      <c r="S48" t="str">
        <f t="shared" ca="1" si="5"/>
        <v>{FJD,"FJD"},</v>
      </c>
    </row>
    <row r="49" spans="15:19" ht="15" thickBot="1" x14ac:dyDescent="0.25">
      <c r="O49" s="41" t="s">
        <v>8811</v>
      </c>
      <c r="P49" s="42" t="str">
        <f t="shared" ca="1" si="6"/>
        <v>FKPUSD</v>
      </c>
      <c r="Q49">
        <f t="shared" ca="1" si="9"/>
        <v>1.5156000000000001</v>
      </c>
      <c r="S49" t="str">
        <f t="shared" ca="1" si="5"/>
        <v>{FKP,"FKP"},</v>
      </c>
    </row>
    <row r="50" spans="15:19" ht="15" thickBot="1" x14ac:dyDescent="0.25">
      <c r="O50" s="41" t="s">
        <v>8760</v>
      </c>
      <c r="P50" s="42" t="str">
        <f t="shared" ca="1" si="6"/>
        <v>GBPUSD</v>
      </c>
      <c r="Q50">
        <f t="shared" ca="1" si="9"/>
        <v>1.4471000000000001</v>
      </c>
      <c r="S50" t="str">
        <f t="shared" ca="1" si="5"/>
        <v>{GBP,"GBP"},</v>
      </c>
    </row>
    <row r="51" spans="15:19" ht="15" thickBot="1" x14ac:dyDescent="0.25">
      <c r="O51" s="41" t="s">
        <v>8815</v>
      </c>
      <c r="P51" s="42" t="str">
        <f t="shared" ca="1" si="6"/>
        <v>GELUSD</v>
      </c>
      <c r="Q51">
        <f t="shared" ca="1" si="9"/>
        <v>0.43869999999999998</v>
      </c>
      <c r="S51" t="str">
        <f t="shared" ca="1" si="5"/>
        <v>{GEL,"GEL"},</v>
      </c>
    </row>
    <row r="52" spans="15:19" ht="15" thickBot="1" x14ac:dyDescent="0.25">
      <c r="O52" s="41" t="s">
        <v>8816</v>
      </c>
      <c r="P52" s="42" t="str">
        <f t="shared" ca="1" si="6"/>
        <v>GHSUSD</v>
      </c>
      <c r="Q52">
        <f t="shared" ca="1" si="9"/>
        <v>0.26</v>
      </c>
      <c r="S52" t="str">
        <f t="shared" ca="1" si="5"/>
        <v>{GHS,"GHS"},</v>
      </c>
    </row>
    <row r="53" spans="15:19" ht="15" thickBot="1" x14ac:dyDescent="0.25">
      <c r="O53" s="41" t="s">
        <v>8817</v>
      </c>
      <c r="P53" s="42" t="str">
        <f t="shared" ca="1" si="6"/>
        <v>GIPUSD</v>
      </c>
      <c r="Q53">
        <f t="shared" ca="1" si="9"/>
        <v>1.4472</v>
      </c>
      <c r="S53" t="str">
        <f t="shared" ca="1" si="5"/>
        <v>{GIP,"GIP"},</v>
      </c>
    </row>
    <row r="54" spans="15:19" ht="15" thickBot="1" x14ac:dyDescent="0.25">
      <c r="O54" s="41" t="s">
        <v>8814</v>
      </c>
      <c r="P54" s="42" t="str">
        <f t="shared" ca="1" si="6"/>
        <v>GMDUSD</v>
      </c>
      <c r="Q54">
        <f t="shared" ca="1" si="9"/>
        <v>2.47E-2</v>
      </c>
      <c r="S54" t="str">
        <f t="shared" ca="1" si="5"/>
        <v>{GMD,"GMD"},</v>
      </c>
    </row>
    <row r="55" spans="15:19" ht="15" thickBot="1" x14ac:dyDescent="0.25">
      <c r="O55" s="41" t="s">
        <v>8819</v>
      </c>
      <c r="P55" s="42" t="str">
        <f t="shared" ca="1" si="6"/>
        <v>GNFUSD</v>
      </c>
      <c r="Q55">
        <f t="shared" ca="1" si="9"/>
        <v>1E-4</v>
      </c>
      <c r="S55" t="str">
        <f t="shared" ca="1" si="5"/>
        <v>{GNF,"GNF"},</v>
      </c>
    </row>
    <row r="56" spans="15:19" ht="15" thickBot="1" x14ac:dyDescent="0.25">
      <c r="O56" s="41" t="s">
        <v>8818</v>
      </c>
      <c r="P56" s="42" t="str">
        <f t="shared" ca="1" si="6"/>
        <v>GTQUSD</v>
      </c>
      <c r="Q56">
        <f t="shared" ca="1" si="9"/>
        <v>0.12909999999999999</v>
      </c>
      <c r="S56" t="str">
        <f t="shared" ca="1" si="5"/>
        <v>{GTQ,"GTQ"},</v>
      </c>
    </row>
    <row r="57" spans="15:19" ht="15" thickBot="1" x14ac:dyDescent="0.25">
      <c r="O57" s="41" t="s">
        <v>8820</v>
      </c>
      <c r="P57" s="42" t="str">
        <f t="shared" ca="1" si="6"/>
        <v>GYDUSD</v>
      </c>
      <c r="Q57">
        <f t="shared" ca="1" si="9"/>
        <v>4.7999999999999996E-3</v>
      </c>
      <c r="S57" t="str">
        <f t="shared" ca="1" si="5"/>
        <v>{GYD,"GYD"},</v>
      </c>
    </row>
    <row r="58" spans="15:19" ht="15" thickBot="1" x14ac:dyDescent="0.25">
      <c r="O58" s="41" t="s">
        <v>8823</v>
      </c>
      <c r="P58" s="42" t="str">
        <f t="shared" ca="1" si="6"/>
        <v>HKDUSD</v>
      </c>
      <c r="Q58">
        <f t="shared" ca="1" si="9"/>
        <v>0.12889999999999999</v>
      </c>
      <c r="S58" t="str">
        <f t="shared" ca="1" si="5"/>
        <v>{HKD,"HKD"},</v>
      </c>
    </row>
    <row r="59" spans="15:19" ht="15" thickBot="1" x14ac:dyDescent="0.25">
      <c r="O59" s="41" t="s">
        <v>8822</v>
      </c>
      <c r="P59" s="42" t="str">
        <f t="shared" ca="1" si="6"/>
        <v>HNLUSD</v>
      </c>
      <c r="Q59">
        <f t="shared" ca="1" si="9"/>
        <v>4.4200000000000003E-2</v>
      </c>
      <c r="S59" t="str">
        <f t="shared" ca="1" si="5"/>
        <v>{HNL,"HNL"},</v>
      </c>
    </row>
    <row r="60" spans="15:19" ht="15" thickBot="1" x14ac:dyDescent="0.25">
      <c r="O60" s="41" t="s">
        <v>8800</v>
      </c>
      <c r="P60" s="42" t="str">
        <f t="shared" ca="1" si="6"/>
        <v>HRKUSD</v>
      </c>
      <c r="Q60">
        <f t="shared" ca="1" si="9"/>
        <v>0.15</v>
      </c>
      <c r="S60" t="str">
        <f t="shared" ca="1" si="5"/>
        <v>{HRK,"HRK"},</v>
      </c>
    </row>
    <row r="61" spans="15:19" ht="15" thickBot="1" x14ac:dyDescent="0.25">
      <c r="O61" s="41" t="s">
        <v>8821</v>
      </c>
      <c r="P61" s="42" t="str">
        <f t="shared" ca="1" si="6"/>
        <v>HTGUSD</v>
      </c>
      <c r="Q61">
        <f t="shared" ca="1" si="9"/>
        <v>1.6199999999999999E-2</v>
      </c>
      <c r="S61" t="str">
        <f t="shared" ca="1" si="5"/>
        <v>{HTG,"HTG"},</v>
      </c>
    </row>
    <row r="62" spans="15:19" ht="15" thickBot="1" x14ac:dyDescent="0.25">
      <c r="O62" s="41" t="s">
        <v>8824</v>
      </c>
      <c r="P62" s="42" t="str">
        <f t="shared" ca="1" si="6"/>
        <v>HUFUSD</v>
      </c>
      <c r="Q62">
        <f t="shared" ca="1" si="9"/>
        <v>3.5999999999999999E-3</v>
      </c>
      <c r="S62" t="str">
        <f t="shared" ca="1" si="5"/>
        <v>{HUF,"HUF"},</v>
      </c>
    </row>
    <row r="63" spans="15:19" ht="15" thickBot="1" x14ac:dyDescent="0.25">
      <c r="O63" s="41" t="s">
        <v>8826</v>
      </c>
      <c r="P63" s="42" t="str">
        <f t="shared" ca="1" si="6"/>
        <v>IDRUSD</v>
      </c>
      <c r="Q63">
        <f t="shared" ca="1" si="9"/>
        <v>1E-4</v>
      </c>
      <c r="S63" t="str">
        <f t="shared" ca="1" si="5"/>
        <v>{IDR,"IDR"},</v>
      </c>
    </row>
    <row r="64" spans="15:19" ht="15" thickBot="1" x14ac:dyDescent="0.25">
      <c r="O64" s="41" t="s">
        <v>8829</v>
      </c>
      <c r="P64" s="42" t="str">
        <f t="shared" ca="1" si="6"/>
        <v>ILSUSD</v>
      </c>
      <c r="Q64">
        <f t="shared" ca="1" si="9"/>
        <v>0.25929999999999997</v>
      </c>
      <c r="S64" t="str">
        <f t="shared" ca="1" si="5"/>
        <v>{ILS,"ILS"},</v>
      </c>
    </row>
    <row r="65" spans="15:19" ht="15" thickBot="1" x14ac:dyDescent="0.25">
      <c r="O65" s="41" t="s">
        <v>8779</v>
      </c>
      <c r="P65" s="42" t="str">
        <f t="shared" ca="1" si="6"/>
        <v>INRUSD</v>
      </c>
      <c r="Q65">
        <f t="shared" ca="1" si="9"/>
        <v>1.5100000000000001E-2</v>
      </c>
      <c r="S65" t="str">
        <f t="shared" ca="1" si="5"/>
        <v>{INR,"INR"},</v>
      </c>
    </row>
    <row r="66" spans="15:19" ht="15" thickBot="1" x14ac:dyDescent="0.25">
      <c r="O66" s="41" t="s">
        <v>8828</v>
      </c>
      <c r="P66" s="42" t="str">
        <f t="shared" ca="1" si="6"/>
        <v>IQDUSD</v>
      </c>
      <c r="Q66">
        <f t="shared" ca="1" si="9"/>
        <v>8.9999999999999998E-4</v>
      </c>
      <c r="S66" t="str">
        <f t="shared" ca="1" si="5"/>
        <v>{IQD,"IQD"},</v>
      </c>
    </row>
    <row r="67" spans="15:19" ht="15" thickBot="1" x14ac:dyDescent="0.25">
      <c r="O67" s="41" t="s">
        <v>8825</v>
      </c>
      <c r="P67" s="42" t="str">
        <f t="shared" ca="1" si="6"/>
        <v>ISKUSD</v>
      </c>
      <c r="Q67">
        <f t="shared" ca="1" si="9"/>
        <v>8.0000000000000002E-3</v>
      </c>
      <c r="S67" t="str">
        <f t="shared" ca="1" si="5"/>
        <v>{ISK,"ISK"},</v>
      </c>
    </row>
    <row r="68" spans="15:19" ht="15" thickBot="1" x14ac:dyDescent="0.25">
      <c r="O68" s="41" t="s">
        <v>8830</v>
      </c>
      <c r="P68" s="42" t="str">
        <f t="shared" ca="1" si="6"/>
        <v>JMDUSD</v>
      </c>
      <c r="Q68">
        <f t="shared" ca="1" si="9"/>
        <v>8.2000000000000007E-3</v>
      </c>
      <c r="S68" t="str">
        <f t="shared" ca="1" si="5"/>
        <v>{JMD,"JMD"},</v>
      </c>
    </row>
    <row r="69" spans="15:19" ht="15" thickBot="1" x14ac:dyDescent="0.25">
      <c r="O69" s="41" t="s">
        <v>8832</v>
      </c>
      <c r="P69" s="42" t="str">
        <f t="shared" ca="1" si="6"/>
        <v>JODUSD</v>
      </c>
      <c r="Q69">
        <f t="shared" ca="1" si="9"/>
        <v>1.4098999999999999</v>
      </c>
      <c r="S69" t="str">
        <f t="shared" ca="1" si="5"/>
        <v>{JOD,"JOD"},</v>
      </c>
    </row>
    <row r="70" spans="15:19" ht="15" thickBot="1" x14ac:dyDescent="0.25">
      <c r="O70" s="41" t="s">
        <v>8832</v>
      </c>
      <c r="P70" s="42" t="str">
        <f t="shared" ca="1" si="6"/>
        <v>JODUSD</v>
      </c>
      <c r="Q70">
        <f t="shared" ca="1" si="9"/>
        <v>1.4098999999999999</v>
      </c>
      <c r="S70" t="str">
        <f t="shared" ca="1" si="5"/>
        <v>{JOD,"JOD"},</v>
      </c>
    </row>
    <row r="71" spans="15:19" ht="15" thickBot="1" x14ac:dyDescent="0.25">
      <c r="O71" s="41" t="s">
        <v>8831</v>
      </c>
      <c r="P71" s="42" t="str">
        <f t="shared" ca="1" si="6"/>
        <v>JPYUSD</v>
      </c>
      <c r="Q71">
        <f t="shared" ca="1" si="9"/>
        <v>8.9999999999999993E-3</v>
      </c>
      <c r="S71" t="str">
        <f t="shared" ref="S71:S134" ca="1" si="10">"{"&amp;O71&amp;","""&amp;O71&amp;""""&amp;"},"</f>
        <v>{JPY,"JPY"},</v>
      </c>
    </row>
    <row r="72" spans="15:19" ht="15" thickBot="1" x14ac:dyDescent="0.25">
      <c r="O72" s="41" t="s">
        <v>8834</v>
      </c>
      <c r="P72" s="42" t="str">
        <f t="shared" ref="P72:P135" ca="1" si="11">O72&amp;"USD"</f>
        <v>KESUSD</v>
      </c>
      <c r="Q72">
        <f t="shared" ca="1" si="9"/>
        <v>9.9000000000000008E-3</v>
      </c>
      <c r="S72" t="str">
        <f t="shared" ca="1" si="10"/>
        <v>{KES,"KES"},</v>
      </c>
    </row>
    <row r="73" spans="15:19" ht="15" thickBot="1" x14ac:dyDescent="0.25">
      <c r="O73" s="41" t="s">
        <v>8838</v>
      </c>
      <c r="P73" s="42" t="str">
        <f t="shared" ca="1" si="11"/>
        <v>KGSUSD</v>
      </c>
      <c r="Q73">
        <f t="shared" ca="1" si="9"/>
        <v>1.3899999999999999E-2</v>
      </c>
      <c r="S73" t="str">
        <f t="shared" ca="1" si="10"/>
        <v>{KGS,"KGS"},</v>
      </c>
    </row>
    <row r="74" spans="15:19" ht="15" thickBot="1" x14ac:dyDescent="0.25">
      <c r="O74" s="41" t="s">
        <v>8788</v>
      </c>
      <c r="P74" s="42" t="str">
        <f t="shared" ca="1" si="11"/>
        <v>KHRUSD</v>
      </c>
      <c r="Q74">
        <f t="shared" ca="1" si="9"/>
        <v>2.0000000000000001E-4</v>
      </c>
      <c r="S74" t="str">
        <f t="shared" ca="1" si="10"/>
        <v>{KHR,"KHR"},</v>
      </c>
    </row>
    <row r="75" spans="15:19" ht="15" thickBot="1" x14ac:dyDescent="0.25">
      <c r="O75" s="41" t="s">
        <v>8796</v>
      </c>
      <c r="P75" s="42" t="str">
        <f t="shared" ca="1" si="11"/>
        <v>KMFUSD</v>
      </c>
      <c r="Q75">
        <f t="shared" ca="1" si="9"/>
        <v>2.3E-3</v>
      </c>
      <c r="S75" t="str">
        <f t="shared" ca="1" si="10"/>
        <v>{KMF,"KMF"},</v>
      </c>
    </row>
    <row r="76" spans="15:19" ht="15" thickBot="1" x14ac:dyDescent="0.25">
      <c r="O76" s="41" t="s">
        <v>8835</v>
      </c>
      <c r="P76" s="42" t="str">
        <f t="shared" ca="1" si="11"/>
        <v>KPWUSD</v>
      </c>
      <c r="Q76">
        <f t="shared" ca="1" si="9"/>
        <v>1.1000000000000001E-3</v>
      </c>
      <c r="S76" t="str">
        <f t="shared" ca="1" si="10"/>
        <v>{KPW,"KPW"},</v>
      </c>
    </row>
    <row r="77" spans="15:19" ht="15" thickBot="1" x14ac:dyDescent="0.25">
      <c r="O77" s="41" t="s">
        <v>8836</v>
      </c>
      <c r="P77" s="42" t="str">
        <f t="shared" ca="1" si="11"/>
        <v>KRWUSD</v>
      </c>
      <c r="Q77">
        <f t="shared" ref="Q77:Q108" ca="1" si="12">YahooCurrencyConverter(O77, "USD")</f>
        <v>8.9999999999999998E-4</v>
      </c>
      <c r="S77" t="str">
        <f t="shared" ca="1" si="10"/>
        <v>{KRW,"KRW"},</v>
      </c>
    </row>
    <row r="78" spans="15:19" ht="15" thickBot="1" x14ac:dyDescent="0.25">
      <c r="O78" s="41" t="s">
        <v>8837</v>
      </c>
      <c r="P78" s="42" t="str">
        <f t="shared" ca="1" si="11"/>
        <v>KWDUSD</v>
      </c>
      <c r="Q78">
        <f t="shared" ca="1" si="12"/>
        <v>3.3256000000000001</v>
      </c>
      <c r="S78" t="str">
        <f t="shared" ca="1" si="10"/>
        <v>{KWD,"KWD"},</v>
      </c>
    </row>
    <row r="79" spans="15:19" ht="15" thickBot="1" x14ac:dyDescent="0.25">
      <c r="O79" s="41" t="s">
        <v>8792</v>
      </c>
      <c r="P79" s="42" t="str">
        <f t="shared" ca="1" si="11"/>
        <v>KYDUSD</v>
      </c>
      <c r="Q79">
        <f t="shared" ca="1" si="12"/>
        <v>1.2195</v>
      </c>
      <c r="S79" t="str">
        <f t="shared" ca="1" si="10"/>
        <v>{KYD,"KYD"},</v>
      </c>
    </row>
    <row r="80" spans="15:19" ht="15" thickBot="1" x14ac:dyDescent="0.25">
      <c r="O80" s="41" t="s">
        <v>8833</v>
      </c>
      <c r="P80" s="42" t="str">
        <f t="shared" ca="1" si="11"/>
        <v>KZTUSD</v>
      </c>
      <c r="Q80">
        <f t="shared" ca="1" si="12"/>
        <v>2.8999999999999998E-3</v>
      </c>
      <c r="S80" t="str">
        <f t="shared" ca="1" si="10"/>
        <v>{KZT,"KZT"},</v>
      </c>
    </row>
    <row r="81" spans="15:19" ht="15" thickBot="1" x14ac:dyDescent="0.25">
      <c r="O81" s="41" t="s">
        <v>8839</v>
      </c>
      <c r="P81" s="42" t="str">
        <f t="shared" ca="1" si="11"/>
        <v>LAKUSD</v>
      </c>
      <c r="Q81">
        <f t="shared" ca="1" si="12"/>
        <v>1E-4</v>
      </c>
      <c r="S81" t="str">
        <f t="shared" ca="1" si="10"/>
        <v>{LAK,"LAK"},</v>
      </c>
    </row>
    <row r="82" spans="15:19" ht="15" thickBot="1" x14ac:dyDescent="0.25">
      <c r="O82" s="41" t="s">
        <v>8840</v>
      </c>
      <c r="P82" s="42" t="str">
        <f t="shared" ca="1" si="11"/>
        <v>LBPUSD</v>
      </c>
      <c r="Q82">
        <f t="shared" ca="1" si="12"/>
        <v>6.9999999999999999E-4</v>
      </c>
      <c r="S82" t="str">
        <f t="shared" ca="1" si="10"/>
        <v>{LBP,"LBP"},</v>
      </c>
    </row>
    <row r="83" spans="15:19" ht="15" thickBot="1" x14ac:dyDescent="0.25">
      <c r="O83" s="41" t="s">
        <v>8886</v>
      </c>
      <c r="P83" s="42" t="str">
        <f t="shared" ca="1" si="11"/>
        <v>LKRUSD</v>
      </c>
      <c r="Q83">
        <f t="shared" ca="1" si="12"/>
        <v>6.8999999999999999E-3</v>
      </c>
      <c r="S83" t="str">
        <f t="shared" ca="1" si="10"/>
        <v>{LKR,"LKR"},</v>
      </c>
    </row>
    <row r="84" spans="15:19" ht="15" thickBot="1" x14ac:dyDescent="0.25">
      <c r="O84" s="41" t="s">
        <v>8843</v>
      </c>
      <c r="P84" s="42" t="str">
        <f t="shared" ca="1" si="11"/>
        <v>LRDUSD</v>
      </c>
      <c r="Q84">
        <f t="shared" ca="1" si="12"/>
        <v>1.18E-2</v>
      </c>
      <c r="S84" t="str">
        <f t="shared" ca="1" si="10"/>
        <v>{LRD,"LRD"},</v>
      </c>
    </row>
    <row r="85" spans="15:19" ht="15" thickBot="1" x14ac:dyDescent="0.25">
      <c r="O85" s="41" t="s">
        <v>8841</v>
      </c>
      <c r="P85" s="42" t="str">
        <f t="shared" ca="1" si="11"/>
        <v>LSLUSD</v>
      </c>
      <c r="Q85">
        <f t="shared" ca="1" si="12"/>
        <v>6.5500000000000003E-2</v>
      </c>
      <c r="S85" t="str">
        <f t="shared" ca="1" si="10"/>
        <v>{LSL,"LSL"},</v>
      </c>
    </row>
    <row r="86" spans="15:19" ht="15" thickBot="1" x14ac:dyDescent="0.25">
      <c r="O86" s="41" t="s">
        <v>8844</v>
      </c>
      <c r="P86" s="42" t="str">
        <f t="shared" ca="1" si="11"/>
        <v>LYDUSD</v>
      </c>
      <c r="Q86">
        <f t="shared" ca="1" si="12"/>
        <v>0.72529999999999994</v>
      </c>
      <c r="S86" t="str">
        <f t="shared" ca="1" si="10"/>
        <v>{LYD,"LYD"},</v>
      </c>
    </row>
    <row r="87" spans="15:19" ht="15" thickBot="1" x14ac:dyDescent="0.25">
      <c r="O87" s="41" t="s">
        <v>8857</v>
      </c>
      <c r="P87" s="42" t="str">
        <f t="shared" ca="1" si="11"/>
        <v>MADUSD</v>
      </c>
      <c r="Q87">
        <f t="shared" ca="1" si="12"/>
        <v>0.1036</v>
      </c>
      <c r="S87" t="str">
        <f t="shared" ca="1" si="10"/>
        <v>{MAD,"MAD"},</v>
      </c>
    </row>
    <row r="88" spans="15:19" ht="15" thickBot="1" x14ac:dyDescent="0.25">
      <c r="O88" s="41" t="s">
        <v>8855</v>
      </c>
      <c r="P88" s="42" t="str">
        <f t="shared" ca="1" si="11"/>
        <v>MDLUSD</v>
      </c>
      <c r="Q88">
        <f t="shared" ca="1" si="12"/>
        <v>5.0799999999999998E-2</v>
      </c>
      <c r="S88" t="str">
        <f t="shared" ca="1" si="10"/>
        <v>{MDL,"MDL"},</v>
      </c>
    </row>
    <row r="89" spans="15:19" ht="15" thickBot="1" x14ac:dyDescent="0.25">
      <c r="O89" s="41" t="s">
        <v>8848</v>
      </c>
      <c r="P89" s="42" t="str">
        <f t="shared" ca="1" si="11"/>
        <v>MGAUSD</v>
      </c>
      <c r="Q89">
        <f t="shared" ca="1" si="12"/>
        <v>2.9999999999999997E-4</v>
      </c>
      <c r="S89" t="str">
        <f t="shared" ca="1" si="10"/>
        <v>{MGA,"MGA"},</v>
      </c>
    </row>
    <row r="90" spans="15:19" ht="15" thickBot="1" x14ac:dyDescent="0.25">
      <c r="O90" s="41" t="s">
        <v>8847</v>
      </c>
      <c r="P90" s="42" t="str">
        <f t="shared" ca="1" si="11"/>
        <v>MKDUSD</v>
      </c>
      <c r="Q90">
        <f t="shared" ca="1" si="12"/>
        <v>1.83E-2</v>
      </c>
      <c r="S90" t="str">
        <f t="shared" ca="1" si="10"/>
        <v>{MKD,"MKD"},</v>
      </c>
    </row>
    <row r="91" spans="15:19" ht="15" thickBot="1" x14ac:dyDescent="0.25">
      <c r="O91" s="41" t="s">
        <v>8859</v>
      </c>
      <c r="P91" s="42" t="str">
        <f t="shared" ca="1" si="11"/>
        <v>MMKUSD</v>
      </c>
      <c r="Q91">
        <f t="shared" ca="1" si="12"/>
        <v>8.0000000000000004E-4</v>
      </c>
      <c r="S91" t="str">
        <f t="shared" ca="1" si="10"/>
        <v>{MMK,"MMK"},</v>
      </c>
    </row>
    <row r="92" spans="15:19" ht="15" thickBot="1" x14ac:dyDescent="0.25">
      <c r="O92" s="41" t="s">
        <v>8856</v>
      </c>
      <c r="P92" s="42" t="str">
        <f t="shared" ca="1" si="11"/>
        <v>MNTUSD</v>
      </c>
      <c r="Q92">
        <f t="shared" ca="1" si="12"/>
        <v>5.0000000000000001E-4</v>
      </c>
      <c r="S92" t="str">
        <f t="shared" ca="1" si="10"/>
        <v>{MNT,"MNT"},</v>
      </c>
    </row>
    <row r="93" spans="15:19" ht="15" thickBot="1" x14ac:dyDescent="0.25">
      <c r="O93" s="41" t="s">
        <v>8846</v>
      </c>
      <c r="P93" s="42" t="str">
        <f t="shared" ca="1" si="11"/>
        <v>MOPUSD</v>
      </c>
      <c r="Q93">
        <f t="shared" ca="1" si="12"/>
        <v>0.12520000000000001</v>
      </c>
      <c r="S93" t="str">
        <f t="shared" ca="1" si="10"/>
        <v>{MOP,"MOP"},</v>
      </c>
    </row>
    <row r="94" spans="15:19" ht="15" thickBot="1" x14ac:dyDescent="0.25">
      <c r="O94" s="41" t="s">
        <v>8852</v>
      </c>
      <c r="P94" s="42" t="str">
        <f t="shared" ca="1" si="11"/>
        <v>MROUSD</v>
      </c>
      <c r="Q94">
        <f t="shared" ca="1" si="12"/>
        <v>2.8999999999999998E-3</v>
      </c>
      <c r="S94" t="str">
        <f t="shared" ca="1" si="10"/>
        <v>{MRO,"MRO"},</v>
      </c>
    </row>
    <row r="95" spans="15:19" ht="15" thickBot="1" x14ac:dyDescent="0.25">
      <c r="O95" s="41" t="s">
        <v>8853</v>
      </c>
      <c r="P95" s="42" t="str">
        <f t="shared" ca="1" si="11"/>
        <v>MURUSD</v>
      </c>
      <c r="Q95">
        <f t="shared" ca="1" si="12"/>
        <v>2.8299999999999999E-2</v>
      </c>
      <c r="S95" t="str">
        <f t="shared" ca="1" si="10"/>
        <v>{MUR,"MUR"},</v>
      </c>
    </row>
    <row r="96" spans="15:19" ht="15" thickBot="1" x14ac:dyDescent="0.25">
      <c r="O96" s="41" t="s">
        <v>8851</v>
      </c>
      <c r="P96" s="42" t="str">
        <f t="shared" ca="1" si="11"/>
        <v>MVRUSD</v>
      </c>
      <c r="Q96">
        <f t="shared" ca="1" si="12"/>
        <v>6.5100000000000005E-2</v>
      </c>
      <c r="S96" t="str">
        <f t="shared" ca="1" si="10"/>
        <v>{MVR,"MVR"},</v>
      </c>
    </row>
    <row r="97" spans="15:19" ht="15" thickBot="1" x14ac:dyDescent="0.25">
      <c r="O97" s="41" t="s">
        <v>8849</v>
      </c>
      <c r="P97" s="42" t="str">
        <f t="shared" ca="1" si="11"/>
        <v>MWKUSD</v>
      </c>
      <c r="Q97">
        <f t="shared" ca="1" si="12"/>
        <v>1.5E-3</v>
      </c>
      <c r="S97" t="str">
        <f t="shared" ca="1" si="10"/>
        <v>{MWK,"MWK"},</v>
      </c>
    </row>
    <row r="98" spans="15:19" ht="15" thickBot="1" x14ac:dyDescent="0.25">
      <c r="O98" s="41" t="s">
        <v>8854</v>
      </c>
      <c r="P98" s="42" t="str">
        <f t="shared" ca="1" si="11"/>
        <v>MXNUSD</v>
      </c>
      <c r="Q98">
        <f t="shared" ca="1" si="12"/>
        <v>5.7500000000000002E-2</v>
      </c>
      <c r="S98" t="str">
        <f t="shared" ca="1" si="10"/>
        <v>{MXN,"MXN"},</v>
      </c>
    </row>
    <row r="99" spans="15:19" ht="15" thickBot="1" x14ac:dyDescent="0.25">
      <c r="O99" s="41" t="s">
        <v>8850</v>
      </c>
      <c r="P99" s="42" t="str">
        <f t="shared" ca="1" si="11"/>
        <v>MYRUSD</v>
      </c>
      <c r="Q99">
        <f t="shared" ca="1" si="12"/>
        <v>0.24690000000000001</v>
      </c>
      <c r="S99" t="str">
        <f t="shared" ca="1" si="10"/>
        <v>{MYR,"MYR"},</v>
      </c>
    </row>
    <row r="100" spans="15:19" ht="15" thickBot="1" x14ac:dyDescent="0.25">
      <c r="O100" s="41" t="s">
        <v>8858</v>
      </c>
      <c r="P100" s="42" t="str">
        <f t="shared" ca="1" si="11"/>
        <v>MZNUSD</v>
      </c>
      <c r="Q100">
        <f t="shared" ca="1" si="12"/>
        <v>1.9599999999999999E-2</v>
      </c>
      <c r="S100" t="str">
        <f t="shared" ca="1" si="10"/>
        <v>{MZN,"MZN"},</v>
      </c>
    </row>
    <row r="101" spans="15:19" ht="15" thickBot="1" x14ac:dyDescent="0.25">
      <c r="O101" s="41" t="s">
        <v>8860</v>
      </c>
      <c r="P101" s="42" t="str">
        <f t="shared" ca="1" si="11"/>
        <v>NADUSD</v>
      </c>
      <c r="Q101">
        <f t="shared" ca="1" si="12"/>
        <v>6.5500000000000003E-2</v>
      </c>
      <c r="S101" t="str">
        <f t="shared" ca="1" si="10"/>
        <v>{NAD,"NAD"},</v>
      </c>
    </row>
    <row r="102" spans="15:19" ht="15" thickBot="1" x14ac:dyDescent="0.25">
      <c r="O102" s="41" t="s">
        <v>8863</v>
      </c>
      <c r="P102" s="42" t="str">
        <f t="shared" ca="1" si="11"/>
        <v>NGNUSD</v>
      </c>
      <c r="Q102">
        <f t="shared" ca="1" si="12"/>
        <v>5.0000000000000001E-3</v>
      </c>
      <c r="S102" t="str">
        <f t="shared" ca="1" si="10"/>
        <v>{NGN,"NGN"},</v>
      </c>
    </row>
    <row r="103" spans="15:19" ht="15" thickBot="1" x14ac:dyDescent="0.25">
      <c r="O103" s="41" t="s">
        <v>8862</v>
      </c>
      <c r="P103" s="42" t="str">
        <f t="shared" ca="1" si="11"/>
        <v>NIOUSD</v>
      </c>
      <c r="Q103">
        <f t="shared" ca="1" si="12"/>
        <v>3.5400000000000001E-2</v>
      </c>
      <c r="S103" t="str">
        <f t="shared" ca="1" si="10"/>
        <v>{NIO,"NIO"},</v>
      </c>
    </row>
    <row r="104" spans="15:19" ht="15" thickBot="1" x14ac:dyDescent="0.25">
      <c r="O104" s="41" t="s">
        <v>8865</v>
      </c>
      <c r="P104" s="42" t="str">
        <f t="shared" ca="1" si="11"/>
        <v>NOKUSD</v>
      </c>
      <c r="Q104">
        <f t="shared" ca="1" si="12"/>
        <v>0.1193</v>
      </c>
      <c r="S104" t="str">
        <f t="shared" ca="1" si="10"/>
        <v>{NOK,"NOK"},</v>
      </c>
    </row>
    <row r="105" spans="15:19" ht="15" thickBot="1" x14ac:dyDescent="0.25">
      <c r="O105" s="41" t="s">
        <v>8861</v>
      </c>
      <c r="P105" s="42" t="str">
        <f t="shared" ca="1" si="11"/>
        <v>NPRUSD</v>
      </c>
      <c r="Q105">
        <f t="shared" ca="1" si="12"/>
        <v>9.4000000000000004E-3</v>
      </c>
      <c r="S105" t="str">
        <f t="shared" ca="1" si="10"/>
        <v>{NPR,"NPR"},</v>
      </c>
    </row>
    <row r="106" spans="15:19" ht="15" thickBot="1" x14ac:dyDescent="0.25">
      <c r="O106" s="41" t="s">
        <v>8798</v>
      </c>
      <c r="P106" s="42" t="str">
        <f t="shared" ca="1" si="11"/>
        <v>NZDUSD</v>
      </c>
      <c r="Q106">
        <f t="shared" ca="1" si="12"/>
        <v>0.68069999999999997</v>
      </c>
      <c r="S106" t="str">
        <f t="shared" ca="1" si="10"/>
        <v>{NZD,"NZD"},</v>
      </c>
    </row>
    <row r="107" spans="15:19" ht="15" thickBot="1" x14ac:dyDescent="0.25">
      <c r="O107" s="41" t="s">
        <v>8866</v>
      </c>
      <c r="P107" s="42" t="str">
        <f t="shared" ca="1" si="11"/>
        <v>OMRUSD</v>
      </c>
      <c r="Q107">
        <f t="shared" ca="1" si="12"/>
        <v>2.5971000000000002</v>
      </c>
      <c r="S107" t="str">
        <f t="shared" ca="1" si="10"/>
        <v>{OMR,"OMR"},</v>
      </c>
    </row>
    <row r="108" spans="15:19" ht="15" thickBot="1" x14ac:dyDescent="0.25">
      <c r="O108" s="41" t="s">
        <v>8868</v>
      </c>
      <c r="P108" s="42" t="str">
        <f t="shared" ca="1" si="11"/>
        <v>PABUSD</v>
      </c>
      <c r="Q108">
        <f t="shared" ca="1" si="12"/>
        <v>0.99990000000000001</v>
      </c>
      <c r="S108" t="str">
        <f t="shared" ca="1" si="10"/>
        <v>{PAB,"PAB"},</v>
      </c>
    </row>
    <row r="109" spans="15:19" ht="15" thickBot="1" x14ac:dyDescent="0.25">
      <c r="O109" s="41" t="s">
        <v>8871</v>
      </c>
      <c r="P109" s="42" t="str">
        <f t="shared" ca="1" si="11"/>
        <v>PENUSD</v>
      </c>
      <c r="Q109">
        <f t="shared" ref="Q109:Q140" ca="1" si="13">YahooCurrencyConverter(O109, "USD")</f>
        <v>0.29609999999999997</v>
      </c>
      <c r="S109" t="str">
        <f t="shared" ca="1" si="10"/>
        <v>{PEN,"PEN"},</v>
      </c>
    </row>
    <row r="110" spans="15:19" ht="15" thickBot="1" x14ac:dyDescent="0.25">
      <c r="O110" s="41" t="s">
        <v>8869</v>
      </c>
      <c r="P110" s="42" t="str">
        <f t="shared" ca="1" si="11"/>
        <v>PGKUSD</v>
      </c>
      <c r="Q110">
        <f t="shared" ca="1" si="13"/>
        <v>0.32650000000000001</v>
      </c>
      <c r="S110" t="str">
        <f t="shared" ca="1" si="10"/>
        <v>{PGK,"PGK"},</v>
      </c>
    </row>
    <row r="111" spans="15:19" ht="15" thickBot="1" x14ac:dyDescent="0.25">
      <c r="O111" s="41" t="s">
        <v>8872</v>
      </c>
      <c r="P111" s="42" t="str">
        <f t="shared" ca="1" si="11"/>
        <v>PHPUSD</v>
      </c>
      <c r="Q111">
        <f t="shared" ca="1" si="13"/>
        <v>2.1499999999999998E-2</v>
      </c>
      <c r="S111" t="str">
        <f t="shared" ca="1" si="10"/>
        <v>{PHP,"PHP"},</v>
      </c>
    </row>
    <row r="112" spans="15:19" ht="15" thickBot="1" x14ac:dyDescent="0.25">
      <c r="O112" s="41" t="s">
        <v>8867</v>
      </c>
      <c r="P112" s="42" t="str">
        <f t="shared" ca="1" si="11"/>
        <v>PKRUSD</v>
      </c>
      <c r="Q112">
        <f t="shared" ca="1" si="13"/>
        <v>9.5999999999999992E-3</v>
      </c>
      <c r="S112" t="str">
        <f t="shared" ca="1" si="10"/>
        <v>{PKR,"PKR"},</v>
      </c>
    </row>
    <row r="113" spans="15:19" ht="15" thickBot="1" x14ac:dyDescent="0.25">
      <c r="O113" s="41" t="s">
        <v>8873</v>
      </c>
      <c r="P113" s="42" t="str">
        <f t="shared" ca="1" si="11"/>
        <v>PLNUSD</v>
      </c>
      <c r="Q113">
        <f t="shared" ca="1" si="13"/>
        <v>0.26429999999999998</v>
      </c>
      <c r="S113" t="str">
        <f t="shared" ca="1" si="10"/>
        <v>{PLN,"PLN"},</v>
      </c>
    </row>
    <row r="114" spans="15:19" ht="15" thickBot="1" x14ac:dyDescent="0.25">
      <c r="O114" s="41" t="s">
        <v>8870</v>
      </c>
      <c r="P114" s="42" t="str">
        <f t="shared" ca="1" si="11"/>
        <v>PYGUSD</v>
      </c>
      <c r="Q114">
        <f t="shared" ca="1" si="13"/>
        <v>2.0000000000000001E-4</v>
      </c>
      <c r="S114" t="str">
        <f t="shared" ca="1" si="10"/>
        <v>{PYG,"PYG"},</v>
      </c>
    </row>
    <row r="115" spans="15:19" ht="15" thickBot="1" x14ac:dyDescent="0.25">
      <c r="O115" s="41" t="s">
        <v>8874</v>
      </c>
      <c r="P115" s="42" t="str">
        <f t="shared" ca="1" si="11"/>
        <v>QARUSD</v>
      </c>
      <c r="Q115">
        <f t="shared" ca="1" si="13"/>
        <v>0.27460000000000001</v>
      </c>
      <c r="S115" t="str">
        <f t="shared" ca="1" si="10"/>
        <v>{QAR,"QAR"},</v>
      </c>
    </row>
    <row r="116" spans="15:19" ht="15" thickBot="1" x14ac:dyDescent="0.25">
      <c r="O116" s="41" t="s">
        <v>8875</v>
      </c>
      <c r="P116" s="42" t="str">
        <f t="shared" ca="1" si="11"/>
        <v>RONUSD</v>
      </c>
      <c r="Q116">
        <f t="shared" ca="1" si="13"/>
        <v>0.25190000000000001</v>
      </c>
      <c r="S116" t="str">
        <f t="shared" ca="1" si="10"/>
        <v>{RON,"RON"},</v>
      </c>
    </row>
    <row r="117" spans="15:19" ht="15" thickBot="1" x14ac:dyDescent="0.25">
      <c r="O117" s="41" t="s">
        <v>8880</v>
      </c>
      <c r="P117" s="42" t="str">
        <f t="shared" ca="1" si="11"/>
        <v>RSDUSD</v>
      </c>
      <c r="Q117">
        <f t="shared" ca="1" si="13"/>
        <v>9.1999999999999998E-3</v>
      </c>
      <c r="S117" t="str">
        <f t="shared" ca="1" si="10"/>
        <v>{RSD,"RSD"},</v>
      </c>
    </row>
    <row r="118" spans="15:19" ht="15" thickBot="1" x14ac:dyDescent="0.25">
      <c r="O118" s="41" t="s">
        <v>8757</v>
      </c>
      <c r="P118" s="42" t="str">
        <f t="shared" ca="1" si="11"/>
        <v>RUBUSD</v>
      </c>
      <c r="Q118">
        <f t="shared" ca="1" si="13"/>
        <v>1.4800000000000001E-2</v>
      </c>
      <c r="S118" t="str">
        <f t="shared" ca="1" si="10"/>
        <v>{RUB,"RUB"},</v>
      </c>
    </row>
    <row r="119" spans="15:19" ht="15" thickBot="1" x14ac:dyDescent="0.25">
      <c r="O119" s="41" t="s">
        <v>8876</v>
      </c>
      <c r="P119" s="42" t="str">
        <f t="shared" ca="1" si="11"/>
        <v>RWFUSD</v>
      </c>
      <c r="Q119">
        <f t="shared" ca="1" si="13"/>
        <v>1.2999999999999999E-3</v>
      </c>
      <c r="S119" t="str">
        <f t="shared" ca="1" si="10"/>
        <v>{RWF,"RWF"},</v>
      </c>
    </row>
    <row r="120" spans="15:19" ht="15" thickBot="1" x14ac:dyDescent="0.25">
      <c r="O120" s="41" t="s">
        <v>8879</v>
      </c>
      <c r="P120" s="42" t="str">
        <f t="shared" ca="1" si="11"/>
        <v>SARUSD</v>
      </c>
      <c r="Q120">
        <f t="shared" ca="1" si="13"/>
        <v>0.26669999999999999</v>
      </c>
      <c r="S120" t="str">
        <f t="shared" ca="1" si="10"/>
        <v>{SAR,"SAR"},</v>
      </c>
    </row>
    <row r="121" spans="15:19" ht="15" thickBot="1" x14ac:dyDescent="0.25">
      <c r="O121" s="41" t="s">
        <v>8883</v>
      </c>
      <c r="P121" s="42" t="str">
        <f t="shared" ca="1" si="11"/>
        <v>SBDUSD</v>
      </c>
      <c r="Q121">
        <f t="shared" ca="1" si="13"/>
        <v>0.12709999999999999</v>
      </c>
      <c r="S121" t="str">
        <f t="shared" ca="1" si="10"/>
        <v>{SBD,"SBD"},</v>
      </c>
    </row>
    <row r="122" spans="15:19" ht="15" thickBot="1" x14ac:dyDescent="0.25">
      <c r="O122" s="41" t="s">
        <v>8881</v>
      </c>
      <c r="P122" s="42" t="str">
        <f t="shared" ca="1" si="11"/>
        <v>SCRUSD</v>
      </c>
      <c r="Q122">
        <f t="shared" ca="1" si="13"/>
        <v>7.5499999999999998E-2</v>
      </c>
      <c r="S122" t="str">
        <f t="shared" ca="1" si="10"/>
        <v>{SCR,"SCR"},</v>
      </c>
    </row>
    <row r="123" spans="15:19" ht="15" thickBot="1" x14ac:dyDescent="0.25">
      <c r="O123" s="41" t="s">
        <v>8887</v>
      </c>
      <c r="P123" s="42" t="str">
        <f t="shared" ca="1" si="11"/>
        <v>SDGUSD</v>
      </c>
      <c r="Q123">
        <f t="shared" ca="1" si="13"/>
        <v>0.16400000000000001</v>
      </c>
      <c r="S123" t="str">
        <f t="shared" ca="1" si="10"/>
        <v>{SDG,"SDG"},</v>
      </c>
    </row>
    <row r="124" spans="15:19" ht="15" thickBot="1" x14ac:dyDescent="0.25">
      <c r="O124" s="41" t="s">
        <v>8890</v>
      </c>
      <c r="P124" s="42" t="str">
        <f t="shared" ca="1" si="11"/>
        <v>SEKUSD</v>
      </c>
      <c r="Q124">
        <f t="shared" ca="1" si="13"/>
        <v>0.1215</v>
      </c>
      <c r="S124" t="str">
        <f t="shared" ca="1" si="10"/>
        <v>{SEK,"SEK"},</v>
      </c>
    </row>
    <row r="125" spans="15:19" ht="15" thickBot="1" x14ac:dyDescent="0.25">
      <c r="O125" s="41" t="s">
        <v>8785</v>
      </c>
      <c r="P125" s="42" t="str">
        <f t="shared" ca="1" si="11"/>
        <v>SGDUSD</v>
      </c>
      <c r="Q125">
        <f t="shared" ca="1" si="13"/>
        <v>0.73580000000000001</v>
      </c>
      <c r="S125" t="str">
        <f t="shared" ca="1" si="10"/>
        <v>{SGD,"SGD"},</v>
      </c>
    </row>
    <row r="126" spans="15:19" ht="15" thickBot="1" x14ac:dyDescent="0.25">
      <c r="O126" s="41" t="s">
        <v>8767</v>
      </c>
      <c r="P126" s="42" t="str">
        <f t="shared" ca="1" si="11"/>
        <v>SHPUSD</v>
      </c>
      <c r="Q126">
        <f t="shared" ca="1" si="13"/>
        <v>1.4253</v>
      </c>
      <c r="S126" t="str">
        <f t="shared" ca="1" si="10"/>
        <v>{SHP,"SHP"},</v>
      </c>
    </row>
    <row r="127" spans="15:19" ht="15" thickBot="1" x14ac:dyDescent="0.25">
      <c r="O127" s="41" t="s">
        <v>8882</v>
      </c>
      <c r="P127" s="42" t="str">
        <f t="shared" ca="1" si="11"/>
        <v>SLLUSD</v>
      </c>
      <c r="Q127">
        <f t="shared" ca="1" si="13"/>
        <v>2.0000000000000001E-4</v>
      </c>
      <c r="S127" t="str">
        <f t="shared" ca="1" si="10"/>
        <v>{SLL,"SLL"},</v>
      </c>
    </row>
    <row r="128" spans="15:19" ht="15" thickBot="1" x14ac:dyDescent="0.25">
      <c r="O128" s="41" t="s">
        <v>8884</v>
      </c>
      <c r="P128" s="42" t="str">
        <f t="shared" ca="1" si="11"/>
        <v>SOSUSD</v>
      </c>
      <c r="Q128">
        <f t="shared" ca="1" si="13"/>
        <v>1.6000000000000001E-3</v>
      </c>
      <c r="S128" t="str">
        <f t="shared" ca="1" si="10"/>
        <v>{SOS,"SOS"},</v>
      </c>
    </row>
    <row r="129" spans="15:19" ht="15" thickBot="1" x14ac:dyDescent="0.25">
      <c r="O129" s="41" t="s">
        <v>8888</v>
      </c>
      <c r="P129" s="42" t="str">
        <f t="shared" ca="1" si="11"/>
        <v>SRDUSD</v>
      </c>
      <c r="Q129">
        <f t="shared" ca="1" si="13"/>
        <v>0.25</v>
      </c>
      <c r="S129" t="str">
        <f t="shared" ca="1" si="10"/>
        <v>{SRD,"SRD"},</v>
      </c>
    </row>
    <row r="130" spans="15:19" ht="15" thickBot="1" x14ac:dyDescent="0.25">
      <c r="O130" s="41" t="s">
        <v>8891</v>
      </c>
      <c r="P130" s="42" t="str">
        <f t="shared" ca="1" si="11"/>
        <v>SYPUSD</v>
      </c>
      <c r="Q130">
        <f t="shared" ca="1" si="13"/>
        <v>4.4999999999999997E-3</v>
      </c>
      <c r="S130" t="str">
        <f t="shared" ca="1" si="10"/>
        <v>{SYP,"SYP"},</v>
      </c>
    </row>
    <row r="131" spans="15:19" ht="15" thickBot="1" x14ac:dyDescent="0.25">
      <c r="O131" s="41" t="s">
        <v>8889</v>
      </c>
      <c r="P131" s="42" t="str">
        <f t="shared" ca="1" si="11"/>
        <v>SZLUSD</v>
      </c>
      <c r="Q131">
        <f t="shared" ca="1" si="13"/>
        <v>6.5500000000000003E-2</v>
      </c>
      <c r="S131" t="str">
        <f t="shared" ca="1" si="10"/>
        <v>{SZL,"SZL"},</v>
      </c>
    </row>
    <row r="132" spans="15:19" ht="15" thickBot="1" x14ac:dyDescent="0.25">
      <c r="O132" s="41" t="s">
        <v>8895</v>
      </c>
      <c r="P132" s="42" t="str">
        <f t="shared" ca="1" si="11"/>
        <v>THBUSD</v>
      </c>
      <c r="Q132">
        <f t="shared" ca="1" si="13"/>
        <v>2.87E-2</v>
      </c>
      <c r="S132" t="str">
        <f t="shared" ca="1" si="10"/>
        <v>{THB,"THB"},</v>
      </c>
    </row>
    <row r="133" spans="15:19" ht="15" thickBot="1" x14ac:dyDescent="0.25">
      <c r="O133" s="41" t="s">
        <v>8893</v>
      </c>
      <c r="P133" s="42" t="str">
        <f t="shared" ca="1" si="11"/>
        <v>TJSUSD</v>
      </c>
      <c r="Q133">
        <f t="shared" ca="1" si="13"/>
        <v>0.12709999999999999</v>
      </c>
      <c r="S133" t="str">
        <f t="shared" ca="1" si="10"/>
        <v>{TJS,"TJS"},</v>
      </c>
    </row>
    <row r="134" spans="15:19" ht="15" thickBot="1" x14ac:dyDescent="0.25">
      <c r="O134" s="41" t="s">
        <v>8899</v>
      </c>
      <c r="P134" s="42" t="str">
        <f t="shared" ca="1" si="11"/>
        <v>TMTUSD</v>
      </c>
      <c r="Q134">
        <f t="shared" ca="1" si="13"/>
        <v>0.28570000000000001</v>
      </c>
      <c r="S134" t="str">
        <f t="shared" ca="1" si="10"/>
        <v>{TMT,"TMT"},</v>
      </c>
    </row>
    <row r="135" spans="15:19" ht="15" thickBot="1" x14ac:dyDescent="0.25">
      <c r="O135" s="41" t="s">
        <v>8898</v>
      </c>
      <c r="P135" s="42" t="str">
        <f t="shared" ca="1" si="11"/>
        <v>TNDUSD</v>
      </c>
      <c r="Q135">
        <f t="shared" ca="1" si="13"/>
        <v>0.49980000000000002</v>
      </c>
      <c r="S135" t="str">
        <f t="shared" ref="S135:S155" ca="1" si="14">"{"&amp;O135&amp;","""&amp;O135&amp;""""&amp;"},"</f>
        <v>{TND,"TND"},</v>
      </c>
    </row>
    <row r="136" spans="15:19" ht="15" thickBot="1" x14ac:dyDescent="0.25">
      <c r="O136" s="41" t="s">
        <v>8896</v>
      </c>
      <c r="P136" s="42" t="str">
        <f t="shared" ref="P136:P155" ca="1" si="15">O136&amp;"USD"</f>
        <v>TOPUSD</v>
      </c>
      <c r="Q136">
        <f t="shared" ca="1" si="13"/>
        <v>0.45469999999999999</v>
      </c>
      <c r="S136" t="str">
        <f t="shared" ca="1" si="14"/>
        <v>{TOP,"TOP"},</v>
      </c>
    </row>
    <row r="137" spans="15:19" ht="15" thickBot="1" x14ac:dyDescent="0.25">
      <c r="O137" s="41" t="s">
        <v>8864</v>
      </c>
      <c r="P137" s="42" t="str">
        <f t="shared" ca="1" si="15"/>
        <v>TRYUSD</v>
      </c>
      <c r="Q137">
        <f t="shared" ca="1" si="13"/>
        <v>0.34870000000000001</v>
      </c>
      <c r="S137" t="str">
        <f t="shared" ca="1" si="14"/>
        <v>{TRY,"TRY"},</v>
      </c>
    </row>
    <row r="138" spans="15:19" ht="15" thickBot="1" x14ac:dyDescent="0.25">
      <c r="O138" s="41" t="s">
        <v>8897</v>
      </c>
      <c r="P138" s="42" t="str">
        <f t="shared" ca="1" si="15"/>
        <v>TTDUSD</v>
      </c>
      <c r="Q138">
        <f t="shared" ca="1" si="13"/>
        <v>0.152</v>
      </c>
      <c r="S138" t="str">
        <f t="shared" ca="1" si="14"/>
        <v>{TTD,"TTD"},</v>
      </c>
    </row>
    <row r="139" spans="15:19" ht="15" thickBot="1" x14ac:dyDescent="0.25">
      <c r="O139" s="41" t="s">
        <v>8892</v>
      </c>
      <c r="P139" s="42" t="str">
        <f t="shared" ca="1" si="15"/>
        <v>TWDUSD</v>
      </c>
      <c r="Q139">
        <f t="shared" ca="1" si="13"/>
        <v>3.09E-2</v>
      </c>
      <c r="S139" t="str">
        <f t="shared" ca="1" si="14"/>
        <v>{TWD,"TWD"},</v>
      </c>
    </row>
    <row r="140" spans="15:19" ht="15" thickBot="1" x14ac:dyDescent="0.25">
      <c r="O140" s="41" t="s">
        <v>8894</v>
      </c>
      <c r="P140" s="42" t="str">
        <f t="shared" ca="1" si="15"/>
        <v>TZSUSD</v>
      </c>
      <c r="Q140">
        <f t="shared" ca="1" si="13"/>
        <v>5.0000000000000001E-4</v>
      </c>
      <c r="S140" t="str">
        <f t="shared" ca="1" si="14"/>
        <v>{TZS,"TZS"},</v>
      </c>
    </row>
    <row r="141" spans="15:19" ht="15" thickBot="1" x14ac:dyDescent="0.25">
      <c r="O141" s="41" t="s">
        <v>8901</v>
      </c>
      <c r="P141" s="42" t="str">
        <f t="shared" ca="1" si="15"/>
        <v>UAHUSD</v>
      </c>
      <c r="Q141">
        <f t="shared" ref="Q141:Q155" ca="1" si="16">YahooCurrencyConverter(O141, "USD")</f>
        <v>3.7600000000000001E-2</v>
      </c>
      <c r="S141" t="str">
        <f t="shared" ca="1" si="14"/>
        <v>{UAH,"UAH"},</v>
      </c>
    </row>
    <row r="142" spans="15:19" ht="15" thickBot="1" x14ac:dyDescent="0.25">
      <c r="O142" s="41" t="s">
        <v>8900</v>
      </c>
      <c r="P142" s="42" t="str">
        <f t="shared" ca="1" si="15"/>
        <v>UGXUSD</v>
      </c>
      <c r="Q142">
        <f t="shared" ca="1" si="16"/>
        <v>2.9999999999999997E-4</v>
      </c>
      <c r="S142" t="str">
        <f t="shared" ca="1" si="14"/>
        <v>{UGX,"UGX"},</v>
      </c>
    </row>
    <row r="143" spans="15:19" ht="15" thickBot="1" x14ac:dyDescent="0.25">
      <c r="O143" s="41" t="s">
        <v>8753</v>
      </c>
      <c r="P143" s="42" t="str">
        <f t="shared" ca="1" si="15"/>
        <v>USDUSD</v>
      </c>
      <c r="Q143">
        <f t="shared" ca="1" si="16"/>
        <v>1</v>
      </c>
      <c r="S143" t="str">
        <f t="shared" ca="1" si="14"/>
        <v>{USD,"USD"},</v>
      </c>
    </row>
    <row r="144" spans="15:19" ht="15" thickBot="1" x14ac:dyDescent="0.25">
      <c r="O144" s="41" t="s">
        <v>8903</v>
      </c>
      <c r="P144" s="42" t="str">
        <f t="shared" ca="1" si="15"/>
        <v>UYUUSD</v>
      </c>
      <c r="Q144">
        <f t="shared" ca="1" si="16"/>
        <v>3.1099999999999999E-2</v>
      </c>
      <c r="S144" t="str">
        <f t="shared" ca="1" si="14"/>
        <v>{UYU,"UYU"},</v>
      </c>
    </row>
    <row r="145" spans="15:19" ht="15" thickBot="1" x14ac:dyDescent="0.25">
      <c r="O145" s="41" t="s">
        <v>8904</v>
      </c>
      <c r="P145" s="42" t="str">
        <f t="shared" ca="1" si="15"/>
        <v>UZSUSD</v>
      </c>
      <c r="Q145">
        <f t="shared" ca="1" si="16"/>
        <v>4.0000000000000002E-4</v>
      </c>
      <c r="S145" t="str">
        <f t="shared" ca="1" si="14"/>
        <v>{UZS,"UZS"},</v>
      </c>
    </row>
    <row r="146" spans="15:19" ht="15" thickBot="1" x14ac:dyDescent="0.25">
      <c r="O146" s="41" t="s">
        <v>8906</v>
      </c>
      <c r="P146" s="42" t="str">
        <f t="shared" ca="1" si="15"/>
        <v>VEFUSD</v>
      </c>
      <c r="Q146">
        <f t="shared" ca="1" si="16"/>
        <v>0.1575</v>
      </c>
      <c r="S146" t="str">
        <f t="shared" ca="1" si="14"/>
        <v>{VEF,"VEF"},</v>
      </c>
    </row>
    <row r="147" spans="15:19" ht="15" thickBot="1" x14ac:dyDescent="0.25">
      <c r="O147" s="41" t="s">
        <v>8905</v>
      </c>
      <c r="P147" s="42" t="str">
        <f t="shared" ca="1" si="15"/>
        <v>VUVUSD</v>
      </c>
      <c r="Q147">
        <f t="shared" ca="1" si="16"/>
        <v>9.1999999999999998E-3</v>
      </c>
      <c r="S147" t="str">
        <f t="shared" ca="1" si="14"/>
        <v>{VUV,"VUV"},</v>
      </c>
    </row>
    <row r="148" spans="15:19" ht="15" thickBot="1" x14ac:dyDescent="0.25">
      <c r="O148" s="41" t="s">
        <v>8877</v>
      </c>
      <c r="P148" s="42" t="str">
        <f t="shared" ca="1" si="15"/>
        <v>WSTUSD</v>
      </c>
      <c r="Q148">
        <f t="shared" ca="1" si="16"/>
        <v>0.39229999999999998</v>
      </c>
      <c r="S148" t="str">
        <f t="shared" ca="1" si="14"/>
        <v>{WST,"WST"},</v>
      </c>
    </row>
    <row r="149" spans="15:19" ht="15" thickBot="1" x14ac:dyDescent="0.25">
      <c r="O149" s="41" t="s">
        <v>8789</v>
      </c>
      <c r="P149" s="42" t="str">
        <f t="shared" ca="1" si="15"/>
        <v>XAFUSD</v>
      </c>
      <c r="Q149">
        <f t="shared" ca="1" si="16"/>
        <v>1.6999999999999999E-3</v>
      </c>
      <c r="S149" t="str">
        <f t="shared" ca="1" si="14"/>
        <v>{XAF,"XAF"},</v>
      </c>
    </row>
    <row r="150" spans="15:19" ht="15" thickBot="1" x14ac:dyDescent="0.25">
      <c r="O150" s="41" t="s">
        <v>8763</v>
      </c>
      <c r="P150" s="42" t="str">
        <f t="shared" ca="1" si="15"/>
        <v>XCDUSD</v>
      </c>
      <c r="Q150">
        <f t="shared" ca="1" si="16"/>
        <v>0.37040000000000001</v>
      </c>
      <c r="S150" t="str">
        <f t="shared" ca="1" si="14"/>
        <v>{XCD,"XCD"},</v>
      </c>
    </row>
    <row r="151" spans="15:19" ht="15" thickBot="1" x14ac:dyDescent="0.25">
      <c r="O151" s="41" t="s">
        <v>8776</v>
      </c>
      <c r="P151" s="42" t="str">
        <f t="shared" ca="1" si="15"/>
        <v>XOFUSD</v>
      </c>
      <c r="Q151">
        <f t="shared" ca="1" si="16"/>
        <v>1.6999999999999999E-3</v>
      </c>
      <c r="S151" t="str">
        <f t="shared" ca="1" si="14"/>
        <v>{XOF,"XOF"},</v>
      </c>
    </row>
    <row r="152" spans="15:19" ht="15" thickBot="1" x14ac:dyDescent="0.25">
      <c r="O152" s="41" t="s">
        <v>8813</v>
      </c>
      <c r="P152" s="42" t="str">
        <f t="shared" ca="1" si="15"/>
        <v>XPFUSD</v>
      </c>
      <c r="Q152">
        <f t="shared" ca="1" si="16"/>
        <v>9.4000000000000004E-3</v>
      </c>
      <c r="S152" t="str">
        <f t="shared" ca="1" si="14"/>
        <v>{XPF,"XPF"},</v>
      </c>
    </row>
    <row r="153" spans="15:19" ht="15" thickBot="1" x14ac:dyDescent="0.25">
      <c r="O153" s="41" t="s">
        <v>8908</v>
      </c>
      <c r="P153" s="42" t="str">
        <f t="shared" ca="1" si="15"/>
        <v>YERUSD</v>
      </c>
      <c r="Q153">
        <f t="shared" ca="1" si="16"/>
        <v>4.7000000000000002E-3</v>
      </c>
      <c r="S153" t="str">
        <f t="shared" ca="1" si="14"/>
        <v>{YER,"YER"},</v>
      </c>
    </row>
    <row r="154" spans="15:19" ht="15" thickBot="1" x14ac:dyDescent="0.25">
      <c r="O154" s="41" t="s">
        <v>8842</v>
      </c>
      <c r="P154" s="42" t="str">
        <f t="shared" ca="1" si="15"/>
        <v>ZARUSD</v>
      </c>
      <c r="Q154">
        <f t="shared" ca="1" si="16"/>
        <v>6.5600000000000006E-2</v>
      </c>
      <c r="S154" t="str">
        <f t="shared" ca="1" si="14"/>
        <v>{ZAR,"ZAR"},</v>
      </c>
    </row>
    <row r="155" spans="15:19" ht="15" thickBot="1" x14ac:dyDescent="0.25">
      <c r="O155" s="41" t="s">
        <v>8909</v>
      </c>
      <c r="P155" s="42" t="str">
        <f t="shared" ca="1" si="15"/>
        <v>ZMWUSD</v>
      </c>
      <c r="Q155">
        <f t="shared" ca="1" si="16"/>
        <v>8.8300000000000003E-2</v>
      </c>
      <c r="S155" t="str">
        <f t="shared" ca="1" si="14"/>
        <v>{ZMW,"ZMW"},</v>
      </c>
    </row>
    <row r="162" spans="15:17" ht="13.5" thickBot="1" x14ac:dyDescent="0.25"/>
    <row r="163" spans="15:17" ht="15" thickBot="1" x14ac:dyDescent="0.25">
      <c r="O163" s="41" t="s">
        <v>8907</v>
      </c>
      <c r="P163" s="42"/>
      <c r="Q163">
        <f t="shared" ref="Q163:Q168" ca="1" si="17">YahooCurrencyConverter(O163, "USD")</f>
        <v>0</v>
      </c>
    </row>
    <row r="164" spans="15:17" ht="15" thickBot="1" x14ac:dyDescent="0.25">
      <c r="O164" s="41" t="s">
        <v>8885</v>
      </c>
      <c r="P164" s="42"/>
      <c r="Q164">
        <f t="shared" ca="1" si="17"/>
        <v>0</v>
      </c>
    </row>
    <row r="165" spans="15:17" ht="15" thickBot="1" x14ac:dyDescent="0.25">
      <c r="O165" s="41" t="s">
        <v>8878</v>
      </c>
      <c r="P165" s="42"/>
      <c r="Q165">
        <f t="shared" ca="1" si="17"/>
        <v>0</v>
      </c>
    </row>
    <row r="166" spans="15:17" ht="15" thickBot="1" x14ac:dyDescent="0.25">
      <c r="O166" s="41" t="s">
        <v>8827</v>
      </c>
      <c r="P166" s="42"/>
      <c r="Q166">
        <f t="shared" ca="1" si="17"/>
        <v>0</v>
      </c>
    </row>
    <row r="167" spans="15:17" ht="15" thickBot="1" x14ac:dyDescent="0.25">
      <c r="O167" s="41" t="s">
        <v>8801</v>
      </c>
      <c r="P167" s="42"/>
      <c r="Q167">
        <f t="shared" ca="1" si="17"/>
        <v>0</v>
      </c>
    </row>
    <row r="168" spans="15:17" ht="15" thickBot="1" x14ac:dyDescent="0.25">
      <c r="O168" s="41" t="s">
        <v>8774</v>
      </c>
      <c r="P168" s="42"/>
      <c r="Q168">
        <f t="shared" ca="1" si="17"/>
        <v>0</v>
      </c>
    </row>
  </sheetData>
  <sortState ref="O6:Q256">
    <sortCondition ref="O6:O256"/>
  </sortState>
  <phoneticPr fontId="0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J24"/>
  <sheetViews>
    <sheetView workbookViewId="0">
      <selection activeCell="E6" sqref="E6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aca="1" ref="E4:E7" ca="1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f ca="1"/>
        <v>6</v>
      </c>
      <c r="J5" s="13" t="s">
        <v>103</v>
      </c>
    </row>
    <row r="6" spans="2:10" x14ac:dyDescent="0.2">
      <c r="B6">
        <v>4</v>
      </c>
      <c r="C6">
        <v>6</v>
      </c>
      <c r="E6">
        <f ca="1"/>
        <v>8</v>
      </c>
      <c r="J6" s="13" t="s">
        <v>104</v>
      </c>
    </row>
    <row r="7" spans="2:10" x14ac:dyDescent="0.2">
      <c r="B7">
        <v>7</v>
      </c>
      <c r="C7">
        <v>7</v>
      </c>
      <c r="E7" t="e">
        <f ca="1"/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 ca="1">fre</f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AC296"/>
  <sheetViews>
    <sheetView topLeftCell="E18" workbookViewId="0">
      <selection activeCell="Q39" sqref="Q39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  <col min="27" max="27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5.6597834006417012</v>
      </c>
    </row>
    <row r="10" spans="2:17" x14ac:dyDescent="0.2">
      <c r="B10" s="13" t="s">
        <v>8743</v>
      </c>
      <c r="C10">
        <f ca="1">RAND()*2*PI()</f>
        <v>6.2363714906064223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0.99890443339175639</v>
      </c>
      <c r="H13" s="24">
        <v>0</v>
      </c>
      <c r="I13" s="24">
        <f ca="1">-SIN(C10)</f>
        <v>4.6796719439445696E-2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-3.7994121910244982E-2</v>
      </c>
      <c r="P13" s="36">
        <f ca="1"/>
        <v>-0.5838005314922079</v>
      </c>
      <c r="Q13" s="36">
        <f ca="1"/>
        <v>0.81100763629554384</v>
      </c>
    </row>
    <row r="14" spans="2:17" x14ac:dyDescent="0.2">
      <c r="C14" s="24">
        <v>0</v>
      </c>
      <c r="D14" s="24">
        <f ca="1">COS(C9)</f>
        <v>0.81189712367356959</v>
      </c>
      <c r="E14" s="24">
        <f ca="1">-SIN(C9)</f>
        <v>0.5838005314922079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-0.5838005314922079</v>
      </c>
      <c r="E15" s="24">
        <f ca="1">COS(C9)</f>
        <v>0.81189712367356959</v>
      </c>
      <c r="G15" s="24">
        <f ca="1">SIN(C10)</f>
        <v>-4.6796719439445696E-2</v>
      </c>
      <c r="H15" s="24">
        <v>0</v>
      </c>
      <c r="I15" s="24">
        <f ca="1">COS(C10)</f>
        <v>0.99890443339175639</v>
      </c>
    </row>
    <row r="20" spans="2:23" x14ac:dyDescent="0.2">
      <c r="B20" s="13" t="s">
        <v>8738</v>
      </c>
    </row>
    <row r="21" spans="2:23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3" x14ac:dyDescent="0.2">
      <c r="C22">
        <f ca="1">RAND()*2*PI()</f>
        <v>0.96552379701439317</v>
      </c>
      <c r="D22">
        <f ca="1">RAND()</f>
        <v>0.79783890899210774</v>
      </c>
      <c r="E22">
        <f ca="1">COS(C22)*D22</f>
        <v>0.45395933817527667</v>
      </c>
      <c r="F22">
        <f ca="1">SIN(C22)*D22</f>
        <v>0.65610048314658453</v>
      </c>
      <c r="G22">
        <v>0</v>
      </c>
      <c r="I22" s="25">
        <f t="array" aca="1" ref="I22:K22" ca="1">_xll.MatProd(E22:G22,$C$13:$E$15)</f>
        <v>0.45395933817527667</v>
      </c>
      <c r="J22" s="25">
        <f ca="1"/>
        <v>0.53268609510755127</v>
      </c>
      <c r="K22" s="25">
        <f ca="1"/>
        <v>0.38303181077327042</v>
      </c>
      <c r="L22" s="27">
        <f t="array" aca="1" ref="L22:N22" ca="1">_xll.MatProd(I22:K22,$G$13:$I$15)</f>
        <v>0.43553736329773191</v>
      </c>
      <c r="M22" s="28">
        <f ca="1"/>
        <v>0.53268609510755127</v>
      </c>
      <c r="N22" s="29">
        <f ca="1"/>
        <v>0.40385598169699705</v>
      </c>
      <c r="P22">
        <f ca="1">$O$13*L22+$P$13*M22+$Q$13*N22</f>
        <v>0</v>
      </c>
      <c r="R22">
        <f t="array" aca="1" ref="R22:R25" ca="1">_xll.MultiLinearRegression(R41:T53,U41:U53)</f>
        <v>0.26999999999916247</v>
      </c>
    </row>
    <row r="23" spans="2:23" x14ac:dyDescent="0.2">
      <c r="C23">
        <f t="shared" ref="C23:C37" ca="1" si="0">RAND()*2*PI()</f>
        <v>2.0429984228602627</v>
      </c>
      <c r="D23">
        <f t="shared" ref="D23:D37" ca="1" si="1">RAND()</f>
        <v>0.47304619738676312</v>
      </c>
      <c r="E23">
        <f t="shared" ref="E23:E37" ca="1" si="2">COS(C23)*D23</f>
        <v>-0.21516435555335151</v>
      </c>
      <c r="F23">
        <f t="shared" ref="F23:F37" ca="1" si="3">SIN(C23)*D23</f>
        <v>0.42128019768485131</v>
      </c>
      <c r="G23">
        <v>0</v>
      </c>
      <c r="I23" s="25">
        <f t="array" aca="1" ref="I23:K23" ca="1">_xll.MatProd(E23:G23,$C$13:$E$15)</f>
        <v>-0.21516435555335151</v>
      </c>
      <c r="J23" s="25">
        <f ca="1"/>
        <v>0.34203618076096359</v>
      </c>
      <c r="K23" s="25">
        <f ca="1"/>
        <v>0.24594360331555862</v>
      </c>
      <c r="L23" s="30">
        <f t="array" aca="1" ref="L23:N23" ca="1">_xll.MatProd(I23:K23,$G$13:$I$15)</f>
        <v>-0.22643798247240751</v>
      </c>
      <c r="M23" s="31">
        <f ca="1"/>
        <v>0.34203618076096359</v>
      </c>
      <c r="N23" s="32">
        <f ca="1"/>
        <v>0.23560516973605564</v>
      </c>
      <c r="P23">
        <f t="shared" ref="P23:P37" ca="1" si="4">$O$13*L23+$P$13*M23+$Q$13*N23</f>
        <v>0</v>
      </c>
      <c r="R23">
        <f ca="1"/>
        <v>-4.699999999990828</v>
      </c>
    </row>
    <row r="24" spans="2:23" x14ac:dyDescent="0.2">
      <c r="C24">
        <f t="shared" ca="1" si="0"/>
        <v>3.2384452373452692</v>
      </c>
      <c r="D24">
        <f t="shared" ca="1" si="1"/>
        <v>7.7805800447439788E-2</v>
      </c>
      <c r="E24">
        <f t="shared" ca="1" si="2"/>
        <v>-7.7441159962093553E-2</v>
      </c>
      <c r="F24">
        <f t="shared" ca="1" si="3"/>
        <v>-7.5239169979645507E-3</v>
      </c>
      <c r="G24">
        <v>0</v>
      </c>
      <c r="I24" s="25">
        <f t="array" aca="1" ref="I24:K24" ca="1">_xll.MatProd(E24:G24,$C$13:$E$15)</f>
        <v>-7.7441159962093553E-2</v>
      </c>
      <c r="J24" s="25">
        <f ca="1"/>
        <v>-6.1086465694060975E-3</v>
      </c>
      <c r="K24" s="25">
        <f ca="1"/>
        <v>-4.3924667423149624E-3</v>
      </c>
      <c r="L24" s="30">
        <f t="array" aca="1" ref="L24:N24" ca="1">_xll.MatProd(I24:K24,$G$13:$I$15)</f>
        <v>-7.7150764979348224E-2</v>
      </c>
      <c r="M24" s="31">
        <f ca="1"/>
        <v>-6.1086465694060975E-3</v>
      </c>
      <c r="N24" s="32">
        <f ca="1"/>
        <v>-8.011646738235588E-3</v>
      </c>
      <c r="P24">
        <f t="shared" ca="1" si="4"/>
        <v>0</v>
      </c>
      <c r="R24">
        <f ca="1"/>
        <v>4.3679337978514465E-13</v>
      </c>
    </row>
    <row r="25" spans="2:23" x14ac:dyDescent="0.2">
      <c r="C25">
        <f t="shared" ca="1" si="0"/>
        <v>2.4099889196319277</v>
      </c>
      <c r="D25">
        <f t="shared" ca="1" si="1"/>
        <v>0.39717614626846687</v>
      </c>
      <c r="E25">
        <f t="shared" ca="1" si="2"/>
        <v>-0.29554034446492777</v>
      </c>
      <c r="F25">
        <f t="shared" ca="1" si="3"/>
        <v>0.26533902079834093</v>
      </c>
      <c r="G25">
        <v>0</v>
      </c>
      <c r="I25" s="25">
        <f t="array" aca="1" ref="I25:K25" ca="1">_xll.MatProd(E25:G25,$C$13:$E$15)</f>
        <v>-0.29554034446492777</v>
      </c>
      <c r="J25" s="25">
        <f ca="1"/>
        <v>0.21542798778453445</v>
      </c>
      <c r="K25" s="25">
        <f ca="1"/>
        <v>0.15490506136769344</v>
      </c>
      <c r="L25" s="30">
        <f t="array" aca="1" ref="L25:N25" ca="1">_xll.MatProd(I25:K25,$G$13:$I$15)</f>
        <v>-0.30246560902871722</v>
      </c>
      <c r="M25" s="31">
        <f ca="1"/>
        <v>0.21542798778453445</v>
      </c>
      <c r="N25" s="32">
        <f ca="1"/>
        <v>0.1409050339720487</v>
      </c>
      <c r="P25">
        <f t="shared" ca="1" si="4"/>
        <v>0</v>
      </c>
      <c r="R25" t="e">
        <f ca="1"/>
        <v>#N/A</v>
      </c>
    </row>
    <row r="26" spans="2:23" x14ac:dyDescent="0.2">
      <c r="C26">
        <f t="shared" ca="1" si="0"/>
        <v>5.394916139984387</v>
      </c>
      <c r="D26">
        <f t="shared" ca="1" si="1"/>
        <v>0.82087850702356768</v>
      </c>
      <c r="E26">
        <f t="shared" ca="1" si="2"/>
        <v>0.51777409642761407</v>
      </c>
      <c r="F26">
        <f t="shared" ca="1" si="3"/>
        <v>-0.63698627015172726</v>
      </c>
      <c r="G26">
        <v>0</v>
      </c>
      <c r="I26" s="25">
        <f t="array" aca="1" ref="I26:K26" ca="1">_xll.MatProd(E26:G26,$C$13:$E$15)</f>
        <v>0.51777409642761407</v>
      </c>
      <c r="J26" s="25">
        <f ca="1"/>
        <v>-0.51716732055574277</v>
      </c>
      <c r="K26" s="25">
        <f ca="1"/>
        <v>-0.3718729230678175</v>
      </c>
      <c r="L26" s="30">
        <f t="array" aca="1" ref="L26:N26" ca="1">_xll.MatProd(I26:K26,$G$13:$I$15)</f>
        <v>0.53460927326488561</v>
      </c>
      <c r="M26" s="31">
        <f ca="1"/>
        <v>-0.51716732055574277</v>
      </c>
      <c r="N26" s="32">
        <f ca="1"/>
        <v>-0.34723538238725887</v>
      </c>
      <c r="P26">
        <f t="shared" ca="1" si="4"/>
        <v>0</v>
      </c>
    </row>
    <row r="27" spans="2:23" x14ac:dyDescent="0.2">
      <c r="C27">
        <f t="shared" ca="1" si="0"/>
        <v>2.9311775091773615</v>
      </c>
      <c r="D27">
        <f t="shared" ca="1" si="1"/>
        <v>0.67236214165483343</v>
      </c>
      <c r="E27">
        <f t="shared" ca="1" si="2"/>
        <v>-0.65753271689703807</v>
      </c>
      <c r="F27">
        <f t="shared" ca="1" si="3"/>
        <v>0.14043352783674537</v>
      </c>
      <c r="G27">
        <v>0</v>
      </c>
      <c r="I27" s="25">
        <f t="array" aca="1" ref="I27:K27" ca="1">_xll.MatProd(E27:G27,$C$13:$E$15)</f>
        <v>-0.65753271689703807</v>
      </c>
      <c r="J27" s="25">
        <f ca="1"/>
        <v>0.11401757731798573</v>
      </c>
      <c r="K27" s="25">
        <f ca="1"/>
        <v>8.198516819041772E-2</v>
      </c>
      <c r="L27" s="30">
        <f t="array" aca="1" ref="L27:N27" ca="1">_xll.MatProd(I27:K27,$G$13:$I$15)</f>
        <v>-0.66064898292258067</v>
      </c>
      <c r="M27" s="31">
        <f ca="1"/>
        <v>0.11401757731798573</v>
      </c>
      <c r="N27" s="32">
        <f ca="1"/>
        <v>5.1124973902889892E-2</v>
      </c>
      <c r="P27">
        <f t="shared" ca="1" si="4"/>
        <v>0</v>
      </c>
    </row>
    <row r="28" spans="2:23" x14ac:dyDescent="0.2">
      <c r="C28">
        <f t="shared" ca="1" si="0"/>
        <v>4.1142623398248759</v>
      </c>
      <c r="D28">
        <f t="shared" ca="1" si="1"/>
        <v>0.61464077459676514</v>
      </c>
      <c r="E28">
        <f t="shared" ca="1" si="2"/>
        <v>-0.34610135179119078</v>
      </c>
      <c r="F28">
        <f t="shared" ca="1" si="3"/>
        <v>-0.50793418479683161</v>
      </c>
      <c r="G28">
        <v>0</v>
      </c>
      <c r="I28" s="25">
        <f t="array" aca="1" ref="I28:K28" ca="1">_xll.MatProd(E28:G28,$C$13:$E$15)</f>
        <v>-0.34610135179119078</v>
      </c>
      <c r="J28" s="25">
        <f ca="1"/>
        <v>-0.41239030365202695</v>
      </c>
      <c r="K28" s="25">
        <f ca="1"/>
        <v>-0.29653224704745162</v>
      </c>
      <c r="L28" s="30">
        <f t="array" aca="1" ref="L28:N28" ca="1">_xll.MatProd(I28:K28,$G$13:$I$15)</f>
        <v>-0.33184543833727237</v>
      </c>
      <c r="M28" s="31">
        <f ca="1"/>
        <v>-0.41239030365202695</v>
      </c>
      <c r="N28" s="32">
        <f ca="1"/>
        <v>-0.31240378407670422</v>
      </c>
      <c r="P28">
        <f t="shared" ca="1" si="4"/>
        <v>0</v>
      </c>
      <c r="U28">
        <f ca="1">SQRT(p_a^2+p_b^2+p_c^2)</f>
        <v>4.8127850564927588</v>
      </c>
    </row>
    <row r="29" spans="2:23" x14ac:dyDescent="0.2">
      <c r="C29">
        <f t="shared" ca="1" si="0"/>
        <v>0.97627339391642376</v>
      </c>
      <c r="D29">
        <f t="shared" ca="1" si="1"/>
        <v>0.29380629220899412</v>
      </c>
      <c r="E29">
        <f t="shared" ca="1" si="2"/>
        <v>0.16456490247314101</v>
      </c>
      <c r="F29">
        <f t="shared" ca="1" si="3"/>
        <v>0.24339377604121765</v>
      </c>
      <c r="G29">
        <v>0</v>
      </c>
      <c r="I29" s="25">
        <f t="array" aca="1" ref="I29:K29" ca="1">_xll.MatProd(E29:G29,$C$13:$E$15)</f>
        <v>0.16456490247314101</v>
      </c>
      <c r="J29" s="25">
        <f ca="1"/>
        <v>0.19761070668791358</v>
      </c>
      <c r="K29" s="25">
        <f ca="1"/>
        <v>0.14209341581475829</v>
      </c>
      <c r="L29" s="30">
        <f t="array" aca="1" ref="L29:N29" ca="1">_xll.MatProd(I29:K29,$G$13:$I$15)</f>
        <v>0.15773510494702683</v>
      </c>
      <c r="M29" s="31">
        <f ca="1"/>
        <v>0.19761070668791358</v>
      </c>
      <c r="N29" s="32">
        <f ca="1"/>
        <v>0.14963884058375568</v>
      </c>
      <c r="P29">
        <f t="shared" ca="1" si="4"/>
        <v>0</v>
      </c>
    </row>
    <row r="30" spans="2:23" x14ac:dyDescent="0.2">
      <c r="C30">
        <f t="shared" ca="1" si="0"/>
        <v>3.3177740007576224</v>
      </c>
      <c r="D30">
        <f t="shared" ca="1" si="1"/>
        <v>0.77629205504142873</v>
      </c>
      <c r="E30">
        <f t="shared" ca="1" si="2"/>
        <v>-0.76427518573876452</v>
      </c>
      <c r="F30">
        <f t="shared" ca="1" si="3"/>
        <v>-0.13606173299065991</v>
      </c>
      <c r="G30">
        <v>0</v>
      </c>
      <c r="I30" s="25">
        <f t="array" aca="1" ref="I30:K30" ca="1">_xll.MatProd(E30:G30,$C$13:$E$15)</f>
        <v>-0.76427518573876452</v>
      </c>
      <c r="J30" s="25">
        <f ca="1"/>
        <v>-0.11046812965715801</v>
      </c>
      <c r="K30" s="25">
        <f ca="1"/>
        <v>-7.9432912035698133E-2</v>
      </c>
      <c r="L30" s="30">
        <f t="array" aca="1" ref="L30:N30" ca="1">_xll.MatProd(I30:K30,$G$13:$I$15)</f>
        <v>-0.75972067166696722</v>
      </c>
      <c r="M30" s="31">
        <f ca="1"/>
        <v>-0.11046812965715801</v>
      </c>
      <c r="N30" s="32">
        <f ca="1"/>
        <v>-0.11511145943122349</v>
      </c>
      <c r="P30">
        <f t="shared" ca="1" si="4"/>
        <v>0</v>
      </c>
      <c r="T30" s="13" t="s">
        <v>8747</v>
      </c>
      <c r="U30">
        <v>1</v>
      </c>
      <c r="W30">
        <f ca="1">p_a/U28</f>
        <v>0.20777990046551845</v>
      </c>
    </row>
    <row r="31" spans="2:23" x14ac:dyDescent="0.2">
      <c r="C31">
        <f t="shared" ca="1" si="0"/>
        <v>3.5430120815093287</v>
      </c>
      <c r="D31">
        <f t="shared" ca="1" si="1"/>
        <v>0.30148026771943059</v>
      </c>
      <c r="E31">
        <f t="shared" ca="1" si="2"/>
        <v>-0.27751479178065153</v>
      </c>
      <c r="F31">
        <f t="shared" ca="1" si="3"/>
        <v>-0.11779597687154339</v>
      </c>
      <c r="G31">
        <v>0</v>
      </c>
      <c r="I31" s="25">
        <f t="array" aca="1" ref="I31:K31" ca="1">_xll.MatProd(E31:G31,$C$13:$E$15)</f>
        <v>-0.27751479178065153</v>
      </c>
      <c r="J31" s="25">
        <f ca="1"/>
        <v>-9.5638214802324401E-2</v>
      </c>
      <c r="K31" s="25">
        <f ca="1"/>
        <v>-6.8769353905250866E-2</v>
      </c>
      <c r="L31" s="30">
        <f t="array" aca="1" ref="L31:N31" ca="1">_xll.MatProd(I31:K31,$G$13:$I$15)</f>
        <v>-0.27399257568074697</v>
      </c>
      <c r="M31" s="31">
        <f ca="1"/>
        <v>-9.5638214802324401E-2</v>
      </c>
      <c r="N31" s="32">
        <f ca="1"/>
        <v>-8.1680794348697128E-2</v>
      </c>
      <c r="P31">
        <f t="shared" ca="1" si="4"/>
        <v>0</v>
      </c>
      <c r="T31" s="13" t="s">
        <v>8748</v>
      </c>
      <c r="U31">
        <v>0.27</v>
      </c>
      <c r="W31">
        <f ca="1">p_b/U28</f>
        <v>5.6100573125689987E-2</v>
      </c>
    </row>
    <row r="32" spans="2:23" x14ac:dyDescent="0.2">
      <c r="C32">
        <f t="shared" ca="1" si="0"/>
        <v>2.8014186488057402</v>
      </c>
      <c r="D32">
        <f t="shared" ca="1" si="1"/>
        <v>0.96654289014891759</v>
      </c>
      <c r="E32">
        <f t="shared" ca="1" si="2"/>
        <v>-0.9111567184381385</v>
      </c>
      <c r="F32">
        <f t="shared" ca="1" si="3"/>
        <v>0.32248812837446506</v>
      </c>
      <c r="G32">
        <v>0</v>
      </c>
      <c r="I32" s="25">
        <f t="array" aca="1" ref="I32:K32" ca="1">_xll.MatProd(E32:G32,$C$13:$E$15)</f>
        <v>-0.9111567184381385</v>
      </c>
      <c r="J32" s="25">
        <f ca="1"/>
        <v>0.26182718384610104</v>
      </c>
      <c r="K32" s="25">
        <f ca="1"/>
        <v>0.18826874074494007</v>
      </c>
      <c r="L32" s="30">
        <f t="array" aca="1" ref="L32:N32" ca="1">_xll.MatProd(I32:K32,$G$13:$I$15)</f>
        <v>-0.91896884500239961</v>
      </c>
      <c r="M32" s="31">
        <f ca="1"/>
        <v>0.26182718384610104</v>
      </c>
      <c r="N32" s="32">
        <f ca="1"/>
        <v>0.14542333448108827</v>
      </c>
      <c r="P32">
        <f t="shared" ca="1" si="4"/>
        <v>0</v>
      </c>
      <c r="T32" s="13" t="s">
        <v>8749</v>
      </c>
      <c r="U32">
        <f ca="1">-4.7</f>
        <v>-4.7</v>
      </c>
      <c r="W32">
        <f ca="1">p_c/U28</f>
        <v>-0.97656553218793674</v>
      </c>
    </row>
    <row r="33" spans="3:29" x14ac:dyDescent="0.2">
      <c r="C33">
        <f t="shared" ca="1" si="0"/>
        <v>1.565997523510355E-3</v>
      </c>
      <c r="D33">
        <f t="shared" ca="1" si="1"/>
        <v>1.4813224785362955E-2</v>
      </c>
      <c r="E33">
        <f t="shared" ca="1" si="2"/>
        <v>1.4813206621773775E-2</v>
      </c>
      <c r="F33">
        <f t="shared" ca="1" si="3"/>
        <v>2.3197463847701265E-5</v>
      </c>
      <c r="G33">
        <v>0</v>
      </c>
      <c r="I33" s="25">
        <f t="array" aca="1" ref="I33:K33" ca="1">_xll.MatProd(E33:G33,$C$13:$E$15)</f>
        <v>1.4813206621773775E-2</v>
      </c>
      <c r="J33" s="25">
        <f ca="1"/>
        <v>1.8833954174470271E-5</v>
      </c>
      <c r="K33" s="25">
        <f ca="1"/>
        <v>1.3542691723559276E-5</v>
      </c>
      <c r="L33" s="30">
        <f t="array" aca="1" ref="L33:N33" ca="1">_xll.MatProd(I33:K33,$G$13:$I$15)</f>
        <v>1.4796344013692904E-2</v>
      </c>
      <c r="M33" s="31">
        <f ca="1"/>
        <v>1.8833954174470271E-5</v>
      </c>
      <c r="N33" s="32">
        <f ca="1"/>
        <v>7.0673732908040771E-4</v>
      </c>
      <c r="P33">
        <f t="shared" ca="1" si="4"/>
        <v>0</v>
      </c>
      <c r="T33" s="13" t="s">
        <v>8750</v>
      </c>
      <c r="U33">
        <v>0</v>
      </c>
    </row>
    <row r="34" spans="3:29" x14ac:dyDescent="0.2">
      <c r="C34">
        <f t="shared" ca="1" si="0"/>
        <v>4.9149476025072936</v>
      </c>
      <c r="D34">
        <f t="shared" ca="1" si="1"/>
        <v>7.9416546198023408E-3</v>
      </c>
      <c r="E34">
        <f t="shared" ca="1" si="2"/>
        <v>1.5976726747227348E-3</v>
      </c>
      <c r="F34">
        <f t="shared" ca="1" si="3"/>
        <v>-7.7792878931604121E-3</v>
      </c>
      <c r="G34">
        <v>0</v>
      </c>
      <c r="I34" s="25">
        <f t="array" aca="1" ref="I34:K34" ca="1">_xll.MatProd(E34:G34,$C$13:$E$15)</f>
        <v>1.5976726747227348E-3</v>
      </c>
      <c r="J34" s="25">
        <f ca="1"/>
        <v>-6.3159814646855618E-3</v>
      </c>
      <c r="K34" s="25">
        <f ca="1"/>
        <v>-4.5415524066579468E-3</v>
      </c>
      <c r="L34" s="30">
        <f t="array" aca="1" ref="L34:N34" ca="1">_xll.MatProd(I34:K34,$G$13:$I$15)</f>
        <v>1.8084520716833167E-3</v>
      </c>
      <c r="M34" s="31">
        <f ca="1"/>
        <v>-6.3159814646855618E-3</v>
      </c>
      <c r="N34" s="32">
        <f ca="1"/>
        <v>-4.4618109935765553E-3</v>
      </c>
      <c r="P34">
        <f t="shared" ca="1" si="4"/>
        <v>0</v>
      </c>
    </row>
    <row r="35" spans="3:29" x14ac:dyDescent="0.2">
      <c r="C35">
        <f t="shared" ca="1" si="0"/>
        <v>4.0425793375931169</v>
      </c>
      <c r="D35">
        <f t="shared" ca="1" si="1"/>
        <v>9.922712343500828E-2</v>
      </c>
      <c r="E35">
        <f t="shared" ca="1" si="2"/>
        <v>-6.1603846778253056E-2</v>
      </c>
      <c r="F35">
        <f t="shared" ca="1" si="3"/>
        <v>-7.7788097336982664E-2</v>
      </c>
      <c r="G35">
        <v>0</v>
      </c>
      <c r="I35" s="25">
        <f t="array" aca="1" ref="I35:K35" ca="1">_xll.MatProd(E35:G35,$C$13:$E$15)</f>
        <v>-6.1603846778253056E-2</v>
      </c>
      <c r="J35" s="25">
        <f ca="1"/>
        <v>-6.3155932483935889E-2</v>
      </c>
      <c r="K35" s="25">
        <f ca="1"/>
        <v>-4.5412732569098078E-2</v>
      </c>
      <c r="L35" s="30">
        <f t="array" aca="1" ref="L35:N35" ca="1">_xll.MatProd(I35:K35,$G$13:$I$15)</f>
        <v>-5.9411188755768785E-2</v>
      </c>
      <c r="M35" s="31">
        <f ca="1"/>
        <v>-6.3155932483935889E-2</v>
      </c>
      <c r="N35" s="32">
        <f ca="1"/>
        <v>-4.8245837829778787E-2</v>
      </c>
      <c r="P35">
        <f t="shared" ca="1" si="4"/>
        <v>0</v>
      </c>
    </row>
    <row r="36" spans="3:29" x14ac:dyDescent="0.2">
      <c r="C36">
        <f t="shared" ca="1" si="0"/>
        <v>2.4538599512297532</v>
      </c>
      <c r="D36">
        <f t="shared" ca="1" si="1"/>
        <v>2.1793805405157851E-2</v>
      </c>
      <c r="E36">
        <f t="shared" ca="1" si="2"/>
        <v>-1.6839795580016127E-2</v>
      </c>
      <c r="F36">
        <f t="shared" ca="1" si="3"/>
        <v>1.3834422245296579E-2</v>
      </c>
      <c r="G36">
        <v>0</v>
      </c>
      <c r="I36" s="25">
        <f t="array" aca="1" ref="I36:K36" ca="1">_xll.MatProd(E36:G36,$C$13:$E$15)</f>
        <v>-1.6839795580016127E-2</v>
      </c>
      <c r="J36" s="25">
        <f ca="1"/>
        <v>1.1232127628641939E-2</v>
      </c>
      <c r="K36" s="25">
        <f ca="1"/>
        <v>8.0765430596917674E-3</v>
      </c>
      <c r="L36" s="30">
        <f t="array" aca="1" ref="L36:N36" ca="1">_xll.MatProd(I36:K36,$G$13:$I$15)</f>
        <v>-1.719930218189401E-2</v>
      </c>
      <c r="M36" s="31">
        <f ca="1"/>
        <v>1.1232127628641939E-2</v>
      </c>
      <c r="N36" s="32">
        <f ca="1"/>
        <v>7.2796474796298942E-3</v>
      </c>
      <c r="P36">
        <f t="shared" ca="1" si="4"/>
        <v>0</v>
      </c>
    </row>
    <row r="37" spans="3:29" x14ac:dyDescent="0.2">
      <c r="C37">
        <f t="shared" ca="1" si="0"/>
        <v>5.4919597777379421</v>
      </c>
      <c r="D37">
        <f t="shared" ca="1" si="1"/>
        <v>0.14994063567544202</v>
      </c>
      <c r="E37">
        <f t="shared" ca="1" si="2"/>
        <v>0.10540440267880241</v>
      </c>
      <c r="F37">
        <f t="shared" ca="1" si="3"/>
        <v>-0.10664007746940411</v>
      </c>
      <c r="G37">
        <v>0</v>
      </c>
      <c r="I37" s="25">
        <f t="array" aca="1" ref="I37:K37" ca="1">_xll.MatProd(E37:G37,$C$13:$E$15)</f>
        <v>0.10540440267880241</v>
      </c>
      <c r="J37" s="25">
        <f ca="1"/>
        <v>-8.6580772165735828E-2</v>
      </c>
      <c r="K37" s="25">
        <f ca="1"/>
        <v>-6.2256533905008349E-2</v>
      </c>
      <c r="L37" s="33">
        <f t="array" aca="1" ref="L37:N37" ca="1">_xll.MatProd(I37:K37,$G$13:$I$15)</f>
        <v>0.10820232668529067</v>
      </c>
      <c r="M37" s="34">
        <f ca="1"/>
        <v>-8.6580772165735828E-2</v>
      </c>
      <c r="N37" s="35">
        <f ca="1"/>
        <v>-5.7255747465474766E-2</v>
      </c>
      <c r="P37">
        <f t="shared" ca="1" si="4"/>
        <v>0</v>
      </c>
      <c r="W37" s="13" t="s">
        <v>8751</v>
      </c>
    </row>
    <row r="38" spans="3:29" x14ac:dyDescent="0.2">
      <c r="W38">
        <f ca="1">AVERAGE(R41:R53)</f>
        <v>-0.13296396621568107</v>
      </c>
      <c r="X38">
        <f ca="1">AVERAGE(S41:S53)</f>
        <v>0.5630661301020814</v>
      </c>
      <c r="Y38">
        <f ca="1">AVERAGE(T41:T53)</f>
        <v>4.0561465769959329E-3</v>
      </c>
    </row>
    <row r="40" spans="3:29" x14ac:dyDescent="0.2">
      <c r="R40" s="13" t="s">
        <v>8740</v>
      </c>
      <c r="S40" s="13" t="s">
        <v>8741</v>
      </c>
      <c r="T40" s="13" t="s">
        <v>8745</v>
      </c>
      <c r="U40" s="13"/>
    </row>
    <row r="41" spans="3:29" x14ac:dyDescent="0.2">
      <c r="R41" s="37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t="array" aca="1" ref="W41:Y41" ca="1">R41:T41-$W$38:$Y$38</f>
        <v>0.26087038812092045</v>
      </c>
      <c r="X41">
        <f ca="1"/>
        <v>-0.17796682433305377</v>
      </c>
      <c r="Y41">
        <f ca="1"/>
        <v>4.5280711819360844E-2</v>
      </c>
      <c r="AA41">
        <f t="array" aca="1" ref="AA41:AC43" ca="1">_xll.MatProd(TRANSPOSE(W41:Y41),W41:Y41)</f>
        <v>6.8053359398359672E-2</v>
      </c>
      <c r="AB41">
        <f ca="1"/>
        <v>-4.6426274536411405E-2</v>
      </c>
      <c r="AC41">
        <f ca="1"/>
        <v>1.1812396866708213E-2</v>
      </c>
    </row>
    <row r="42" spans="3:29" x14ac:dyDescent="0.2">
      <c r="R42" s="37">
        <v>0.26428982412019625</v>
      </c>
      <c r="S42">
        <v>0.6467365888613722</v>
      </c>
      <c r="T42">
        <f t="shared" ca="1" si="5"/>
        <v>9.3384830449524836E-2</v>
      </c>
      <c r="U42">
        <v>0</v>
      </c>
      <c r="W42">
        <f t="array" aca="1" ref="W42:Y42" ca="1">R42:T42-$W$38:$Y$38</f>
        <v>0.39725379033587732</v>
      </c>
      <c r="X42">
        <f ca="1"/>
        <v>8.36704587592908E-2</v>
      </c>
      <c r="Y42">
        <f ca="1"/>
        <v>8.9328683872528902E-2</v>
      </c>
      <c r="AA42">
        <f ca="1"/>
        <v>-4.6426274536411405E-2</v>
      </c>
      <c r="AB42">
        <f ca="1"/>
        <v>3.1672190563192024E-2</v>
      </c>
      <c r="AC42">
        <f ca="1"/>
        <v>-8.0584644860318237E-3</v>
      </c>
    </row>
    <row r="43" spans="3:29" x14ac:dyDescent="0.2">
      <c r="R43" s="37">
        <v>-0.19414412249714244</v>
      </c>
      <c r="S43">
        <v>0.75369466806316721</v>
      </c>
      <c r="T43">
        <f t="shared" ca="1" si="5"/>
        <v>1.990093165938876E-3</v>
      </c>
      <c r="U43">
        <v>0</v>
      </c>
      <c r="W43">
        <f t="array" aca="1" ref="W43:Y43" ca="1">R43:T43-$W$38:$Y$38</f>
        <v>-6.1180156281461368E-2</v>
      </c>
      <c r="X43">
        <f ca="1"/>
        <v>0.19062853796108581</v>
      </c>
      <c r="Y43">
        <f ca="1"/>
        <v>-2.0660534110570569E-3</v>
      </c>
      <c r="AA43">
        <f ca="1"/>
        <v>1.1812396866708213E-2</v>
      </c>
      <c r="AB43">
        <f ca="1"/>
        <v>-8.0584644860318237E-3</v>
      </c>
      <c r="AC43">
        <f ca="1"/>
        <v>2.050342862868005E-3</v>
      </c>
    </row>
    <row r="44" spans="3:29" x14ac:dyDescent="0.2">
      <c r="R44" s="37">
        <v>-0.63544659148655547</v>
      </c>
      <c r="S44">
        <v>3.8647498081386344E-2</v>
      </c>
      <c r="T44">
        <f t="shared" ca="1" si="5"/>
        <v>-0.13298122702225132</v>
      </c>
      <c r="U44">
        <v>0</v>
      </c>
      <c r="W44">
        <f t="array" aca="1" ref="W44:Y44" ca="1">R44:T44-$W$38:$Y$38</f>
        <v>-0.50248262527087439</v>
      </c>
      <c r="X44">
        <f ca="1"/>
        <v>-0.52441863202069505</v>
      </c>
      <c r="Y44">
        <f ca="1"/>
        <v>-0.13703737359924725</v>
      </c>
    </row>
    <row r="45" spans="3:29" x14ac:dyDescent="0.2">
      <c r="R45" s="37">
        <v>0.1315324872850199</v>
      </c>
      <c r="S45">
        <v>0.95185228745617201</v>
      </c>
      <c r="T45">
        <f t="shared" ca="1" si="5"/>
        <v>8.2666511680465168E-2</v>
      </c>
      <c r="U45">
        <v>0</v>
      </c>
      <c r="W45">
        <f t="array" aca="1" ref="W45:Y45" ca="1">R45:T45-$W$38:$Y$38</f>
        <v>0.26449645350070095</v>
      </c>
      <c r="X45">
        <f ca="1"/>
        <v>0.38878615735409061</v>
      </c>
      <c r="Y45">
        <f ca="1"/>
        <v>7.8610365103469235E-2</v>
      </c>
      <c r="AA45">
        <f t="array" aca="1" ref="AA45:AC47" ca="1">_xll.MatProd(TRANSPOSE(W42:Y42),W42:Y42)</f>
        <v>0.15781057393622117</v>
      </c>
      <c r="AB45">
        <f ca="1"/>
        <v>3.3238406881269979E-2</v>
      </c>
      <c r="AC45">
        <f ca="1"/>
        <v>3.5486158254077464E-2</v>
      </c>
    </row>
    <row r="46" spans="3:29" x14ac:dyDescent="0.2">
      <c r="R46" s="37">
        <v>-0.59891371615122979</v>
      </c>
      <c r="S46">
        <v>0.88055859630459887</v>
      </c>
      <c r="T46">
        <f t="shared" ca="1" si="5"/>
        <v>-7.6843169180635759E-2</v>
      </c>
      <c r="U46">
        <v>0</v>
      </c>
      <c r="W46">
        <f t="array" aca="1" ref="W46:Y46" ca="1">R46:T46-$W$38:$Y$38</f>
        <v>-0.46594974993554872</v>
      </c>
      <c r="X46">
        <f ca="1"/>
        <v>0.31749246620251748</v>
      </c>
      <c r="Y46">
        <f ca="1"/>
        <v>-8.0899315757631693E-2</v>
      </c>
      <c r="AA46">
        <f ca="1"/>
        <v>3.3238406881269979E-2</v>
      </c>
      <c r="AB46">
        <f ca="1"/>
        <v>7.0007456689901828E-3</v>
      </c>
      <c r="AC46">
        <f ca="1"/>
        <v>7.4741719599781551E-3</v>
      </c>
    </row>
    <row r="47" spans="3:29" x14ac:dyDescent="0.2">
      <c r="R47" s="37">
        <v>-0.24869516961607607</v>
      </c>
      <c r="S47">
        <v>6.3746687979698624E-2</v>
      </c>
      <c r="T47">
        <f t="shared" ca="1" si="5"/>
        <v>-4.925182209820371E-2</v>
      </c>
      <c r="U47">
        <v>0</v>
      </c>
      <c r="W47">
        <f t="array" aca="1" ref="W47:Y47" ca="1">R47:T47-$W$38:$Y$38</f>
        <v>-0.115731203400395</v>
      </c>
      <c r="X47">
        <f ca="1"/>
        <v>-0.49931944212238277</v>
      </c>
      <c r="Y47">
        <f ca="1"/>
        <v>-5.3307968675199643E-2</v>
      </c>
      <c r="AA47">
        <f ca="1"/>
        <v>3.5486158254077464E-2</v>
      </c>
      <c r="AB47">
        <f ca="1"/>
        <v>7.4741719599781551E-3</v>
      </c>
      <c r="AC47">
        <f ca="1"/>
        <v>7.9796137623982053E-3</v>
      </c>
    </row>
    <row r="48" spans="3:29" x14ac:dyDescent="0.2">
      <c r="R48" s="37">
        <v>-0.17950060574109106</v>
      </c>
      <c r="S48">
        <v>0.53359593018244567</v>
      </c>
      <c r="T48">
        <f t="shared" ca="1" si="5"/>
        <v>-7.5382350195384532E-3</v>
      </c>
      <c r="U48">
        <v>0</v>
      </c>
      <c r="W48">
        <f t="array" aca="1" ref="W48:Y48" ca="1">R48:T48-$W$38:$Y$38</f>
        <v>-4.6536639525409984E-2</v>
      </c>
      <c r="X48">
        <f ca="1"/>
        <v>-2.9470199919635731E-2</v>
      </c>
      <c r="Y48">
        <f ca="1"/>
        <v>-1.1594381596534385E-2</v>
      </c>
    </row>
    <row r="49" spans="18:29" x14ac:dyDescent="0.2">
      <c r="R49" s="37">
        <v>0.53165839244040802</v>
      </c>
      <c r="S49">
        <v>0.65715821544697894</v>
      </c>
      <c r="T49">
        <f t="shared" ca="1" si="5"/>
        <v>0.15087044906618985</v>
      </c>
      <c r="U49">
        <v>0</v>
      </c>
      <c r="W49">
        <f t="array" aca="1" ref="W49:Y49" ca="1">R49:T49-$W$38:$Y$38</f>
        <v>0.6646223586560891</v>
      </c>
      <c r="X49">
        <f ca="1"/>
        <v>9.4092085344897547E-2</v>
      </c>
      <c r="Y49">
        <f ca="1"/>
        <v>0.14681430248919392</v>
      </c>
      <c r="AA49">
        <f t="array" aca="1" ref="AA49:AC51" ca="1">_xll.MatProd(TRANSPOSE(W43:Y43),W43:Y43)</f>
        <v>3.743011522624037E-3</v>
      </c>
      <c r="AB49">
        <f ca="1"/>
        <v>-1.166268374416572E-2</v>
      </c>
      <c r="AC49">
        <f ca="1"/>
        <v>1.2640147057431709E-4</v>
      </c>
    </row>
    <row r="50" spans="18:29" x14ac:dyDescent="0.2">
      <c r="R50" s="37">
        <v>-0.18462067076192165</v>
      </c>
      <c r="S50">
        <v>0.67399604135755964</v>
      </c>
      <c r="T50">
        <f t="shared" ca="1" si="5"/>
        <v>-5.6207225433628223E-4</v>
      </c>
      <c r="U50">
        <v>0</v>
      </c>
      <c r="W50">
        <f t="array" aca="1" ref="W50:Y50" ca="1">R50:T50-$W$38:$Y$38</f>
        <v>-5.1656704546240578E-2</v>
      </c>
      <c r="X50">
        <f ca="1"/>
        <v>0.11092991125547824</v>
      </c>
      <c r="Y50">
        <f ca="1"/>
        <v>-4.6182188313322152E-3</v>
      </c>
      <c r="AA50">
        <f ca="1"/>
        <v>-1.166268374416572E-2</v>
      </c>
      <c r="AB50">
        <f ca="1"/>
        <v>3.6339239485181134E-2</v>
      </c>
      <c r="AC50">
        <f ca="1"/>
        <v>-3.9384874109932099E-4</v>
      </c>
    </row>
    <row r="51" spans="18:29" x14ac:dyDescent="0.2">
      <c r="R51" s="37">
        <v>0.10558107614354884</v>
      </c>
      <c r="S51">
        <v>0.32262313286129196</v>
      </c>
      <c r="T51">
        <f t="shared" ca="1" si="5"/>
        <v>4.0997728088531415E-2</v>
      </c>
      <c r="U51">
        <v>0</v>
      </c>
      <c r="W51">
        <f t="array" aca="1" ref="W51:Y51" ca="1">R51:T51-$W$38:$Y$38</f>
        <v>0.23854504235922991</v>
      </c>
      <c r="X51">
        <f ca="1"/>
        <v>-0.24044299724078944</v>
      </c>
      <c r="Y51">
        <f ca="1"/>
        <v>3.6941581511535482E-2</v>
      </c>
      <c r="AA51">
        <f ca="1"/>
        <v>1.2640147057431709E-4</v>
      </c>
      <c r="AB51">
        <f ca="1"/>
        <v>-3.9384874109932099E-4</v>
      </c>
      <c r="AC51">
        <f ca="1"/>
        <v>4.2685766973405002E-6</v>
      </c>
    </row>
    <row r="52" spans="18:29" x14ac:dyDescent="0.2">
      <c r="R52" s="37">
        <v>-0.14898573187382136</v>
      </c>
      <c r="S52">
        <v>0.61325880597390003</v>
      </c>
      <c r="T52">
        <f t="shared" ca="1" si="5"/>
        <v>3.5306693061982232E-3</v>
      </c>
      <c r="U52">
        <v>0</v>
      </c>
      <c r="W52">
        <f t="array" aca="1" ref="W52:Y52" ca="1">R52:T52-$W$38:$Y$38</f>
        <v>-1.6021765658140286E-2</v>
      </c>
      <c r="X52">
        <f ca="1"/>
        <v>5.0192675871818637E-2</v>
      </c>
      <c r="Y52">
        <f ca="1"/>
        <v>-5.2547727079770967E-4</v>
      </c>
    </row>
    <row r="53" spans="18:29" x14ac:dyDescent="0.2">
      <c r="R53" s="37">
        <v>-0.69919315457042852</v>
      </c>
      <c r="S53">
        <v>0.79889193298945871</v>
      </c>
      <c r="T53">
        <f t="shared" ca="1" si="5"/>
        <v>-0.10287070907729247</v>
      </c>
      <c r="U53">
        <v>0</v>
      </c>
      <c r="W53">
        <f t="array" aca="1" ref="W53:Y53" ca="1">R53:T53-$W$38:$Y$38</f>
        <v>-0.56622918835474745</v>
      </c>
      <c r="X53">
        <f ca="1"/>
        <v>0.23582580288737731</v>
      </c>
      <c r="Y53">
        <f ca="1"/>
        <v>-0.1069268556542884</v>
      </c>
      <c r="AA53">
        <f t="array" aca="1" ref="AA53:AC55" ca="1">_xll.MatProd(TRANSPOSE(W44:Y44),W44:Y44)</f>
        <v>0.25248878869910996</v>
      </c>
      <c r="AB53">
        <f ca="1"/>
        <v>0.26351125095871947</v>
      </c>
      <c r="AC53">
        <f ca="1"/>
        <v>6.885889924637538E-2</v>
      </c>
    </row>
    <row r="54" spans="18:29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  <c r="AA54">
        <f ca="1"/>
        <v>0.26351125095871947</v>
      </c>
      <c r="AB54">
        <f ca="1"/>
        <v>0.27501490161045716</v>
      </c>
      <c r="AC54">
        <f ca="1"/>
        <v>7.186495199862615E-2</v>
      </c>
    </row>
    <row r="55" spans="18:29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  <c r="AA55">
        <f ca="1"/>
        <v>6.885889924637538E-2</v>
      </c>
      <c r="AB55">
        <f ca="1"/>
        <v>7.186495199862615E-2</v>
      </c>
      <c r="AC55">
        <f ca="1"/>
        <v>1.8779241762979668E-2</v>
      </c>
    </row>
    <row r="56" spans="18:29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9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  <c r="AA57">
        <f t="array" aca="1" ref="AA57:AC59" ca="1">_xll.MatProd(TRANSPOSE(W45:Y45),W45:Y45)</f>
        <v>6.9958373914448452E-2</v>
      </c>
      <c r="AB57">
        <f ca="1"/>
        <v>0.10283255979032242</v>
      </c>
      <c r="AC57">
        <f ca="1"/>
        <v>2.0792162778262874E-2</v>
      </c>
    </row>
    <row r="58" spans="18:29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  <c r="AA58">
        <f ca="1"/>
        <v>0.10283255979032242</v>
      </c>
      <c r="AB58">
        <f ca="1"/>
        <v>0.15115467615015971</v>
      </c>
      <c r="AC58">
        <f ca="1"/>
        <v>3.0562621776779902E-2</v>
      </c>
    </row>
    <row r="59" spans="18:29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  <c r="AA59">
        <f ca="1"/>
        <v>2.0792162778262874E-2</v>
      </c>
      <c r="AB59">
        <f ca="1"/>
        <v>3.0562621776779902E-2</v>
      </c>
      <c r="AC59">
        <f ca="1"/>
        <v>6.179589501700734E-3</v>
      </c>
    </row>
    <row r="60" spans="18:29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9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  <c r="AA61">
        <f t="array" aca="1" ref="AA61:AC63" ca="1">_xll.MatProd(TRANSPOSE(W46:Y46),W46:Y46)</f>
        <v>0.21710916946500039</v>
      </c>
      <c r="AB61">
        <f ca="1"/>
        <v>-0.14793553523348368</v>
      </c>
      <c r="AC61">
        <f ca="1"/>
        <v>3.7695015947225484E-2</v>
      </c>
    </row>
    <row r="62" spans="18:29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  <c r="AA62">
        <f ca="1"/>
        <v>-0.14793553523348368</v>
      </c>
      <c r="AB62">
        <f ca="1"/>
        <v>0.1008014660953567</v>
      </c>
      <c r="AC62">
        <f ca="1"/>
        <v>-2.5684923273986669E-2</v>
      </c>
    </row>
    <row r="63" spans="18:29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  <c r="AA63">
        <f ca="1"/>
        <v>3.7695015947225484E-2</v>
      </c>
      <c r="AB63">
        <f ca="1"/>
        <v>-2.5684923273986669E-2</v>
      </c>
      <c r="AC63">
        <f ca="1"/>
        <v>6.5446992900529957E-3</v>
      </c>
    </row>
    <row r="64" spans="18:29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9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  <c r="AA65">
        <f ca="1">AA41+AA45+AA49+AA53+AA57+AA61</f>
        <v>0.7691632769357637</v>
      </c>
      <c r="AB65">
        <f t="shared" ref="AB65:AC65" ca="1" si="6">AB41+AB45+AB49+AB53+AB57+AB61</f>
        <v>0.19355772411625105</v>
      </c>
      <c r="AC65">
        <f t="shared" ca="1" si="6"/>
        <v>0.17477103456322374</v>
      </c>
    </row>
    <row r="66" spans="18:29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  <c r="AA66">
        <f t="shared" ref="AA66:AC67" ca="1" si="7">AA42+AA46+AA50+AA54+AA58+AA62</f>
        <v>0.19355772411625105</v>
      </c>
      <c r="AB66">
        <f t="shared" ca="1" si="7"/>
        <v>0.60198321957333689</v>
      </c>
      <c r="AC66">
        <f t="shared" ca="1" si="7"/>
        <v>7.5764509234266392E-2</v>
      </c>
    </row>
    <row r="67" spans="18:29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  <c r="AA67">
        <f t="shared" ca="1" si="7"/>
        <v>0.17477103456322374</v>
      </c>
      <c r="AB67">
        <f t="shared" ca="1" si="7"/>
        <v>7.5764509234266392E-2</v>
      </c>
      <c r="AC67">
        <f t="shared" ca="1" si="7"/>
        <v>4.1537755756696951E-2</v>
      </c>
    </row>
    <row r="68" spans="18:29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9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  <c r="AA69">
        <f t="array" aca="1" ref="AA69:AC72" ca="1">_xll.EigenValuesVectors(AA65:AC67)</f>
        <v>1.2278791003077433E-16</v>
      </c>
      <c r="AB69">
        <f ca="1"/>
        <v>0.4767964161080756</v>
      </c>
      <c r="AC69">
        <f ca="1"/>
        <v>0.93588783615772331</v>
      </c>
    </row>
    <row r="70" spans="18:29" x14ac:dyDescent="0.2">
      <c r="R70">
        <v>0.46473054352243215</v>
      </c>
      <c r="S70">
        <v>0.95861823784548517</v>
      </c>
      <c r="T70">
        <f t="shared" ca="1" si="5"/>
        <v>0.1539483973916411</v>
      </c>
      <c r="Y70">
        <f ca="1">p_a/W68</f>
        <v>0.20777990046551845</v>
      </c>
      <c r="AA70">
        <f ca="1"/>
        <v>-0.2077799004655185</v>
      </c>
      <c r="AB70">
        <f ca="1"/>
        <v>0.52454939544303636</v>
      </c>
      <c r="AC70">
        <f ca="1"/>
        <v>0.8256363877051961</v>
      </c>
    </row>
    <row r="71" spans="18:29" x14ac:dyDescent="0.2">
      <c r="R71">
        <v>0.51025679441676142</v>
      </c>
      <c r="S71">
        <v>0.50266236005516318</v>
      </c>
      <c r="T71">
        <f t="shared" ca="1" si="5"/>
        <v>0.13744162375141605</v>
      </c>
      <c r="Y71">
        <f ca="1">p_b/W68</f>
        <v>5.6100573125689987E-2</v>
      </c>
      <c r="AA71">
        <f ca="1"/>
        <v>-5.6100573125690265E-2</v>
      </c>
      <c r="AB71">
        <f ca="1"/>
        <v>-0.84905845084973119</v>
      </c>
      <c r="AC71">
        <f ca="1"/>
        <v>0.52531178621426844</v>
      </c>
    </row>
    <row r="72" spans="18:29" x14ac:dyDescent="0.2">
      <c r="R72">
        <v>0.38050121197072151</v>
      </c>
      <c r="S72">
        <v>0.35926313752895489</v>
      </c>
      <c r="T72">
        <f t="shared" ca="1" si="5"/>
        <v>0.10159622534117857</v>
      </c>
      <c r="Y72">
        <f ca="1">p_c/W68</f>
        <v>-0.97656553218793674</v>
      </c>
      <c r="AA72">
        <f ca="1"/>
        <v>0.97656553218793718</v>
      </c>
      <c r="AB72">
        <f ca="1"/>
        <v>6.2830556109278318E-2</v>
      </c>
      <c r="AC72">
        <f ca="1"/>
        <v>0.20584480212405304</v>
      </c>
    </row>
    <row r="73" spans="18:29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9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9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9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9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9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9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9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8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8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8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8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8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8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8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8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8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8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8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8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8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8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8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8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8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8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8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8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8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8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8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8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8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8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8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8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8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8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8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8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8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8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8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8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8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8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8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8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8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8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8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8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8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8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8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8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8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8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8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8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8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8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8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8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8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8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8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8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8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8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8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8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9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9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9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9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9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9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9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9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9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9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9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9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9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9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9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9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9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9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9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9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9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9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9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9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9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9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9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9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9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9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9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9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9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9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9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9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9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9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9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9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9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9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9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9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9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9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9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9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9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9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9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9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9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9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9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9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9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9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9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9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9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9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9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9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10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10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10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10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10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10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10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10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10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10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10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10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10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10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10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10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10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10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10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10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10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10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10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10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10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10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10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10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10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10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10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10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10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10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10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10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10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10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10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10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10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10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10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10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10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10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10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10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10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10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10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10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10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10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10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10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10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10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10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10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10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10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10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TimeSeries</vt:lpstr>
      <vt:lpstr>Optimiser</vt:lpstr>
      <vt:lpstr>LinearAlgebra</vt:lpstr>
      <vt:lpstr>Market</vt:lpstr>
      <vt:lpstr>ValueTrade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mkt</vt:lpstr>
      <vt:lpstr>mkt1_</vt:lpstr>
      <vt:lpstr>mkt2_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2016-05-17T21:30:39Z</dcterms:modified>
</cp:coreProperties>
</file>