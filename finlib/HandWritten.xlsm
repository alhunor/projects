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60" windowWidth="15180" windowHeight="8580" firstSheet="1" activeTab="11"/>
  </bookViews>
  <sheets>
    <sheet name="TimeSeries" sheetId="2" r:id="rId1"/>
    <sheet name="Optimiser" sheetId="4" r:id="rId2"/>
    <sheet name="LinearAlgebra" sheetId="1" r:id="rId3"/>
    <sheet name="OptionPricer" sheetId="3" r:id="rId4"/>
    <sheet name="indicators" sheetId="5" r:id="rId5"/>
    <sheet name="GraphTheory" sheetId="6" r:id="rId6"/>
    <sheet name="ImageProcessing" sheetId="7" r:id="rId7"/>
    <sheet name="TextFiles" sheetId="8" r:id="rId8"/>
    <sheet name="ArrayFunctions" sheetId="9" r:id="rId9"/>
    <sheet name="EditDistance" sheetId="10" r:id="rId10"/>
    <sheet name="Sheet1" sheetId="11" r:id="rId11"/>
    <sheet name="PointClouds" sheetId="12" r:id="rId12"/>
  </sheets>
  <definedNames>
    <definedName name="Filename" localSheetId="4">indicators!#REF!</definedName>
    <definedName name="Filename">TimeSeries!$B$2</definedName>
    <definedName name="p_a">PointClouds!$U$30</definedName>
    <definedName name="p_b">PointClouds!$U$31</definedName>
    <definedName name="p_c">PointClouds!$U$32</definedName>
    <definedName name="p_d">PointClouds!$U$33</definedName>
    <definedName name="path" localSheetId="4">indicators!$B$1</definedName>
    <definedName name="path">TimeSeries!$B$1</definedName>
    <definedName name="searchfield">EditDistance!$F$8</definedName>
    <definedName name="solver_adj" localSheetId="1" hidden="1">Optimiser!$C$13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itr" localSheetId="1" hidden="1">2147483647</definedName>
    <definedName name="solver_lhs1" localSheetId="1" hidden="1">Optimiser!$C$13</definedName>
    <definedName name="solver_lhs2" localSheetId="1" hidden="1">Optimiser!$C$13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Optimiser!$C$14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hs1" localSheetId="1" hidden="1">1</definedName>
    <definedName name="solver_rhs2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Y72" i="12" l="1"/>
  <c r="Y71" i="12"/>
  <c r="Y70" i="12"/>
  <c r="W32" i="12"/>
  <c r="W31" i="12"/>
  <c r="W30" i="12"/>
  <c r="U28" i="12"/>
  <c r="AA69" i="12" a="1"/>
  <c r="AA69" i="12"/>
  <c r="AB69" i="12"/>
  <c r="AC69" i="12"/>
  <c r="AA70" i="12"/>
  <c r="AB70" i="12"/>
  <c r="AC70" i="12"/>
  <c r="AA71" i="12"/>
  <c r="AB71" i="12"/>
  <c r="AC71" i="12"/>
  <c r="AA72" i="12"/>
  <c r="AB72" i="12"/>
  <c r="AC72" i="12"/>
  <c r="X38" i="12"/>
  <c r="W38" i="12"/>
  <c r="E4" i="9" a="1"/>
  <c r="E4" i="9"/>
  <c r="E5" i="9"/>
  <c r="E6" i="9"/>
  <c r="E7" i="9"/>
  <c r="T136" i="12" l="1"/>
  <c r="T143" i="12"/>
  <c r="T181" i="12"/>
  <c r="T184" i="12"/>
  <c r="T191" i="12"/>
  <c r="T205" i="12"/>
  <c r="T206" i="12"/>
  <c r="T254" i="12"/>
  <c r="T256" i="12"/>
  <c r="T257" i="12"/>
  <c r="T263" i="12"/>
  <c r="T277" i="12"/>
  <c r="T278" i="12"/>
  <c r="T280" i="12"/>
  <c r="T287" i="12"/>
  <c r="U32" i="12"/>
  <c r="T50" i="12" s="1"/>
  <c r="T134" i="12" l="1"/>
  <c r="T253" i="12"/>
  <c r="T119" i="12"/>
  <c r="T230" i="12"/>
  <c r="T112" i="12"/>
  <c r="T215" i="12"/>
  <c r="T110" i="12"/>
  <c r="T208" i="12"/>
  <c r="T88" i="12"/>
  <c r="T182" i="12"/>
  <c r="T95" i="12"/>
  <c r="T239" i="12"/>
  <c r="T167" i="12"/>
  <c r="T86" i="12"/>
  <c r="T232" i="12"/>
  <c r="T160" i="12"/>
  <c r="T71" i="12"/>
  <c r="T158" i="12"/>
  <c r="T64" i="12"/>
  <c r="T281" i="12"/>
  <c r="T229" i="12"/>
  <c r="T157" i="12"/>
  <c r="T62" i="12"/>
  <c r="T233" i="12"/>
  <c r="T209" i="12"/>
  <c r="T185" i="12"/>
  <c r="T161" i="12"/>
  <c r="T137" i="12"/>
  <c r="T113" i="12"/>
  <c r="T89" i="12"/>
  <c r="T65" i="12"/>
  <c r="T133" i="12"/>
  <c r="T276" i="12"/>
  <c r="T156" i="12"/>
  <c r="T296" i="12"/>
  <c r="T203" i="12"/>
  <c r="T83" i="12"/>
  <c r="T245" i="12"/>
  <c r="T221" i="12"/>
  <c r="T197" i="12"/>
  <c r="T173" i="12"/>
  <c r="T149" i="12"/>
  <c r="T125" i="12"/>
  <c r="T101" i="12"/>
  <c r="T77" i="12"/>
  <c r="T53" i="12"/>
  <c r="T61" i="12"/>
  <c r="T204" i="12"/>
  <c r="T84" i="12"/>
  <c r="T179" i="12"/>
  <c r="T59" i="12"/>
  <c r="T268" i="12"/>
  <c r="T220" i="12"/>
  <c r="T196" i="12"/>
  <c r="T172" i="12"/>
  <c r="T148" i="12"/>
  <c r="T124" i="12"/>
  <c r="T100" i="12"/>
  <c r="T76" i="12"/>
  <c r="T42" i="12"/>
  <c r="T180" i="12"/>
  <c r="T108" i="12"/>
  <c r="T275" i="12"/>
  <c r="T131" i="12"/>
  <c r="T269" i="12"/>
  <c r="T290" i="12"/>
  <c r="T242" i="12"/>
  <c r="T194" i="12"/>
  <c r="T170" i="12"/>
  <c r="T146" i="12"/>
  <c r="T122" i="12"/>
  <c r="T98" i="12"/>
  <c r="T74" i="12"/>
  <c r="T49" i="12"/>
  <c r="T109" i="12"/>
  <c r="T252" i="12"/>
  <c r="T60" i="12"/>
  <c r="T227" i="12"/>
  <c r="T155" i="12"/>
  <c r="T293" i="12"/>
  <c r="T244" i="12"/>
  <c r="T289" i="12"/>
  <c r="T265" i="12"/>
  <c r="T241" i="12"/>
  <c r="T217" i="12"/>
  <c r="T193" i="12"/>
  <c r="T169" i="12"/>
  <c r="T145" i="12"/>
  <c r="T121" i="12"/>
  <c r="T97" i="12"/>
  <c r="T73" i="12"/>
  <c r="T48" i="12"/>
  <c r="T85" i="12"/>
  <c r="T228" i="12"/>
  <c r="T132" i="12"/>
  <c r="T251" i="12"/>
  <c r="T107" i="12"/>
  <c r="T292" i="12"/>
  <c r="T266" i="12"/>
  <c r="T218" i="12"/>
  <c r="T288" i="12"/>
  <c r="T264" i="12"/>
  <c r="T240" i="12"/>
  <c r="T216" i="12"/>
  <c r="T192" i="12"/>
  <c r="T168" i="12"/>
  <c r="T144" i="12"/>
  <c r="T120" i="12"/>
  <c r="T96" i="12"/>
  <c r="T72" i="12"/>
  <c r="T47" i="12"/>
  <c r="T52" i="12"/>
  <c r="T291" i="12"/>
  <c r="T279" i="12"/>
  <c r="T267" i="12"/>
  <c r="T255" i="12"/>
  <c r="T243" i="12"/>
  <c r="T231" i="12"/>
  <c r="T219" i="12"/>
  <c r="T207" i="12"/>
  <c r="T195" i="12"/>
  <c r="T183" i="12"/>
  <c r="T171" i="12"/>
  <c r="T159" i="12"/>
  <c r="T147" i="12"/>
  <c r="T135" i="12"/>
  <c r="T123" i="12"/>
  <c r="T111" i="12"/>
  <c r="T99" i="12"/>
  <c r="T87" i="12"/>
  <c r="T75" i="12"/>
  <c r="T63" i="12"/>
  <c r="T51" i="12"/>
  <c r="T286" i="12"/>
  <c r="T274" i="12"/>
  <c r="T262" i="12"/>
  <c r="T250" i="12"/>
  <c r="T238" i="12"/>
  <c r="T226" i="12"/>
  <c r="T214" i="12"/>
  <c r="T202" i="12"/>
  <c r="T190" i="12"/>
  <c r="T178" i="12"/>
  <c r="T166" i="12"/>
  <c r="T154" i="12"/>
  <c r="T142" i="12"/>
  <c r="T130" i="12"/>
  <c r="T118" i="12"/>
  <c r="T106" i="12"/>
  <c r="T94" i="12"/>
  <c r="T82" i="12"/>
  <c r="T70" i="12"/>
  <c r="T58" i="12"/>
  <c r="T46" i="12"/>
  <c r="T41" i="12"/>
  <c r="T285" i="12"/>
  <c r="T273" i="12"/>
  <c r="T261" i="12"/>
  <c r="T249" i="12"/>
  <c r="T237" i="12"/>
  <c r="T225" i="12"/>
  <c r="T213" i="12"/>
  <c r="T201" i="12"/>
  <c r="T189" i="12"/>
  <c r="T177" i="12"/>
  <c r="T165" i="12"/>
  <c r="T153" i="12"/>
  <c r="T141" i="12"/>
  <c r="T129" i="12"/>
  <c r="T117" i="12"/>
  <c r="T105" i="12"/>
  <c r="T93" i="12"/>
  <c r="T81" i="12"/>
  <c r="T69" i="12"/>
  <c r="T57" i="12"/>
  <c r="T45" i="12"/>
  <c r="T260" i="12"/>
  <c r="T236" i="12"/>
  <c r="T224" i="12"/>
  <c r="T212" i="12"/>
  <c r="T200" i="12"/>
  <c r="T188" i="12"/>
  <c r="T176" i="12"/>
  <c r="T164" i="12"/>
  <c r="T152" i="12"/>
  <c r="T140" i="12"/>
  <c r="T128" i="12"/>
  <c r="T116" i="12"/>
  <c r="T104" i="12"/>
  <c r="T92" i="12"/>
  <c r="T80" i="12"/>
  <c r="T68" i="12"/>
  <c r="T56" i="12"/>
  <c r="T44" i="12"/>
  <c r="T272" i="12"/>
  <c r="T295" i="12"/>
  <c r="T283" i="12"/>
  <c r="T271" i="12"/>
  <c r="T259" i="12"/>
  <c r="T247" i="12"/>
  <c r="T235" i="12"/>
  <c r="T223" i="12"/>
  <c r="T211" i="12"/>
  <c r="T199" i="12"/>
  <c r="T187" i="12"/>
  <c r="T175" i="12"/>
  <c r="T163" i="12"/>
  <c r="T151" i="12"/>
  <c r="T139" i="12"/>
  <c r="T127" i="12"/>
  <c r="T115" i="12"/>
  <c r="T103" i="12"/>
  <c r="T91" i="12"/>
  <c r="T79" i="12"/>
  <c r="T67" i="12"/>
  <c r="T55" i="12"/>
  <c r="T43" i="12"/>
  <c r="T284" i="12"/>
  <c r="T248" i="12"/>
  <c r="T294" i="12"/>
  <c r="T282" i="12"/>
  <c r="T270" i="12"/>
  <c r="T258" i="12"/>
  <c r="T246" i="12"/>
  <c r="T234" i="12"/>
  <c r="T222" i="12"/>
  <c r="T210" i="12"/>
  <c r="T198" i="12"/>
  <c r="T186" i="12"/>
  <c r="T174" i="12"/>
  <c r="T162" i="12"/>
  <c r="T150" i="12"/>
  <c r="T138" i="12"/>
  <c r="T126" i="12"/>
  <c r="T114" i="12"/>
  <c r="T102" i="12"/>
  <c r="T90" i="12"/>
  <c r="T78" i="12"/>
  <c r="T66" i="12"/>
  <c r="T54" i="12"/>
  <c r="R22" i="12" a="1"/>
  <c r="R22" i="12" l="1"/>
  <c r="R23" i="12"/>
  <c r="R24" i="12"/>
  <c r="R25" i="12"/>
  <c r="Y38" i="12"/>
  <c r="W50" i="12" s="1" a="1"/>
  <c r="C10" i="12"/>
  <c r="G15" i="12" s="1"/>
  <c r="C9" i="12"/>
  <c r="E14" i="12" s="1"/>
  <c r="C23" i="12"/>
  <c r="D23" i="12"/>
  <c r="C24" i="12"/>
  <c r="D24" i="12"/>
  <c r="C25" i="12"/>
  <c r="D25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D22" i="12"/>
  <c r="C22" i="12"/>
  <c r="W45" i="12" l="1" a="1"/>
  <c r="W51" i="12" a="1"/>
  <c r="W50" i="12"/>
  <c r="X50" i="12"/>
  <c r="Y50" i="12"/>
  <c r="W48" i="12" a="1"/>
  <c r="W42" i="12" a="1"/>
  <c r="W44" i="12" a="1"/>
  <c r="W51" i="12"/>
  <c r="X51" i="12"/>
  <c r="Y51" i="12"/>
  <c r="W45" i="12"/>
  <c r="X45" i="12"/>
  <c r="Y45" i="12"/>
  <c r="W49" i="12" a="1"/>
  <c r="W43" i="12" a="1"/>
  <c r="W52" i="12" a="1"/>
  <c r="W47" i="12" a="1"/>
  <c r="W53" i="12" a="1"/>
  <c r="W46" i="12" a="1"/>
  <c r="W41" i="12" a="1"/>
  <c r="E31" i="12"/>
  <c r="E33" i="12"/>
  <c r="F31" i="12"/>
  <c r="E27" i="12"/>
  <c r="F36" i="12"/>
  <c r="F25" i="12"/>
  <c r="E37" i="12"/>
  <c r="F30" i="12"/>
  <c r="E35" i="12"/>
  <c r="E32" i="12"/>
  <c r="F33" i="12"/>
  <c r="E28" i="12"/>
  <c r="E34" i="12"/>
  <c r="F27" i="12"/>
  <c r="E24" i="12"/>
  <c r="E36" i="12"/>
  <c r="D14" i="12"/>
  <c r="F37" i="12"/>
  <c r="E15" i="12"/>
  <c r="F22" i="12"/>
  <c r="F28" i="12"/>
  <c r="E30" i="12"/>
  <c r="D15" i="12"/>
  <c r="E22" i="12"/>
  <c r="F34" i="12"/>
  <c r="E23" i="12"/>
  <c r="E29" i="12"/>
  <c r="E25" i="12"/>
  <c r="F24" i="12"/>
  <c r="G13" i="12"/>
  <c r="I15" i="12"/>
  <c r="E26" i="12"/>
  <c r="I13" i="12"/>
  <c r="F35" i="12"/>
  <c r="F32" i="12"/>
  <c r="F29" i="12"/>
  <c r="F26" i="12"/>
  <c r="F23" i="12"/>
  <c r="G45" i="10"/>
  <c r="G44" i="10"/>
  <c r="H43" i="10"/>
  <c r="I43" i="10" s="1"/>
  <c r="J43" i="10" s="1"/>
  <c r="K43" i="10" s="1"/>
  <c r="L43" i="10" s="1"/>
  <c r="M43" i="10" s="1"/>
  <c r="N43" i="10" s="1"/>
  <c r="O43" i="10" s="1"/>
  <c r="P43" i="10" s="1"/>
  <c r="Q43" i="10" s="1"/>
  <c r="R43" i="10" s="1"/>
  <c r="S43" i="10" s="1"/>
  <c r="T43" i="10" s="1"/>
  <c r="U43" i="10" s="1"/>
  <c r="V43" i="10" s="1"/>
  <c r="W43" i="10" s="1"/>
  <c r="X43" i="10" s="1"/>
  <c r="Y43" i="10" s="1"/>
  <c r="Z43" i="10" s="1"/>
  <c r="AA43" i="10" s="1"/>
  <c r="AB43" i="10" s="1"/>
  <c r="H28" i="10"/>
  <c r="I28" i="10" s="1"/>
  <c r="J28" i="10" s="1"/>
  <c r="K28" i="10" s="1"/>
  <c r="L28" i="10" s="1"/>
  <c r="M28" i="10" s="1"/>
  <c r="N28" i="10" s="1"/>
  <c r="O28" i="10" s="1"/>
  <c r="P28" i="10" s="1"/>
  <c r="Q28" i="10" s="1"/>
  <c r="R28" i="10" s="1"/>
  <c r="S28" i="10" s="1"/>
  <c r="T28" i="10" s="1"/>
  <c r="U28" i="10" s="1"/>
  <c r="V28" i="10" s="1"/>
  <c r="W28" i="10" s="1"/>
  <c r="X28" i="10" s="1"/>
  <c r="Y28" i="10" s="1"/>
  <c r="Z28" i="10" s="1"/>
  <c r="AA28" i="10" s="1"/>
  <c r="AB28" i="10" s="1"/>
  <c r="G29" i="10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D11" i="10"/>
  <c r="D23" i="10"/>
  <c r="D35" i="10"/>
  <c r="D47" i="10"/>
  <c r="D59" i="10"/>
  <c r="D71" i="10"/>
  <c r="D83" i="10"/>
  <c r="D95" i="10"/>
  <c r="D107" i="10"/>
  <c r="D119" i="10"/>
  <c r="D131" i="10"/>
  <c r="D143" i="10"/>
  <c r="D155" i="10"/>
  <c r="D167" i="10"/>
  <c r="D179" i="10"/>
  <c r="D191" i="10"/>
  <c r="D203" i="10"/>
  <c r="D215" i="10"/>
  <c r="D227" i="10"/>
  <c r="D239" i="10"/>
  <c r="D251" i="10"/>
  <c r="D263" i="10"/>
  <c r="D275" i="10"/>
  <c r="D287" i="10"/>
  <c r="D299" i="10"/>
  <c r="D311" i="10"/>
  <c r="D323" i="10"/>
  <c r="D335" i="10"/>
  <c r="D347" i="10"/>
  <c r="D359" i="10"/>
  <c r="D371" i="10"/>
  <c r="D383" i="10"/>
  <c r="D395" i="10"/>
  <c r="D407" i="10"/>
  <c r="D419" i="10"/>
  <c r="D431" i="10"/>
  <c r="D443" i="10"/>
  <c r="D455" i="10"/>
  <c r="D467" i="10"/>
  <c r="D479" i="10"/>
  <c r="D491" i="10"/>
  <c r="D503" i="10"/>
  <c r="D515" i="10"/>
  <c r="D527" i="10"/>
  <c r="D539" i="10"/>
  <c r="D551" i="10"/>
  <c r="D563" i="10"/>
  <c r="D575" i="10"/>
  <c r="D587" i="10"/>
  <c r="D599" i="10"/>
  <c r="D611" i="10"/>
  <c r="D623" i="10"/>
  <c r="D635" i="10"/>
  <c r="D647" i="10"/>
  <c r="D659" i="10"/>
  <c r="D671" i="10"/>
  <c r="D683" i="10"/>
  <c r="D695" i="10"/>
  <c r="D707" i="10"/>
  <c r="D719" i="10"/>
  <c r="D731" i="10"/>
  <c r="D743" i="10"/>
  <c r="D755" i="10"/>
  <c r="D767" i="10"/>
  <c r="D779" i="10"/>
  <c r="D791" i="10"/>
  <c r="D803" i="10"/>
  <c r="D815" i="10"/>
  <c r="D827" i="10"/>
  <c r="D839" i="10"/>
  <c r="D851" i="10"/>
  <c r="D863" i="10"/>
  <c r="D875" i="10"/>
  <c r="D887" i="10"/>
  <c r="D899" i="10"/>
  <c r="D911" i="10"/>
  <c r="D923" i="10"/>
  <c r="D935" i="10"/>
  <c r="D947" i="10"/>
  <c r="D959" i="10"/>
  <c r="D971" i="10"/>
  <c r="D983" i="10"/>
  <c r="D995" i="10"/>
  <c r="D1007" i="10"/>
  <c r="D1019" i="10"/>
  <c r="D1031" i="10"/>
  <c r="D1043" i="10"/>
  <c r="D1055" i="10"/>
  <c r="D1067" i="10"/>
  <c r="D1079" i="10"/>
  <c r="D1091" i="10"/>
  <c r="D1103" i="10"/>
  <c r="D1115" i="10"/>
  <c r="D1127" i="10"/>
  <c r="D1139" i="10"/>
  <c r="D1151" i="10"/>
  <c r="D1163" i="10"/>
  <c r="D1175" i="10"/>
  <c r="D1187" i="10"/>
  <c r="D1199" i="10"/>
  <c r="D1211" i="10"/>
  <c r="D1223" i="10"/>
  <c r="D1235" i="10"/>
  <c r="D1247" i="10"/>
  <c r="D1259" i="10"/>
  <c r="D1271" i="10"/>
  <c r="D1283" i="10"/>
  <c r="D1295" i="10"/>
  <c r="D1307" i="10"/>
  <c r="D1319" i="10"/>
  <c r="D1331" i="10"/>
  <c r="D1343" i="10"/>
  <c r="D1355" i="10"/>
  <c r="D1367" i="10"/>
  <c r="D1379" i="10"/>
  <c r="D12" i="10"/>
  <c r="D24" i="10"/>
  <c r="D36" i="10"/>
  <c r="D48" i="10"/>
  <c r="D60" i="10"/>
  <c r="D72" i="10"/>
  <c r="D84" i="10"/>
  <c r="D96" i="10"/>
  <c r="D108" i="10"/>
  <c r="D120" i="10"/>
  <c r="D132" i="10"/>
  <c r="D144" i="10"/>
  <c r="D156" i="10"/>
  <c r="D168" i="10"/>
  <c r="D180" i="10"/>
  <c r="D192" i="10"/>
  <c r="D204" i="10"/>
  <c r="D216" i="10"/>
  <c r="D228" i="10"/>
  <c r="D240" i="10"/>
  <c r="D252" i="10"/>
  <c r="D264" i="10"/>
  <c r="D276" i="10"/>
  <c r="D288" i="10"/>
  <c r="D300" i="10"/>
  <c r="D312" i="10"/>
  <c r="D324" i="10"/>
  <c r="D336" i="10"/>
  <c r="D348" i="10"/>
  <c r="D360" i="10"/>
  <c r="D372" i="10"/>
  <c r="D384" i="10"/>
  <c r="D396" i="10"/>
  <c r="D408" i="10"/>
  <c r="D420" i="10"/>
  <c r="D432" i="10"/>
  <c r="D444" i="10"/>
  <c r="D456" i="10"/>
  <c r="D468" i="10"/>
  <c r="D480" i="10"/>
  <c r="D492" i="10"/>
  <c r="D504" i="10"/>
  <c r="D516" i="10"/>
  <c r="D528" i="10"/>
  <c r="D540" i="10"/>
  <c r="D552" i="10"/>
  <c r="D564" i="10"/>
  <c r="D576" i="10"/>
  <c r="D588" i="10"/>
  <c r="D600" i="10"/>
  <c r="D612" i="10"/>
  <c r="D624" i="10"/>
  <c r="D636" i="10"/>
  <c r="D648" i="10"/>
  <c r="D660" i="10"/>
  <c r="D672" i="10"/>
  <c r="D684" i="10"/>
  <c r="D696" i="10"/>
  <c r="D708" i="10"/>
  <c r="D720" i="10"/>
  <c r="D732" i="10"/>
  <c r="D744" i="10"/>
  <c r="D756" i="10"/>
  <c r="D768" i="10"/>
  <c r="D780" i="10"/>
  <c r="D792" i="10"/>
  <c r="D804" i="10"/>
  <c r="D816" i="10"/>
  <c r="D828" i="10"/>
  <c r="D840" i="10"/>
  <c r="D852" i="10"/>
  <c r="D864" i="10"/>
  <c r="D876" i="10"/>
  <c r="D888" i="10"/>
  <c r="D900" i="10"/>
  <c r="D912" i="10"/>
  <c r="D924" i="10"/>
  <c r="D936" i="10"/>
  <c r="D948" i="10"/>
  <c r="D960" i="10"/>
  <c r="D972" i="10"/>
  <c r="D984" i="10"/>
  <c r="D996" i="10"/>
  <c r="D1008" i="10"/>
  <c r="D1020" i="10"/>
  <c r="D1032" i="10"/>
  <c r="D1044" i="10"/>
  <c r="D1056" i="10"/>
  <c r="D1068" i="10"/>
  <c r="D1080" i="10"/>
  <c r="D1092" i="10"/>
  <c r="D1104" i="10"/>
  <c r="D1116" i="10"/>
  <c r="D1128" i="10"/>
  <c r="D1140" i="10"/>
  <c r="D1152" i="10"/>
  <c r="D1164" i="10"/>
  <c r="D1176" i="10"/>
  <c r="D1188" i="10"/>
  <c r="D1200" i="10"/>
  <c r="D1212" i="10"/>
  <c r="D1224" i="10"/>
  <c r="D1236" i="10"/>
  <c r="D1248" i="10"/>
  <c r="D1260" i="10"/>
  <c r="D1272" i="10"/>
  <c r="D1284" i="10"/>
  <c r="D1296" i="10"/>
  <c r="D1308" i="10"/>
  <c r="D1320" i="10"/>
  <c r="D1332" i="10"/>
  <c r="D1344" i="10"/>
  <c r="D1356" i="10"/>
  <c r="D1368" i="10"/>
  <c r="D1380" i="10"/>
  <c r="D13" i="10"/>
  <c r="D25" i="10"/>
  <c r="D37" i="10"/>
  <c r="D49" i="10"/>
  <c r="D61" i="10"/>
  <c r="D73" i="10"/>
  <c r="D85" i="10"/>
  <c r="D97" i="10"/>
  <c r="D109" i="10"/>
  <c r="D121" i="10"/>
  <c r="D133" i="10"/>
  <c r="D145" i="10"/>
  <c r="D157" i="10"/>
  <c r="D169" i="10"/>
  <c r="D181" i="10"/>
  <c r="D193" i="10"/>
  <c r="D205" i="10"/>
  <c r="D217" i="10"/>
  <c r="D229" i="10"/>
  <c r="D241" i="10"/>
  <c r="D253" i="10"/>
  <c r="D265" i="10"/>
  <c r="D277" i="10"/>
  <c r="D289" i="10"/>
  <c r="D301" i="10"/>
  <c r="D313" i="10"/>
  <c r="D325" i="10"/>
  <c r="D337" i="10"/>
  <c r="D349" i="10"/>
  <c r="D361" i="10"/>
  <c r="D373" i="10"/>
  <c r="D385" i="10"/>
  <c r="D397" i="10"/>
  <c r="D409" i="10"/>
  <c r="D421" i="10"/>
  <c r="D433" i="10"/>
  <c r="D445" i="10"/>
  <c r="D457" i="10"/>
  <c r="D469" i="10"/>
  <c r="D481" i="10"/>
  <c r="D493" i="10"/>
  <c r="D505" i="10"/>
  <c r="D517" i="10"/>
  <c r="D529" i="10"/>
  <c r="D541" i="10"/>
  <c r="D553" i="10"/>
  <c r="D565" i="10"/>
  <c r="D577" i="10"/>
  <c r="D589" i="10"/>
  <c r="D601" i="10"/>
  <c r="D613" i="10"/>
  <c r="D625" i="10"/>
  <c r="D637" i="10"/>
  <c r="D649" i="10"/>
  <c r="D661" i="10"/>
  <c r="D673" i="10"/>
  <c r="D685" i="10"/>
  <c r="D697" i="10"/>
  <c r="D709" i="10"/>
  <c r="D721" i="10"/>
  <c r="D733" i="10"/>
  <c r="D745" i="10"/>
  <c r="D757" i="10"/>
  <c r="D769" i="10"/>
  <c r="D781" i="10"/>
  <c r="D793" i="10"/>
  <c r="D805" i="10"/>
  <c r="D817" i="10"/>
  <c r="D829" i="10"/>
  <c r="D841" i="10"/>
  <c r="D853" i="10"/>
  <c r="D865" i="10"/>
  <c r="D877" i="10"/>
  <c r="D889" i="10"/>
  <c r="D901" i="10"/>
  <c r="D913" i="10"/>
  <c r="D925" i="10"/>
  <c r="D937" i="10"/>
  <c r="D949" i="10"/>
  <c r="D961" i="10"/>
  <c r="D973" i="10"/>
  <c r="D985" i="10"/>
  <c r="D997" i="10"/>
  <c r="D1009" i="10"/>
  <c r="D1021" i="10"/>
  <c r="D1033" i="10"/>
  <c r="D1045" i="10"/>
  <c r="D1057" i="10"/>
  <c r="D1069" i="10"/>
  <c r="D1081" i="10"/>
  <c r="D1093" i="10"/>
  <c r="D1105" i="10"/>
  <c r="D1117" i="10"/>
  <c r="D1129" i="10"/>
  <c r="D1141" i="10"/>
  <c r="D1153" i="10"/>
  <c r="D1165" i="10"/>
  <c r="D1177" i="10"/>
  <c r="D1189" i="10"/>
  <c r="D1201" i="10"/>
  <c r="D1213" i="10"/>
  <c r="D1225" i="10"/>
  <c r="D1237" i="10"/>
  <c r="D1249" i="10"/>
  <c r="D1261" i="10"/>
  <c r="D1273" i="10"/>
  <c r="D1285" i="10"/>
  <c r="D1297" i="10"/>
  <c r="D1309" i="10"/>
  <c r="D1321" i="10"/>
  <c r="D1333" i="10"/>
  <c r="D1345" i="10"/>
  <c r="D1357" i="10"/>
  <c r="D1369" i="10"/>
  <c r="D14" i="10"/>
  <c r="D26" i="10"/>
  <c r="D38" i="10"/>
  <c r="D50" i="10"/>
  <c r="D62" i="10"/>
  <c r="D74" i="10"/>
  <c r="D86" i="10"/>
  <c r="D98" i="10"/>
  <c r="D110" i="10"/>
  <c r="D122" i="10"/>
  <c r="D134" i="10"/>
  <c r="D146" i="10"/>
  <c r="D158" i="10"/>
  <c r="D170" i="10"/>
  <c r="D182" i="10"/>
  <c r="D194" i="10"/>
  <c r="D206" i="10"/>
  <c r="D218" i="10"/>
  <c r="D230" i="10"/>
  <c r="D242" i="10"/>
  <c r="D254" i="10"/>
  <c r="D266" i="10"/>
  <c r="D278" i="10"/>
  <c r="D290" i="10"/>
  <c r="D302" i="10"/>
  <c r="D314" i="10"/>
  <c r="D326" i="10"/>
  <c r="D338" i="10"/>
  <c r="D350" i="10"/>
  <c r="D362" i="10"/>
  <c r="D374" i="10"/>
  <c r="D386" i="10"/>
  <c r="D398" i="10"/>
  <c r="D410" i="10"/>
  <c r="D422" i="10"/>
  <c r="D434" i="10"/>
  <c r="D446" i="10"/>
  <c r="D458" i="10"/>
  <c r="D470" i="10"/>
  <c r="D482" i="10"/>
  <c r="D494" i="10"/>
  <c r="D506" i="10"/>
  <c r="D518" i="10"/>
  <c r="D530" i="10"/>
  <c r="D542" i="10"/>
  <c r="D554" i="10"/>
  <c r="D566" i="10"/>
  <c r="D578" i="10"/>
  <c r="D590" i="10"/>
  <c r="D602" i="10"/>
  <c r="D614" i="10"/>
  <c r="D626" i="10"/>
  <c r="D638" i="10"/>
  <c r="D650" i="10"/>
  <c r="D662" i="10"/>
  <c r="D674" i="10"/>
  <c r="D686" i="10"/>
  <c r="D698" i="10"/>
  <c r="D710" i="10"/>
  <c r="D722" i="10"/>
  <c r="D734" i="10"/>
  <c r="D746" i="10"/>
  <c r="D758" i="10"/>
  <c r="D770" i="10"/>
  <c r="D782" i="10"/>
  <c r="D794" i="10"/>
  <c r="D806" i="10"/>
  <c r="D818" i="10"/>
  <c r="D830" i="10"/>
  <c r="D842" i="10"/>
  <c r="D854" i="10"/>
  <c r="D866" i="10"/>
  <c r="D878" i="10"/>
  <c r="D890" i="10"/>
  <c r="D902" i="10"/>
  <c r="D914" i="10"/>
  <c r="D926" i="10"/>
  <c r="D938" i="10"/>
  <c r="D950" i="10"/>
  <c r="D962" i="10"/>
  <c r="D974" i="10"/>
  <c r="D986" i="10"/>
  <c r="D998" i="10"/>
  <c r="D1010" i="10"/>
  <c r="D1022" i="10"/>
  <c r="D1034" i="10"/>
  <c r="D1046" i="10"/>
  <c r="D1058" i="10"/>
  <c r="D1070" i="10"/>
  <c r="D1082" i="10"/>
  <c r="D1094" i="10"/>
  <c r="D1106" i="10"/>
  <c r="D1118" i="10"/>
  <c r="D1130" i="10"/>
  <c r="D1142" i="10"/>
  <c r="D1154" i="10"/>
  <c r="D1166" i="10"/>
  <c r="D1178" i="10"/>
  <c r="D1190" i="10"/>
  <c r="D1202" i="10"/>
  <c r="D1214" i="10"/>
  <c r="D1226" i="10"/>
  <c r="D1238" i="10"/>
  <c r="D1250" i="10"/>
  <c r="D1262" i="10"/>
  <c r="D1274" i="10"/>
  <c r="D1286" i="10"/>
  <c r="D1298" i="10"/>
  <c r="D1310" i="10"/>
  <c r="D1322" i="10"/>
  <c r="D1334" i="10"/>
  <c r="D1346" i="10"/>
  <c r="D1358" i="10"/>
  <c r="D1370" i="10"/>
  <c r="D15" i="10"/>
  <c r="D27" i="10"/>
  <c r="D39" i="10"/>
  <c r="D51" i="10"/>
  <c r="D63" i="10"/>
  <c r="D75" i="10"/>
  <c r="D87" i="10"/>
  <c r="D99" i="10"/>
  <c r="D111" i="10"/>
  <c r="D123" i="10"/>
  <c r="D135" i="10"/>
  <c r="D147" i="10"/>
  <c r="D159" i="10"/>
  <c r="D171" i="10"/>
  <c r="D183" i="10"/>
  <c r="D195" i="10"/>
  <c r="D207" i="10"/>
  <c r="D219" i="10"/>
  <c r="D231" i="10"/>
  <c r="D243" i="10"/>
  <c r="D255" i="10"/>
  <c r="D267" i="10"/>
  <c r="D279" i="10"/>
  <c r="D291" i="10"/>
  <c r="D303" i="10"/>
  <c r="D315" i="10"/>
  <c r="D327" i="10"/>
  <c r="D339" i="10"/>
  <c r="D351" i="10"/>
  <c r="D363" i="10"/>
  <c r="D375" i="10"/>
  <c r="D387" i="10"/>
  <c r="D399" i="10"/>
  <c r="D411" i="10"/>
  <c r="D423" i="10"/>
  <c r="D435" i="10"/>
  <c r="D447" i="10"/>
  <c r="D459" i="10"/>
  <c r="D471" i="10"/>
  <c r="D483" i="10"/>
  <c r="D495" i="10"/>
  <c r="D507" i="10"/>
  <c r="D519" i="10"/>
  <c r="D531" i="10"/>
  <c r="D543" i="10"/>
  <c r="D555" i="10"/>
  <c r="D567" i="10"/>
  <c r="D579" i="10"/>
  <c r="D591" i="10"/>
  <c r="D603" i="10"/>
  <c r="D615" i="10"/>
  <c r="D627" i="10"/>
  <c r="D639" i="10"/>
  <c r="D651" i="10"/>
  <c r="D663" i="10"/>
  <c r="D675" i="10"/>
  <c r="D687" i="10"/>
  <c r="D699" i="10"/>
  <c r="D711" i="10"/>
  <c r="D723" i="10"/>
  <c r="D735" i="10"/>
  <c r="D747" i="10"/>
  <c r="D759" i="10"/>
  <c r="D771" i="10"/>
  <c r="D783" i="10"/>
  <c r="D795" i="10"/>
  <c r="D807" i="10"/>
  <c r="D819" i="10"/>
  <c r="D831" i="10"/>
  <c r="D843" i="10"/>
  <c r="D855" i="10"/>
  <c r="D867" i="10"/>
  <c r="D879" i="10"/>
  <c r="D891" i="10"/>
  <c r="D903" i="10"/>
  <c r="D915" i="10"/>
  <c r="D927" i="10"/>
  <c r="D939" i="10"/>
  <c r="D951" i="10"/>
  <c r="D963" i="10"/>
  <c r="D975" i="10"/>
  <c r="D987" i="10"/>
  <c r="D999" i="10"/>
  <c r="D1011" i="10"/>
  <c r="D1023" i="10"/>
  <c r="D1035" i="10"/>
  <c r="D1047" i="10"/>
  <c r="D1059" i="10"/>
  <c r="D1071" i="10"/>
  <c r="D1083" i="10"/>
  <c r="D1095" i="10"/>
  <c r="D1107" i="10"/>
  <c r="D1119" i="10"/>
  <c r="D1131" i="10"/>
  <c r="D1143" i="10"/>
  <c r="D1155" i="10"/>
  <c r="D1167" i="10"/>
  <c r="D1179" i="10"/>
  <c r="D1191" i="10"/>
  <c r="D1203" i="10"/>
  <c r="D1215" i="10"/>
  <c r="D1227" i="10"/>
  <c r="D1239" i="10"/>
  <c r="D1251" i="10"/>
  <c r="D1263" i="10"/>
  <c r="D1275" i="10"/>
  <c r="D1287" i="10"/>
  <c r="D1299" i="10"/>
  <c r="D1311" i="10"/>
  <c r="D1323" i="10"/>
  <c r="D1335" i="10"/>
  <c r="D1347" i="10"/>
  <c r="D1359" i="10"/>
  <c r="D1371" i="10"/>
  <c r="D1383" i="10"/>
  <c r="D1395" i="10"/>
  <c r="D1407" i="10"/>
  <c r="D1419" i="10"/>
  <c r="D1431" i="10"/>
  <c r="D1443" i="10"/>
  <c r="D1455" i="10"/>
  <c r="D1467" i="10"/>
  <c r="D1479" i="10"/>
  <c r="D1491" i="10"/>
  <c r="D1503" i="10"/>
  <c r="D1515" i="10"/>
  <c r="D1527" i="10"/>
  <c r="D20" i="10"/>
  <c r="D32" i="10"/>
  <c r="D44" i="10"/>
  <c r="D56" i="10"/>
  <c r="D68" i="10"/>
  <c r="D80" i="10"/>
  <c r="D92" i="10"/>
  <c r="D104" i="10"/>
  <c r="D116" i="10"/>
  <c r="D128" i="10"/>
  <c r="D140" i="10"/>
  <c r="D152" i="10"/>
  <c r="D164" i="10"/>
  <c r="D176" i="10"/>
  <c r="D188" i="10"/>
  <c r="D200" i="10"/>
  <c r="D212" i="10"/>
  <c r="D224" i="10"/>
  <c r="D236" i="10"/>
  <c r="D248" i="10"/>
  <c r="D260" i="10"/>
  <c r="D272" i="10"/>
  <c r="D284" i="10"/>
  <c r="D296" i="10"/>
  <c r="D308" i="10"/>
  <c r="D320" i="10"/>
  <c r="D332" i="10"/>
  <c r="D344" i="10"/>
  <c r="D356" i="10"/>
  <c r="D368" i="10"/>
  <c r="D380" i="10"/>
  <c r="D392" i="10"/>
  <c r="D404" i="10"/>
  <c r="D416" i="10"/>
  <c r="D428" i="10"/>
  <c r="D440" i="10"/>
  <c r="D452" i="10"/>
  <c r="D464" i="10"/>
  <c r="D476" i="10"/>
  <c r="D488" i="10"/>
  <c r="D500" i="10"/>
  <c r="D512" i="10"/>
  <c r="D524" i="10"/>
  <c r="D536" i="10"/>
  <c r="D548" i="10"/>
  <c r="D560" i="10"/>
  <c r="D572" i="10"/>
  <c r="D584" i="10"/>
  <c r="D596" i="10"/>
  <c r="D608" i="10"/>
  <c r="D620" i="10"/>
  <c r="D632" i="10"/>
  <c r="D644" i="10"/>
  <c r="D656" i="10"/>
  <c r="D668" i="10"/>
  <c r="D680" i="10"/>
  <c r="D692" i="10"/>
  <c r="D704" i="10"/>
  <c r="D716" i="10"/>
  <c r="D728" i="10"/>
  <c r="D740" i="10"/>
  <c r="D752" i="10"/>
  <c r="D764" i="10"/>
  <c r="D776" i="10"/>
  <c r="D788" i="10"/>
  <c r="D800" i="10"/>
  <c r="D812" i="10"/>
  <c r="D824" i="10"/>
  <c r="D836" i="10"/>
  <c r="D848" i="10"/>
  <c r="D860" i="10"/>
  <c r="D872" i="10"/>
  <c r="D884" i="10"/>
  <c r="D896" i="10"/>
  <c r="D908" i="10"/>
  <c r="D920" i="10"/>
  <c r="D932" i="10"/>
  <c r="D944" i="10"/>
  <c r="D956" i="10"/>
  <c r="D968" i="10"/>
  <c r="D980" i="10"/>
  <c r="D992" i="10"/>
  <c r="D1004" i="10"/>
  <c r="D1016" i="10"/>
  <c r="D1028" i="10"/>
  <c r="D1040" i="10"/>
  <c r="D1052" i="10"/>
  <c r="D1064" i="10"/>
  <c r="D1076" i="10"/>
  <c r="D1088" i="10"/>
  <c r="D1100" i="10"/>
  <c r="D1112" i="10"/>
  <c r="D1124" i="10"/>
  <c r="D1136" i="10"/>
  <c r="D1148" i="10"/>
  <c r="D1160" i="10"/>
  <c r="D1172" i="10"/>
  <c r="D1184" i="10"/>
  <c r="D1196" i="10"/>
  <c r="D1208" i="10"/>
  <c r="D1220" i="10"/>
  <c r="D1232" i="10"/>
  <c r="D1244" i="10"/>
  <c r="D1256" i="10"/>
  <c r="D1268" i="10"/>
  <c r="D1280" i="10"/>
  <c r="D1292" i="10"/>
  <c r="D1304" i="10"/>
  <c r="D1316" i="10"/>
  <c r="D1328" i="10"/>
  <c r="D1340" i="10"/>
  <c r="D1352" i="10"/>
  <c r="D1364" i="10"/>
  <c r="D1376" i="10"/>
  <c r="D1388" i="10"/>
  <c r="D1400" i="10"/>
  <c r="D1412" i="10"/>
  <c r="D16" i="10"/>
  <c r="D40" i="10"/>
  <c r="D64" i="10"/>
  <c r="D88" i="10"/>
  <c r="D112" i="10"/>
  <c r="D136" i="10"/>
  <c r="D160" i="10"/>
  <c r="D184" i="10"/>
  <c r="D208" i="10"/>
  <c r="D232" i="10"/>
  <c r="D256" i="10"/>
  <c r="D280" i="10"/>
  <c r="D304" i="10"/>
  <c r="D328" i="10"/>
  <c r="D352" i="10"/>
  <c r="D376" i="10"/>
  <c r="D400" i="10"/>
  <c r="D424" i="10"/>
  <c r="D448" i="10"/>
  <c r="D472" i="10"/>
  <c r="D496" i="10"/>
  <c r="D520" i="10"/>
  <c r="D544" i="10"/>
  <c r="D568" i="10"/>
  <c r="D592" i="10"/>
  <c r="D616" i="10"/>
  <c r="D640" i="10"/>
  <c r="D664" i="10"/>
  <c r="D688" i="10"/>
  <c r="D712" i="10"/>
  <c r="D736" i="10"/>
  <c r="D760" i="10"/>
  <c r="D784" i="10"/>
  <c r="D808" i="10"/>
  <c r="D832" i="10"/>
  <c r="D856" i="10"/>
  <c r="D880" i="10"/>
  <c r="D904" i="10"/>
  <c r="D928" i="10"/>
  <c r="D952" i="10"/>
  <c r="D976" i="10"/>
  <c r="D1000" i="10"/>
  <c r="D1024" i="10"/>
  <c r="D1048" i="10"/>
  <c r="D1072" i="10"/>
  <c r="D1096" i="10"/>
  <c r="D1120" i="10"/>
  <c r="D1144" i="10"/>
  <c r="D1168" i="10"/>
  <c r="D1192" i="10"/>
  <c r="D1216" i="10"/>
  <c r="D1240" i="10"/>
  <c r="D1264" i="10"/>
  <c r="D1288" i="10"/>
  <c r="D1312" i="10"/>
  <c r="D1336" i="10"/>
  <c r="D1360" i="10"/>
  <c r="D1381" i="10"/>
  <c r="D1396" i="10"/>
  <c r="D1410" i="10"/>
  <c r="D1424" i="10"/>
  <c r="D1437" i="10"/>
  <c r="D1450" i="10"/>
  <c r="D1463" i="10"/>
  <c r="D1476" i="10"/>
  <c r="D1489" i="10"/>
  <c r="D1502" i="10"/>
  <c r="D1516" i="10"/>
  <c r="D1529" i="10"/>
  <c r="D1541" i="10"/>
  <c r="D1553" i="10"/>
  <c r="D1565" i="10"/>
  <c r="D1577" i="10"/>
  <c r="D1589" i="10"/>
  <c r="D1601" i="10"/>
  <c r="D1613" i="10"/>
  <c r="D1625" i="10"/>
  <c r="D1637" i="10"/>
  <c r="D1649" i="10"/>
  <c r="D1661" i="10"/>
  <c r="D1673" i="10"/>
  <c r="D1685" i="10"/>
  <c r="D1697" i="10"/>
  <c r="D1709" i="10"/>
  <c r="D1721" i="10"/>
  <c r="D1733" i="10"/>
  <c r="D1745" i="10"/>
  <c r="D1757" i="10"/>
  <c r="D1769" i="10"/>
  <c r="D1781" i="10"/>
  <c r="D1793" i="10"/>
  <c r="D1805" i="10"/>
  <c r="D1817" i="10"/>
  <c r="D1829" i="10"/>
  <c r="D1841" i="10"/>
  <c r="D1853" i="10"/>
  <c r="D1865" i="10"/>
  <c r="D1877" i="10"/>
  <c r="D1889" i="10"/>
  <c r="D1901" i="10"/>
  <c r="D1913" i="10"/>
  <c r="D1925" i="10"/>
  <c r="D1937" i="10"/>
  <c r="D1949" i="10"/>
  <c r="D1961" i="10"/>
  <c r="D1973" i="10"/>
  <c r="D1985" i="10"/>
  <c r="D1997" i="10"/>
  <c r="D2009" i="10"/>
  <c r="D2021" i="10"/>
  <c r="D2033" i="10"/>
  <c r="D2045" i="10"/>
  <c r="D2057" i="10"/>
  <c r="D2069" i="10"/>
  <c r="D2081" i="10"/>
  <c r="D2093" i="10"/>
  <c r="D2105" i="10"/>
  <c r="D2117" i="10"/>
  <c r="D2129" i="10"/>
  <c r="D2141" i="10"/>
  <c r="D2153" i="10"/>
  <c r="D2165" i="10"/>
  <c r="D2177" i="10"/>
  <c r="D2189" i="10"/>
  <c r="D2201" i="10"/>
  <c r="D2213" i="10"/>
  <c r="D2225" i="10"/>
  <c r="D17" i="10"/>
  <c r="D41" i="10"/>
  <c r="D65" i="10"/>
  <c r="D89" i="10"/>
  <c r="D113" i="10"/>
  <c r="D137" i="10"/>
  <c r="D161" i="10"/>
  <c r="D185" i="10"/>
  <c r="D209" i="10"/>
  <c r="D233" i="10"/>
  <c r="D257" i="10"/>
  <c r="D281" i="10"/>
  <c r="D305" i="10"/>
  <c r="D329" i="10"/>
  <c r="D353" i="10"/>
  <c r="D377" i="10"/>
  <c r="D401" i="10"/>
  <c r="D425" i="10"/>
  <c r="D449" i="10"/>
  <c r="D473" i="10"/>
  <c r="D497" i="10"/>
  <c r="D521" i="10"/>
  <c r="D545" i="10"/>
  <c r="D569" i="10"/>
  <c r="D593" i="10"/>
  <c r="D617" i="10"/>
  <c r="D641" i="10"/>
  <c r="D665" i="10"/>
  <c r="D689" i="10"/>
  <c r="D713" i="10"/>
  <c r="D737" i="10"/>
  <c r="D761" i="10"/>
  <c r="D785" i="10"/>
  <c r="D809" i="10"/>
  <c r="D833" i="10"/>
  <c r="D857" i="10"/>
  <c r="D881" i="10"/>
  <c r="D905" i="10"/>
  <c r="D929" i="10"/>
  <c r="D953" i="10"/>
  <c r="D977" i="10"/>
  <c r="D1001" i="10"/>
  <c r="D1025" i="10"/>
  <c r="D1049" i="10"/>
  <c r="D1073" i="10"/>
  <c r="D1097" i="10"/>
  <c r="D1121" i="10"/>
  <c r="D1145" i="10"/>
  <c r="D1169" i="10"/>
  <c r="D1193" i="10"/>
  <c r="D1217" i="10"/>
  <c r="D1241" i="10"/>
  <c r="D1265" i="10"/>
  <c r="D1289" i="10"/>
  <c r="D1313" i="10"/>
  <c r="D1337" i="10"/>
  <c r="D1361" i="10"/>
  <c r="D1382" i="10"/>
  <c r="D1397" i="10"/>
  <c r="D1411" i="10"/>
  <c r="D1425" i="10"/>
  <c r="D1438" i="10"/>
  <c r="D1451" i="10"/>
  <c r="D1464" i="10"/>
  <c r="D1477" i="10"/>
  <c r="D1490" i="10"/>
  <c r="D1504" i="10"/>
  <c r="D1517" i="10"/>
  <c r="D1530" i="10"/>
  <c r="D1542" i="10"/>
  <c r="D1554" i="10"/>
  <c r="D1566" i="10"/>
  <c r="D1578" i="10"/>
  <c r="D1590" i="10"/>
  <c r="D1602" i="10"/>
  <c r="D1614" i="10"/>
  <c r="D1626" i="10"/>
  <c r="D1638" i="10"/>
  <c r="D1650" i="10"/>
  <c r="D1662" i="10"/>
  <c r="D1674" i="10"/>
  <c r="D1686" i="10"/>
  <c r="D1698" i="10"/>
  <c r="D1710" i="10"/>
  <c r="D1722" i="10"/>
  <c r="D1734" i="10"/>
  <c r="D1746" i="10"/>
  <c r="D1758" i="10"/>
  <c r="D1770" i="10"/>
  <c r="D1782" i="10"/>
  <c r="D1794" i="10"/>
  <c r="D1806" i="10"/>
  <c r="D1818" i="10"/>
  <c r="D1830" i="10"/>
  <c r="D1842" i="10"/>
  <c r="D1854" i="10"/>
  <c r="D1866" i="10"/>
  <c r="D1878" i="10"/>
  <c r="D1890" i="10"/>
  <c r="D1902" i="10"/>
  <c r="D1914" i="10"/>
  <c r="D1926" i="10"/>
  <c r="D1938" i="10"/>
  <c r="D1950" i="10"/>
  <c r="D1962" i="10"/>
  <c r="D1974" i="10"/>
  <c r="D1986" i="10"/>
  <c r="D1998" i="10"/>
  <c r="D2010" i="10"/>
  <c r="D2022" i="10"/>
  <c r="D2034" i="10"/>
  <c r="D2046" i="10"/>
  <c r="D2058" i="10"/>
  <c r="D2070" i="10"/>
  <c r="D2082" i="10"/>
  <c r="D2094" i="10"/>
  <c r="D2106" i="10"/>
  <c r="D2118" i="10"/>
  <c r="D2130" i="10"/>
  <c r="D2142" i="10"/>
  <c r="D2154" i="10"/>
  <c r="D2166" i="10"/>
  <c r="D2178" i="10"/>
  <c r="D2190" i="10"/>
  <c r="D2202" i="10"/>
  <c r="D2214" i="10"/>
  <c r="D2226" i="10"/>
  <c r="D18" i="10"/>
  <c r="D42" i="10"/>
  <c r="D66" i="10"/>
  <c r="D90" i="10"/>
  <c r="D114" i="10"/>
  <c r="D138" i="10"/>
  <c r="D162" i="10"/>
  <c r="D186" i="10"/>
  <c r="D210" i="10"/>
  <c r="D234" i="10"/>
  <c r="D258" i="10"/>
  <c r="D282" i="10"/>
  <c r="D306" i="10"/>
  <c r="D330" i="10"/>
  <c r="D354" i="10"/>
  <c r="D378" i="10"/>
  <c r="D402" i="10"/>
  <c r="D426" i="10"/>
  <c r="D450" i="10"/>
  <c r="D474" i="10"/>
  <c r="D498" i="10"/>
  <c r="D522" i="10"/>
  <c r="D546" i="10"/>
  <c r="D570" i="10"/>
  <c r="D594" i="10"/>
  <c r="D618" i="10"/>
  <c r="D642" i="10"/>
  <c r="D666" i="10"/>
  <c r="D690" i="10"/>
  <c r="D714" i="10"/>
  <c r="D738" i="10"/>
  <c r="D762" i="10"/>
  <c r="D786" i="10"/>
  <c r="D810" i="10"/>
  <c r="D834" i="10"/>
  <c r="D858" i="10"/>
  <c r="D882" i="10"/>
  <c r="D906" i="10"/>
  <c r="D930" i="10"/>
  <c r="D954" i="10"/>
  <c r="D978" i="10"/>
  <c r="D1002" i="10"/>
  <c r="D1026" i="10"/>
  <c r="D1050" i="10"/>
  <c r="D1074" i="10"/>
  <c r="D1098" i="10"/>
  <c r="D1122" i="10"/>
  <c r="D1146" i="10"/>
  <c r="D1170" i="10"/>
  <c r="D1194" i="10"/>
  <c r="D1218" i="10"/>
  <c r="D1242" i="10"/>
  <c r="D1266" i="10"/>
  <c r="D1290" i="10"/>
  <c r="D1314" i="10"/>
  <c r="D1338" i="10"/>
  <c r="D1362" i="10"/>
  <c r="D1384" i="10"/>
  <c r="D1398" i="10"/>
  <c r="D1413" i="10"/>
  <c r="D1426" i="10"/>
  <c r="D1439" i="10"/>
  <c r="D1452" i="10"/>
  <c r="D1465" i="10"/>
  <c r="D1478" i="10"/>
  <c r="D1492" i="10"/>
  <c r="D1505" i="10"/>
  <c r="D1518" i="10"/>
  <c r="D1531" i="10"/>
  <c r="D1543" i="10"/>
  <c r="D1555" i="10"/>
  <c r="D1567" i="10"/>
  <c r="D1579" i="10"/>
  <c r="D1591" i="10"/>
  <c r="D1603" i="10"/>
  <c r="D1615" i="10"/>
  <c r="D1627" i="10"/>
  <c r="D1639" i="10"/>
  <c r="D1651" i="10"/>
  <c r="D1663" i="10"/>
  <c r="D1675" i="10"/>
  <c r="D1687" i="10"/>
  <c r="D1699" i="10"/>
  <c r="D1711" i="10"/>
  <c r="D1723" i="10"/>
  <c r="D1735" i="10"/>
  <c r="D1747" i="10"/>
  <c r="D1759" i="10"/>
  <c r="D1771" i="10"/>
  <c r="D1783" i="10"/>
  <c r="D1795" i="10"/>
  <c r="D1807" i="10"/>
  <c r="D1819" i="10"/>
  <c r="D1831" i="10"/>
  <c r="D1843" i="10"/>
  <c r="D1855" i="10"/>
  <c r="D1867" i="10"/>
  <c r="D1879" i="10"/>
  <c r="D1891" i="10"/>
  <c r="D1903" i="10"/>
  <c r="D1915" i="10"/>
  <c r="D1927" i="10"/>
  <c r="D1939" i="10"/>
  <c r="D1951" i="10"/>
  <c r="D1963" i="10"/>
  <c r="D1975" i="10"/>
  <c r="D1987" i="10"/>
  <c r="D1999" i="10"/>
  <c r="D2011" i="10"/>
  <c r="D2023" i="10"/>
  <c r="D2035" i="10"/>
  <c r="D2047" i="10"/>
  <c r="D2059" i="10"/>
  <c r="D2071" i="10"/>
  <c r="D2083" i="10"/>
  <c r="D2095" i="10"/>
  <c r="D2107" i="10"/>
  <c r="D2119" i="10"/>
  <c r="D2131" i="10"/>
  <c r="D19" i="10"/>
  <c r="D43" i="10"/>
  <c r="D67" i="10"/>
  <c r="D91" i="10"/>
  <c r="D115" i="10"/>
  <c r="D139" i="10"/>
  <c r="D163" i="10"/>
  <c r="D187" i="10"/>
  <c r="D211" i="10"/>
  <c r="D235" i="10"/>
  <c r="D259" i="10"/>
  <c r="D283" i="10"/>
  <c r="D307" i="10"/>
  <c r="D331" i="10"/>
  <c r="D355" i="10"/>
  <c r="D379" i="10"/>
  <c r="D403" i="10"/>
  <c r="D427" i="10"/>
  <c r="D451" i="10"/>
  <c r="D475" i="10"/>
  <c r="D499" i="10"/>
  <c r="D523" i="10"/>
  <c r="D547" i="10"/>
  <c r="D571" i="10"/>
  <c r="D595" i="10"/>
  <c r="D619" i="10"/>
  <c r="D643" i="10"/>
  <c r="D667" i="10"/>
  <c r="D691" i="10"/>
  <c r="D715" i="10"/>
  <c r="D739" i="10"/>
  <c r="D763" i="10"/>
  <c r="D787" i="10"/>
  <c r="D811" i="10"/>
  <c r="D835" i="10"/>
  <c r="D859" i="10"/>
  <c r="D883" i="10"/>
  <c r="D907" i="10"/>
  <c r="D931" i="10"/>
  <c r="D955" i="10"/>
  <c r="D979" i="10"/>
  <c r="D1003" i="10"/>
  <c r="D1027" i="10"/>
  <c r="D1051" i="10"/>
  <c r="D1075" i="10"/>
  <c r="D1099" i="10"/>
  <c r="D1123" i="10"/>
  <c r="D1147" i="10"/>
  <c r="D1171" i="10"/>
  <c r="D1195" i="10"/>
  <c r="D1219" i="10"/>
  <c r="D1243" i="10"/>
  <c r="D1267" i="10"/>
  <c r="D1291" i="10"/>
  <c r="D1315" i="10"/>
  <c r="D1339" i="10"/>
  <c r="D1363" i="10"/>
  <c r="D1385" i="10"/>
  <c r="D1399" i="10"/>
  <c r="D1414" i="10"/>
  <c r="D1427" i="10"/>
  <c r="D1440" i="10"/>
  <c r="D1453" i="10"/>
  <c r="D1466" i="10"/>
  <c r="D1480" i="10"/>
  <c r="D1493" i="10"/>
  <c r="D1506" i="10"/>
  <c r="D1519" i="10"/>
  <c r="D1532" i="10"/>
  <c r="D1544" i="10"/>
  <c r="D1556" i="10"/>
  <c r="D1568" i="10"/>
  <c r="D1580" i="10"/>
  <c r="D1592" i="10"/>
  <c r="D1604" i="10"/>
  <c r="D1616" i="10"/>
  <c r="D1628" i="10"/>
  <c r="D1640" i="10"/>
  <c r="D1652" i="10"/>
  <c r="D1664" i="10"/>
  <c r="D1676" i="10"/>
  <c r="D1688" i="10"/>
  <c r="D1700" i="10"/>
  <c r="D1712" i="10"/>
  <c r="D1724" i="10"/>
  <c r="D1736" i="10"/>
  <c r="D1748" i="10"/>
  <c r="D1760" i="10"/>
  <c r="D1772" i="10"/>
  <c r="D1784" i="10"/>
  <c r="D1796" i="10"/>
  <c r="D1808" i="10"/>
  <c r="D1820" i="10"/>
  <c r="D1832" i="10"/>
  <c r="D1844" i="10"/>
  <c r="D1856" i="10"/>
  <c r="D1868" i="10"/>
  <c r="D1880" i="10"/>
  <c r="D1892" i="10"/>
  <c r="D1904" i="10"/>
  <c r="D1916" i="10"/>
  <c r="D1928" i="10"/>
  <c r="D1940" i="10"/>
  <c r="D1952" i="10"/>
  <c r="D1964" i="10"/>
  <c r="D1976" i="10"/>
  <c r="D1988" i="10"/>
  <c r="D2000" i="10"/>
  <c r="D2012" i="10"/>
  <c r="D2024" i="10"/>
  <c r="D2036" i="10"/>
  <c r="D2048" i="10"/>
  <c r="D2060" i="10"/>
  <c r="D2072" i="10"/>
  <c r="D2084" i="10"/>
  <c r="D2096" i="10"/>
  <c r="D2108" i="10"/>
  <c r="D2120" i="10"/>
  <c r="D2132" i="10"/>
  <c r="D21" i="10"/>
  <c r="D45" i="10"/>
  <c r="D69" i="10"/>
  <c r="D93" i="10"/>
  <c r="D117" i="10"/>
  <c r="D141" i="10"/>
  <c r="D165" i="10"/>
  <c r="D189" i="10"/>
  <c r="D213" i="10"/>
  <c r="D237" i="10"/>
  <c r="D261" i="10"/>
  <c r="D285" i="10"/>
  <c r="D309" i="10"/>
  <c r="D333" i="10"/>
  <c r="D357" i="10"/>
  <c r="D381" i="10"/>
  <c r="D405" i="10"/>
  <c r="D429" i="10"/>
  <c r="D453" i="10"/>
  <c r="D477" i="10"/>
  <c r="D501" i="10"/>
  <c r="D525" i="10"/>
  <c r="D549" i="10"/>
  <c r="D573" i="10"/>
  <c r="D597" i="10"/>
  <c r="D621" i="10"/>
  <c r="D645" i="10"/>
  <c r="D669" i="10"/>
  <c r="D693" i="10"/>
  <c r="D717" i="10"/>
  <c r="D741" i="10"/>
  <c r="D765" i="10"/>
  <c r="D789" i="10"/>
  <c r="D813" i="10"/>
  <c r="D837" i="10"/>
  <c r="D861" i="10"/>
  <c r="D885" i="10"/>
  <c r="D909" i="10"/>
  <c r="D933" i="10"/>
  <c r="D957" i="10"/>
  <c r="D981" i="10"/>
  <c r="D1005" i="10"/>
  <c r="D1029" i="10"/>
  <c r="D1053" i="10"/>
  <c r="D1077" i="10"/>
  <c r="D1101" i="10"/>
  <c r="D1125" i="10"/>
  <c r="D1149" i="10"/>
  <c r="D1173" i="10"/>
  <c r="D1197" i="10"/>
  <c r="D1221" i="10"/>
  <c r="D1245" i="10"/>
  <c r="D1269" i="10"/>
  <c r="D1293" i="10"/>
  <c r="D1317" i="10"/>
  <c r="D1341" i="10"/>
  <c r="D1365" i="10"/>
  <c r="D1386" i="10"/>
  <c r="D1401" i="10"/>
  <c r="D1415" i="10"/>
  <c r="D1428" i="10"/>
  <c r="D1441" i="10"/>
  <c r="D1454" i="10"/>
  <c r="D1468" i="10"/>
  <c r="D1481" i="10"/>
  <c r="D1494" i="10"/>
  <c r="D1507" i="10"/>
  <c r="D1520" i="10"/>
  <c r="D1533" i="10"/>
  <c r="D1545" i="10"/>
  <c r="D1557" i="10"/>
  <c r="D1569" i="10"/>
  <c r="D1581" i="10"/>
  <c r="D1593" i="10"/>
  <c r="D1605" i="10"/>
  <c r="D1617" i="10"/>
  <c r="D1629" i="10"/>
  <c r="D1641" i="10"/>
  <c r="D1653" i="10"/>
  <c r="D1665" i="10"/>
  <c r="D1677" i="10"/>
  <c r="D1689" i="10"/>
  <c r="D1701" i="10"/>
  <c r="D1713" i="10"/>
  <c r="D1725" i="10"/>
  <c r="D1737" i="10"/>
  <c r="D1749" i="10"/>
  <c r="D1761" i="10"/>
  <c r="D1773" i="10"/>
  <c r="D1785" i="10"/>
  <c r="D1797" i="10"/>
  <c r="D1809" i="10"/>
  <c r="D1821" i="10"/>
  <c r="D1833" i="10"/>
  <c r="D1845" i="10"/>
  <c r="D1857" i="10"/>
  <c r="D1869" i="10"/>
  <c r="D1881" i="10"/>
  <c r="D1893" i="10"/>
  <c r="D1905" i="10"/>
  <c r="D1917" i="10"/>
  <c r="D1929" i="10"/>
  <c r="D1941" i="10"/>
  <c r="D1953" i="10"/>
  <c r="D1965" i="10"/>
  <c r="D1977" i="10"/>
  <c r="D1989" i="10"/>
  <c r="D2001" i="10"/>
  <c r="D2013" i="10"/>
  <c r="D2025" i="10"/>
  <c r="D2037" i="10"/>
  <c r="D2049" i="10"/>
  <c r="D2061" i="10"/>
  <c r="D2073" i="10"/>
  <c r="D2085" i="10"/>
  <c r="D2097" i="10"/>
  <c r="D2109" i="10"/>
  <c r="D2121" i="10"/>
  <c r="D2133" i="10"/>
  <c r="D2145" i="10"/>
  <c r="D2157" i="10"/>
  <c r="D2169" i="10"/>
  <c r="D2181" i="10"/>
  <c r="D2193" i="10"/>
  <c r="D2205" i="10"/>
  <c r="D2217" i="10"/>
  <c r="D31" i="10"/>
  <c r="D55" i="10"/>
  <c r="D79" i="10"/>
  <c r="D103" i="10"/>
  <c r="D127" i="10"/>
  <c r="D151" i="10"/>
  <c r="D175" i="10"/>
  <c r="D199" i="10"/>
  <c r="D223" i="10"/>
  <c r="D247" i="10"/>
  <c r="D271" i="10"/>
  <c r="D295" i="10"/>
  <c r="D319" i="10"/>
  <c r="D343" i="10"/>
  <c r="D367" i="10"/>
  <c r="D391" i="10"/>
  <c r="D415" i="10"/>
  <c r="D439" i="10"/>
  <c r="D463" i="10"/>
  <c r="D487" i="10"/>
  <c r="D511" i="10"/>
  <c r="D535" i="10"/>
  <c r="D559" i="10"/>
  <c r="D583" i="10"/>
  <c r="D607" i="10"/>
  <c r="D631" i="10"/>
  <c r="D655" i="10"/>
  <c r="D679" i="10"/>
  <c r="D703" i="10"/>
  <c r="D727" i="10"/>
  <c r="D751" i="10"/>
  <c r="D775" i="10"/>
  <c r="D799" i="10"/>
  <c r="D823" i="10"/>
  <c r="D847" i="10"/>
  <c r="D871" i="10"/>
  <c r="D895" i="10"/>
  <c r="D919" i="10"/>
  <c r="D943" i="10"/>
  <c r="D967" i="10"/>
  <c r="D991" i="10"/>
  <c r="D1015" i="10"/>
  <c r="D1039" i="10"/>
  <c r="D1063" i="10"/>
  <c r="D1087" i="10"/>
  <c r="D1111" i="10"/>
  <c r="D1135" i="10"/>
  <c r="D1159" i="10"/>
  <c r="D1183" i="10"/>
  <c r="D1207" i="10"/>
  <c r="D1231" i="10"/>
  <c r="D1255" i="10"/>
  <c r="D1279" i="10"/>
  <c r="D1303" i="10"/>
  <c r="D1327" i="10"/>
  <c r="D1351" i="10"/>
  <c r="D1375" i="10"/>
  <c r="D1392" i="10"/>
  <c r="D1406" i="10"/>
  <c r="D1421" i="10"/>
  <c r="D1434" i="10"/>
  <c r="D1447" i="10"/>
  <c r="D1460" i="10"/>
  <c r="D1473" i="10"/>
  <c r="D1486" i="10"/>
  <c r="D1499" i="10"/>
  <c r="D1512" i="10"/>
  <c r="D1525" i="10"/>
  <c r="D1538" i="10"/>
  <c r="D1550" i="10"/>
  <c r="D1562" i="10"/>
  <c r="D1574" i="10"/>
  <c r="D1586" i="10"/>
  <c r="D1598" i="10"/>
  <c r="D1610" i="10"/>
  <c r="D1622" i="10"/>
  <c r="D1634" i="10"/>
  <c r="D1646" i="10"/>
  <c r="D1658" i="10"/>
  <c r="D1670" i="10"/>
  <c r="D1682" i="10"/>
  <c r="D1694" i="10"/>
  <c r="D1706" i="10"/>
  <c r="D1718" i="10"/>
  <c r="D1730" i="10"/>
  <c r="D1742" i="10"/>
  <c r="D1754" i="10"/>
  <c r="D1766" i="10"/>
  <c r="D1778" i="10"/>
  <c r="D1790" i="10"/>
  <c r="D1802" i="10"/>
  <c r="D1814" i="10"/>
  <c r="D1826" i="10"/>
  <c r="D1838" i="10"/>
  <c r="D1850" i="10"/>
  <c r="D1862" i="10"/>
  <c r="D1874" i="10"/>
  <c r="D1886" i="10"/>
  <c r="D1898" i="10"/>
  <c r="D1910" i="10"/>
  <c r="D1922" i="10"/>
  <c r="D1934" i="10"/>
  <c r="D1946" i="10"/>
  <c r="D1958" i="10"/>
  <c r="D1970" i="10"/>
  <c r="D1982" i="10"/>
  <c r="D1994" i="10"/>
  <c r="D2006" i="10"/>
  <c r="D2018" i="10"/>
  <c r="D2030" i="10"/>
  <c r="D2042" i="10"/>
  <c r="D2054" i="10"/>
  <c r="D2066" i="10"/>
  <c r="D2078" i="10"/>
  <c r="D2090" i="10"/>
  <c r="D2102" i="10"/>
  <c r="D2114" i="10"/>
  <c r="D2126" i="10"/>
  <c r="D2138" i="10"/>
  <c r="D2150" i="10"/>
  <c r="D2162" i="10"/>
  <c r="D2174" i="10"/>
  <c r="D22" i="10"/>
  <c r="D70" i="10"/>
  <c r="D118" i="10"/>
  <c r="D166" i="10"/>
  <c r="D214" i="10"/>
  <c r="D262" i="10"/>
  <c r="D310" i="10"/>
  <c r="D358" i="10"/>
  <c r="D406" i="10"/>
  <c r="D454" i="10"/>
  <c r="D502" i="10"/>
  <c r="D550" i="10"/>
  <c r="D598" i="10"/>
  <c r="D646" i="10"/>
  <c r="D694" i="10"/>
  <c r="D742" i="10"/>
  <c r="D790" i="10"/>
  <c r="D838" i="10"/>
  <c r="D886" i="10"/>
  <c r="D934" i="10"/>
  <c r="D982" i="10"/>
  <c r="D1030" i="10"/>
  <c r="D1078" i="10"/>
  <c r="D1126" i="10"/>
  <c r="D1174" i="10"/>
  <c r="D1222" i="10"/>
  <c r="D1270" i="10"/>
  <c r="D1318" i="10"/>
  <c r="D1366" i="10"/>
  <c r="D1402" i="10"/>
  <c r="D1429" i="10"/>
  <c r="D1456" i="10"/>
  <c r="D1482" i="10"/>
  <c r="D1508" i="10"/>
  <c r="D1534" i="10"/>
  <c r="D1558" i="10"/>
  <c r="D1582" i="10"/>
  <c r="D1606" i="10"/>
  <c r="D1630" i="10"/>
  <c r="D1654" i="10"/>
  <c r="D1678" i="10"/>
  <c r="D1702" i="10"/>
  <c r="D1726" i="10"/>
  <c r="D1750" i="10"/>
  <c r="D1774" i="10"/>
  <c r="D1798" i="10"/>
  <c r="D1822" i="10"/>
  <c r="D1846" i="10"/>
  <c r="D1870" i="10"/>
  <c r="D1894" i="10"/>
  <c r="D1918" i="10"/>
  <c r="D1942" i="10"/>
  <c r="D1966" i="10"/>
  <c r="D1990" i="10"/>
  <c r="D2014" i="10"/>
  <c r="D2038" i="10"/>
  <c r="D2062" i="10"/>
  <c r="D2086" i="10"/>
  <c r="D2110" i="10"/>
  <c r="D2134" i="10"/>
  <c r="D2151" i="10"/>
  <c r="D2170" i="10"/>
  <c r="D2186" i="10"/>
  <c r="D2203" i="10"/>
  <c r="D2219" i="10"/>
  <c r="D2233" i="10"/>
  <c r="D2245" i="10"/>
  <c r="D2257" i="10"/>
  <c r="D2269" i="10"/>
  <c r="D2281" i="10"/>
  <c r="D2293" i="10"/>
  <c r="D2305" i="10"/>
  <c r="D2317" i="10"/>
  <c r="D2329" i="10"/>
  <c r="D2341" i="10"/>
  <c r="D2353" i="10"/>
  <c r="D2365" i="10"/>
  <c r="D2377" i="10"/>
  <c r="D2389" i="10"/>
  <c r="D2401" i="10"/>
  <c r="D2413" i="10"/>
  <c r="D2425" i="10"/>
  <c r="D2437" i="10"/>
  <c r="D2449" i="10"/>
  <c r="D2461" i="10"/>
  <c r="D2473" i="10"/>
  <c r="D2485" i="10"/>
  <c r="D2497" i="10"/>
  <c r="D2509" i="10"/>
  <c r="D2521" i="10"/>
  <c r="D2533" i="10"/>
  <c r="D2545" i="10"/>
  <c r="D2557" i="10"/>
  <c r="D2569" i="10"/>
  <c r="D2581" i="10"/>
  <c r="D2593" i="10"/>
  <c r="D2605" i="10"/>
  <c r="D2617" i="10"/>
  <c r="D2629" i="10"/>
  <c r="D2641" i="10"/>
  <c r="D2653" i="10"/>
  <c r="D2665" i="10"/>
  <c r="D2677" i="10"/>
  <c r="D2689" i="10"/>
  <c r="D2701" i="10"/>
  <c r="D2713" i="10"/>
  <c r="D2725" i="10"/>
  <c r="D2737" i="10"/>
  <c r="D2749" i="10"/>
  <c r="D2761" i="10"/>
  <c r="D2773" i="10"/>
  <c r="D2785" i="10"/>
  <c r="D2797" i="10"/>
  <c r="D2809" i="10"/>
  <c r="D2821" i="10"/>
  <c r="D2833" i="10"/>
  <c r="D2845" i="10"/>
  <c r="D2857" i="10"/>
  <c r="D2869" i="10"/>
  <c r="D2881" i="10"/>
  <c r="D2893" i="10"/>
  <c r="D2905" i="10"/>
  <c r="D2917" i="10"/>
  <c r="D2929" i="10"/>
  <c r="D2941" i="10"/>
  <c r="D2953" i="10"/>
  <c r="D28" i="10"/>
  <c r="D76" i="10"/>
  <c r="D124" i="10"/>
  <c r="D172" i="10"/>
  <c r="D220" i="10"/>
  <c r="D268" i="10"/>
  <c r="D316" i="10"/>
  <c r="D364" i="10"/>
  <c r="D412" i="10"/>
  <c r="D460" i="10"/>
  <c r="D508" i="10"/>
  <c r="D556" i="10"/>
  <c r="D604" i="10"/>
  <c r="D652" i="10"/>
  <c r="D700" i="10"/>
  <c r="D748" i="10"/>
  <c r="D796" i="10"/>
  <c r="D844" i="10"/>
  <c r="D892" i="10"/>
  <c r="D940" i="10"/>
  <c r="D988" i="10"/>
  <c r="D1036" i="10"/>
  <c r="D1084" i="10"/>
  <c r="D1132" i="10"/>
  <c r="D1180" i="10"/>
  <c r="D1228" i="10"/>
  <c r="D1276" i="10"/>
  <c r="D1324" i="10"/>
  <c r="D1372" i="10"/>
  <c r="D1403" i="10"/>
  <c r="D1430" i="10"/>
  <c r="D1457" i="10"/>
  <c r="D1483" i="10"/>
  <c r="D1509" i="10"/>
  <c r="D1535" i="10"/>
  <c r="D1559" i="10"/>
  <c r="D1583" i="10"/>
  <c r="D1607" i="10"/>
  <c r="D1631" i="10"/>
  <c r="D1655" i="10"/>
  <c r="D1679" i="10"/>
  <c r="D1703" i="10"/>
  <c r="D1727" i="10"/>
  <c r="D1751" i="10"/>
  <c r="D1775" i="10"/>
  <c r="D1799" i="10"/>
  <c r="D1823" i="10"/>
  <c r="D1847" i="10"/>
  <c r="D1871" i="10"/>
  <c r="D1895" i="10"/>
  <c r="D1919" i="10"/>
  <c r="D1943" i="10"/>
  <c r="D1967" i="10"/>
  <c r="D1991" i="10"/>
  <c r="D2015" i="10"/>
  <c r="D2039" i="10"/>
  <c r="D2063" i="10"/>
  <c r="D2087" i="10"/>
  <c r="D2111" i="10"/>
  <c r="D2135" i="10"/>
  <c r="D2152" i="10"/>
  <c r="D2171" i="10"/>
  <c r="D2187" i="10"/>
  <c r="D2204" i="10"/>
  <c r="D2220" i="10"/>
  <c r="D2234" i="10"/>
  <c r="D2246" i="10"/>
  <c r="D2258" i="10"/>
  <c r="D2270" i="10"/>
  <c r="D2282" i="10"/>
  <c r="D2294" i="10"/>
  <c r="D2306" i="10"/>
  <c r="D2318" i="10"/>
  <c r="D2330" i="10"/>
  <c r="D2342" i="10"/>
  <c r="D2354" i="10"/>
  <c r="D2366" i="10"/>
  <c r="D2378" i="10"/>
  <c r="D2390" i="10"/>
  <c r="D2402" i="10"/>
  <c r="D2414" i="10"/>
  <c r="D2426" i="10"/>
  <c r="D2438" i="10"/>
  <c r="D2450" i="10"/>
  <c r="D2462" i="10"/>
  <c r="D2474" i="10"/>
  <c r="D2486" i="10"/>
  <c r="D2498" i="10"/>
  <c r="D2510" i="10"/>
  <c r="D2522" i="10"/>
  <c r="D2534" i="10"/>
  <c r="D2546" i="10"/>
  <c r="D2558" i="10"/>
  <c r="D2570" i="10"/>
  <c r="D2582" i="10"/>
  <c r="D2594" i="10"/>
  <c r="D2606" i="10"/>
  <c r="D2618" i="10"/>
  <c r="D2630" i="10"/>
  <c r="D2642" i="10"/>
  <c r="D2654" i="10"/>
  <c r="D2666" i="10"/>
  <c r="D2678" i="10"/>
  <c r="D2690" i="10"/>
  <c r="D2702" i="10"/>
  <c r="D2714" i="10"/>
  <c r="D2726" i="10"/>
  <c r="D2738" i="10"/>
  <c r="D2750" i="10"/>
  <c r="D2762" i="10"/>
  <c r="D2774" i="10"/>
  <c r="D2786" i="10"/>
  <c r="D2798" i="10"/>
  <c r="D2810" i="10"/>
  <c r="D2822" i="10"/>
  <c r="D2834" i="10"/>
  <c r="D2846" i="10"/>
  <c r="D2858" i="10"/>
  <c r="D2870" i="10"/>
  <c r="D2882" i="10"/>
  <c r="D2894" i="10"/>
  <c r="D2906" i="10"/>
  <c r="D2918" i="10"/>
  <c r="D2930" i="10"/>
  <c r="D2942" i="10"/>
  <c r="D2954" i="10"/>
  <c r="D29" i="10"/>
  <c r="D77" i="10"/>
  <c r="D125" i="10"/>
  <c r="D173" i="10"/>
  <c r="D221" i="10"/>
  <c r="D269" i="10"/>
  <c r="D317" i="10"/>
  <c r="D365" i="10"/>
  <c r="D413" i="10"/>
  <c r="D461" i="10"/>
  <c r="D509" i="10"/>
  <c r="D557" i="10"/>
  <c r="D605" i="10"/>
  <c r="D653" i="10"/>
  <c r="D701" i="10"/>
  <c r="D749" i="10"/>
  <c r="D797" i="10"/>
  <c r="D845" i="10"/>
  <c r="D893" i="10"/>
  <c r="D941" i="10"/>
  <c r="D989" i="10"/>
  <c r="D1037" i="10"/>
  <c r="D1085" i="10"/>
  <c r="D1133" i="10"/>
  <c r="D1181" i="10"/>
  <c r="D1229" i="10"/>
  <c r="D1277" i="10"/>
  <c r="D1325" i="10"/>
  <c r="D1373" i="10"/>
  <c r="D1404" i="10"/>
  <c r="D1432" i="10"/>
  <c r="D1458" i="10"/>
  <c r="D1484" i="10"/>
  <c r="D1510" i="10"/>
  <c r="D1536" i="10"/>
  <c r="D1560" i="10"/>
  <c r="D1584" i="10"/>
  <c r="D1608" i="10"/>
  <c r="D1632" i="10"/>
  <c r="D1656" i="10"/>
  <c r="D1680" i="10"/>
  <c r="D1704" i="10"/>
  <c r="D1728" i="10"/>
  <c r="D1752" i="10"/>
  <c r="D1776" i="10"/>
  <c r="D1800" i="10"/>
  <c r="D1824" i="10"/>
  <c r="D1848" i="10"/>
  <c r="D1872" i="10"/>
  <c r="D1896" i="10"/>
  <c r="D1920" i="10"/>
  <c r="D1944" i="10"/>
  <c r="D1968" i="10"/>
  <c r="D1992" i="10"/>
  <c r="D2016" i="10"/>
  <c r="D2040" i="10"/>
  <c r="D2064" i="10"/>
  <c r="D2088" i="10"/>
  <c r="D2112" i="10"/>
  <c r="D2136" i="10"/>
  <c r="D2155" i="10"/>
  <c r="D2172" i="10"/>
  <c r="D2188" i="10"/>
  <c r="D2206" i="10"/>
  <c r="D2221" i="10"/>
  <c r="D2235" i="10"/>
  <c r="D2247" i="10"/>
  <c r="D2259" i="10"/>
  <c r="D2271" i="10"/>
  <c r="D2283" i="10"/>
  <c r="D2295" i="10"/>
  <c r="D2307" i="10"/>
  <c r="D2319" i="10"/>
  <c r="D2331" i="10"/>
  <c r="D2343" i="10"/>
  <c r="D2355" i="10"/>
  <c r="D2367" i="10"/>
  <c r="D2379" i="10"/>
  <c r="D2391" i="10"/>
  <c r="D2403" i="10"/>
  <c r="D2415" i="10"/>
  <c r="D2427" i="10"/>
  <c r="D2439" i="10"/>
  <c r="D2451" i="10"/>
  <c r="D2463" i="10"/>
  <c r="D2475" i="10"/>
  <c r="D2487" i="10"/>
  <c r="D2499" i="10"/>
  <c r="D2511" i="10"/>
  <c r="D2523" i="10"/>
  <c r="D2535" i="10"/>
  <c r="D2547" i="10"/>
  <c r="D2559" i="10"/>
  <c r="D2571" i="10"/>
  <c r="D2583" i="10"/>
  <c r="D2595" i="10"/>
  <c r="D2607" i="10"/>
  <c r="D2619" i="10"/>
  <c r="D2631" i="10"/>
  <c r="D2643" i="10"/>
  <c r="D2655" i="10"/>
  <c r="D2667" i="10"/>
  <c r="D2679" i="10"/>
  <c r="D2691" i="10"/>
  <c r="D2703" i="10"/>
  <c r="D2715" i="10"/>
  <c r="D2727" i="10"/>
  <c r="D2739" i="10"/>
  <c r="D2751" i="10"/>
  <c r="D2763" i="10"/>
  <c r="D2775" i="10"/>
  <c r="D2787" i="10"/>
  <c r="D2799" i="10"/>
  <c r="D2811" i="10"/>
  <c r="D2823" i="10"/>
  <c r="D2835" i="10"/>
  <c r="D2847" i="10"/>
  <c r="D2859" i="10"/>
  <c r="D2871" i="10"/>
  <c r="D2883" i="10"/>
  <c r="D2895" i="10"/>
  <c r="D2907" i="10"/>
  <c r="D2919" i="10"/>
  <c r="D2931" i="10"/>
  <c r="D30" i="10"/>
  <c r="D78" i="10"/>
  <c r="D126" i="10"/>
  <c r="D174" i="10"/>
  <c r="D222" i="10"/>
  <c r="D270" i="10"/>
  <c r="D318" i="10"/>
  <c r="D366" i="10"/>
  <c r="D414" i="10"/>
  <c r="D462" i="10"/>
  <c r="D510" i="10"/>
  <c r="D558" i="10"/>
  <c r="D606" i="10"/>
  <c r="D654" i="10"/>
  <c r="D702" i="10"/>
  <c r="D750" i="10"/>
  <c r="D798" i="10"/>
  <c r="D846" i="10"/>
  <c r="D894" i="10"/>
  <c r="D942" i="10"/>
  <c r="D990" i="10"/>
  <c r="D1038" i="10"/>
  <c r="D1086" i="10"/>
  <c r="D1134" i="10"/>
  <c r="D1182" i="10"/>
  <c r="D1230" i="10"/>
  <c r="D1278" i="10"/>
  <c r="D1326" i="10"/>
  <c r="D1374" i="10"/>
  <c r="D1405" i="10"/>
  <c r="D1433" i="10"/>
  <c r="D1459" i="10"/>
  <c r="D1485" i="10"/>
  <c r="D1511" i="10"/>
  <c r="D1537" i="10"/>
  <c r="D1561" i="10"/>
  <c r="D1585" i="10"/>
  <c r="D1609" i="10"/>
  <c r="D1633" i="10"/>
  <c r="D1657" i="10"/>
  <c r="D1681" i="10"/>
  <c r="D1705" i="10"/>
  <c r="D1729" i="10"/>
  <c r="D1753" i="10"/>
  <c r="D1777" i="10"/>
  <c r="D1801" i="10"/>
  <c r="D1825" i="10"/>
  <c r="D1849" i="10"/>
  <c r="D1873" i="10"/>
  <c r="D1897" i="10"/>
  <c r="D1921" i="10"/>
  <c r="D1945" i="10"/>
  <c r="D1969" i="10"/>
  <c r="D1993" i="10"/>
  <c r="D2017" i="10"/>
  <c r="D2041" i="10"/>
  <c r="D2065" i="10"/>
  <c r="D2089" i="10"/>
  <c r="D2113" i="10"/>
  <c r="D2137" i="10"/>
  <c r="D2156" i="10"/>
  <c r="D2173" i="10"/>
  <c r="D2191" i="10"/>
  <c r="D2207" i="10"/>
  <c r="D2222" i="10"/>
  <c r="D2236" i="10"/>
  <c r="D2248" i="10"/>
  <c r="D2260" i="10"/>
  <c r="D2272" i="10"/>
  <c r="D2284" i="10"/>
  <c r="D2296" i="10"/>
  <c r="D2308" i="10"/>
  <c r="D2320" i="10"/>
  <c r="D2332" i="10"/>
  <c r="D2344" i="10"/>
  <c r="D2356" i="10"/>
  <c r="D2368" i="10"/>
  <c r="D2380" i="10"/>
  <c r="D2392" i="10"/>
  <c r="D2404" i="10"/>
  <c r="D2416" i="10"/>
  <c r="D2428" i="10"/>
  <c r="D2440" i="10"/>
  <c r="D2452" i="10"/>
  <c r="D2464" i="10"/>
  <c r="D2476" i="10"/>
  <c r="D2488" i="10"/>
  <c r="D2500" i="10"/>
  <c r="D2512" i="10"/>
  <c r="D2524" i="10"/>
  <c r="D2536" i="10"/>
  <c r="D2548" i="10"/>
  <c r="D2560" i="10"/>
  <c r="D2572" i="10"/>
  <c r="D2584" i="10"/>
  <c r="D2596" i="10"/>
  <c r="D2608" i="10"/>
  <c r="D2620" i="10"/>
  <c r="D2632" i="10"/>
  <c r="D2644" i="10"/>
  <c r="D2656" i="10"/>
  <c r="D2668" i="10"/>
  <c r="D2680" i="10"/>
  <c r="D2692" i="10"/>
  <c r="D2704" i="10"/>
  <c r="D2716" i="10"/>
  <c r="D2728" i="10"/>
  <c r="D2740" i="10"/>
  <c r="D2752" i="10"/>
  <c r="D2764" i="10"/>
  <c r="D2776" i="10"/>
  <c r="D2788" i="10"/>
  <c r="D2800" i="10"/>
  <c r="D2812" i="10"/>
  <c r="D2824" i="10"/>
  <c r="D2836" i="10"/>
  <c r="D2848" i="10"/>
  <c r="D2860" i="10"/>
  <c r="D2872" i="10"/>
  <c r="D2884" i="10"/>
  <c r="D2896" i="10"/>
  <c r="D2908" i="10"/>
  <c r="D2920" i="10"/>
  <c r="D2932" i="10"/>
  <c r="D2944" i="10"/>
  <c r="D33" i="10"/>
  <c r="D81" i="10"/>
  <c r="D129" i="10"/>
  <c r="D177" i="10"/>
  <c r="D225" i="10"/>
  <c r="D273" i="10"/>
  <c r="D321" i="10"/>
  <c r="D369" i="10"/>
  <c r="D417" i="10"/>
  <c r="D465" i="10"/>
  <c r="D513" i="10"/>
  <c r="D561" i="10"/>
  <c r="D609" i="10"/>
  <c r="D657" i="10"/>
  <c r="D705" i="10"/>
  <c r="D753" i="10"/>
  <c r="D801" i="10"/>
  <c r="D849" i="10"/>
  <c r="D897" i="10"/>
  <c r="D945" i="10"/>
  <c r="D993" i="10"/>
  <c r="D1041" i="10"/>
  <c r="D1089" i="10"/>
  <c r="D1137" i="10"/>
  <c r="D1185" i="10"/>
  <c r="D1233" i="10"/>
  <c r="D1281" i="10"/>
  <c r="D1329" i="10"/>
  <c r="D1377" i="10"/>
  <c r="D1408" i="10"/>
  <c r="D1435" i="10"/>
  <c r="D1461" i="10"/>
  <c r="D1487" i="10"/>
  <c r="D1513" i="10"/>
  <c r="D1539" i="10"/>
  <c r="D1563" i="10"/>
  <c r="D1587" i="10"/>
  <c r="D1611" i="10"/>
  <c r="D1635" i="10"/>
  <c r="D1659" i="10"/>
  <c r="D1683" i="10"/>
  <c r="D1707" i="10"/>
  <c r="D1731" i="10"/>
  <c r="D1755" i="10"/>
  <c r="D1779" i="10"/>
  <c r="D1803" i="10"/>
  <c r="D1827" i="10"/>
  <c r="D1851" i="10"/>
  <c r="D1875" i="10"/>
  <c r="D1899" i="10"/>
  <c r="D1923" i="10"/>
  <c r="D1947" i="10"/>
  <c r="D1971" i="10"/>
  <c r="D1995" i="10"/>
  <c r="D2019" i="10"/>
  <c r="D2043" i="10"/>
  <c r="D2067" i="10"/>
  <c r="D2091" i="10"/>
  <c r="D2115" i="10"/>
  <c r="D2139" i="10"/>
  <c r="D2158" i="10"/>
  <c r="D2175" i="10"/>
  <c r="D2192" i="10"/>
  <c r="D2208" i="10"/>
  <c r="D2223" i="10"/>
  <c r="D2237" i="10"/>
  <c r="D2249" i="10"/>
  <c r="D2261" i="10"/>
  <c r="D2273" i="10"/>
  <c r="D2285" i="10"/>
  <c r="D2297" i="10"/>
  <c r="D2309" i="10"/>
  <c r="D2321" i="10"/>
  <c r="D2333" i="10"/>
  <c r="D2345" i="10"/>
  <c r="D2357" i="10"/>
  <c r="D2369" i="10"/>
  <c r="D2381" i="10"/>
  <c r="D2393" i="10"/>
  <c r="D2405" i="10"/>
  <c r="D2417" i="10"/>
  <c r="D2429" i="10"/>
  <c r="D2441" i="10"/>
  <c r="D2453" i="10"/>
  <c r="D2465" i="10"/>
  <c r="D2477" i="10"/>
  <c r="D2489" i="10"/>
  <c r="D2501" i="10"/>
  <c r="D2513" i="10"/>
  <c r="D2525" i="10"/>
  <c r="D2537" i="10"/>
  <c r="D2549" i="10"/>
  <c r="D2561" i="10"/>
  <c r="D2573" i="10"/>
  <c r="D2585" i="10"/>
  <c r="D2597" i="10"/>
  <c r="D2609" i="10"/>
  <c r="D2621" i="10"/>
  <c r="D2633" i="10"/>
  <c r="D2645" i="10"/>
  <c r="D2657" i="10"/>
  <c r="D2669" i="10"/>
  <c r="D2681" i="10"/>
  <c r="D2693" i="10"/>
  <c r="D2705" i="10"/>
  <c r="D2717" i="10"/>
  <c r="D2729" i="10"/>
  <c r="D2741" i="10"/>
  <c r="D2753" i="10"/>
  <c r="D2765" i="10"/>
  <c r="D2777" i="10"/>
  <c r="D2789" i="10"/>
  <c r="D2801" i="10"/>
  <c r="D2813" i="10"/>
  <c r="D2825" i="10"/>
  <c r="D2837" i="10"/>
  <c r="D2849" i="10"/>
  <c r="D2861" i="10"/>
  <c r="D2873" i="10"/>
  <c r="D2885" i="10"/>
  <c r="D2897" i="10"/>
  <c r="D2909" i="10"/>
  <c r="D2921" i="10"/>
  <c r="D2933" i="10"/>
  <c r="D2945" i="10"/>
  <c r="D2957" i="10"/>
  <c r="D2969" i="10"/>
  <c r="D2981" i="10"/>
  <c r="D2993" i="10"/>
  <c r="D3005" i="10"/>
  <c r="D54" i="10"/>
  <c r="D102" i="10"/>
  <c r="D150" i="10"/>
  <c r="D198" i="10"/>
  <c r="D246" i="10"/>
  <c r="D294" i="10"/>
  <c r="D342" i="10"/>
  <c r="D390" i="10"/>
  <c r="D438" i="10"/>
  <c r="D486" i="10"/>
  <c r="D534" i="10"/>
  <c r="D582" i="10"/>
  <c r="D630" i="10"/>
  <c r="D678" i="10"/>
  <c r="D726" i="10"/>
  <c r="D774" i="10"/>
  <c r="D822" i="10"/>
  <c r="D870" i="10"/>
  <c r="D918" i="10"/>
  <c r="D966" i="10"/>
  <c r="D1014" i="10"/>
  <c r="D1062" i="10"/>
  <c r="D1110" i="10"/>
  <c r="D1158" i="10"/>
  <c r="D1206" i="10"/>
  <c r="D1254" i="10"/>
  <c r="D1302" i="10"/>
  <c r="D1350" i="10"/>
  <c r="D1391" i="10"/>
  <c r="D1420" i="10"/>
  <c r="D1446" i="10"/>
  <c r="D1472" i="10"/>
  <c r="D1498" i="10"/>
  <c r="D1524" i="10"/>
  <c r="D1549" i="10"/>
  <c r="D1573" i="10"/>
  <c r="D1597" i="10"/>
  <c r="D1621" i="10"/>
  <c r="D1645" i="10"/>
  <c r="D1669" i="10"/>
  <c r="D1693" i="10"/>
  <c r="D1717" i="10"/>
  <c r="D1741" i="10"/>
  <c r="D1765" i="10"/>
  <c r="D1789" i="10"/>
  <c r="D1813" i="10"/>
  <c r="D1837" i="10"/>
  <c r="D1861" i="10"/>
  <c r="D1885" i="10"/>
  <c r="D1909" i="10"/>
  <c r="D1933" i="10"/>
  <c r="D1957" i="10"/>
  <c r="D1981" i="10"/>
  <c r="D2005" i="10"/>
  <c r="D2029" i="10"/>
  <c r="D2053" i="10"/>
  <c r="D2077" i="10"/>
  <c r="D2101" i="10"/>
  <c r="D2125" i="10"/>
  <c r="D2147" i="10"/>
  <c r="D2164" i="10"/>
  <c r="D2183" i="10"/>
  <c r="D2198" i="10"/>
  <c r="D2215" i="10"/>
  <c r="D2230" i="10"/>
  <c r="D2242" i="10"/>
  <c r="D2254" i="10"/>
  <c r="D2266" i="10"/>
  <c r="D2278" i="10"/>
  <c r="D2290" i="10"/>
  <c r="D2302" i="10"/>
  <c r="D2314" i="10"/>
  <c r="D2326" i="10"/>
  <c r="D2338" i="10"/>
  <c r="D2350" i="10"/>
  <c r="D2362" i="10"/>
  <c r="D2374" i="10"/>
  <c r="D2386" i="10"/>
  <c r="D2398" i="10"/>
  <c r="D2410" i="10"/>
  <c r="D2422" i="10"/>
  <c r="D2434" i="10"/>
  <c r="D2446" i="10"/>
  <c r="D2458" i="10"/>
  <c r="D2470" i="10"/>
  <c r="D2482" i="10"/>
  <c r="D2494" i="10"/>
  <c r="D2506" i="10"/>
  <c r="D2518" i="10"/>
  <c r="D2530" i="10"/>
  <c r="D2542" i="10"/>
  <c r="D2554" i="10"/>
  <c r="D2566" i="10"/>
  <c r="D2578" i="10"/>
  <c r="D2590" i="10"/>
  <c r="D2602" i="10"/>
  <c r="D2614" i="10"/>
  <c r="D2626" i="10"/>
  <c r="D2638" i="10"/>
  <c r="D2650" i="10"/>
  <c r="D2662" i="10"/>
  <c r="D2674" i="10"/>
  <c r="D2686" i="10"/>
  <c r="D2698" i="10"/>
  <c r="D2710" i="10"/>
  <c r="D2722" i="10"/>
  <c r="D2734" i="10"/>
  <c r="D2746" i="10"/>
  <c r="D2758" i="10"/>
  <c r="D2770" i="10"/>
  <c r="D2782" i="10"/>
  <c r="D2794" i="10"/>
  <c r="D2806" i="10"/>
  <c r="D2818" i="10"/>
  <c r="D2830" i="10"/>
  <c r="D2842" i="10"/>
  <c r="D2854" i="10"/>
  <c r="D2866" i="10"/>
  <c r="D2878" i="10"/>
  <c r="D2890" i="10"/>
  <c r="D2902" i="10"/>
  <c r="D2914" i="10"/>
  <c r="D2926" i="10"/>
  <c r="D2938" i="10"/>
  <c r="D2950" i="10"/>
  <c r="D2962" i="10"/>
  <c r="D2974" i="10"/>
  <c r="D34" i="10"/>
  <c r="D130" i="10"/>
  <c r="D226" i="10"/>
  <c r="D322" i="10"/>
  <c r="D418" i="10"/>
  <c r="D514" i="10"/>
  <c r="D610" i="10"/>
  <c r="D706" i="10"/>
  <c r="D802" i="10"/>
  <c r="D898" i="10"/>
  <c r="D994" i="10"/>
  <c r="D1090" i="10"/>
  <c r="D1186" i="10"/>
  <c r="D1282" i="10"/>
  <c r="D1378" i="10"/>
  <c r="D1436" i="10"/>
  <c r="D1488" i="10"/>
  <c r="D1540" i="10"/>
  <c r="D1588" i="10"/>
  <c r="D1636" i="10"/>
  <c r="D1684" i="10"/>
  <c r="D1732" i="10"/>
  <c r="D1780" i="10"/>
  <c r="D1828" i="10"/>
  <c r="D1876" i="10"/>
  <c r="D1924" i="10"/>
  <c r="D1972" i="10"/>
  <c r="D2020" i="10"/>
  <c r="D2068" i="10"/>
  <c r="D2116" i="10"/>
  <c r="D2159" i="10"/>
  <c r="D2194" i="10"/>
  <c r="D2224" i="10"/>
  <c r="D2250" i="10"/>
  <c r="D2274" i="10"/>
  <c r="D2298" i="10"/>
  <c r="D2322" i="10"/>
  <c r="D2346" i="10"/>
  <c r="D2370" i="10"/>
  <c r="D2394" i="10"/>
  <c r="D2418" i="10"/>
  <c r="D2442" i="10"/>
  <c r="D2466" i="10"/>
  <c r="D2490" i="10"/>
  <c r="D2514" i="10"/>
  <c r="D2538" i="10"/>
  <c r="D2562" i="10"/>
  <c r="D2586" i="10"/>
  <c r="D2610" i="10"/>
  <c r="D2634" i="10"/>
  <c r="D2658" i="10"/>
  <c r="D2682" i="10"/>
  <c r="D2706" i="10"/>
  <c r="D2730" i="10"/>
  <c r="D2754" i="10"/>
  <c r="D2778" i="10"/>
  <c r="D2802" i="10"/>
  <c r="D2826" i="10"/>
  <c r="D2850" i="10"/>
  <c r="D2874" i="10"/>
  <c r="D2898" i="10"/>
  <c r="D2922" i="10"/>
  <c r="D2943" i="10"/>
  <c r="D2961" i="10"/>
  <c r="D2976" i="10"/>
  <c r="D2989" i="10"/>
  <c r="D3002" i="10"/>
  <c r="D3015" i="10"/>
  <c r="D3027" i="10"/>
  <c r="D3039" i="10"/>
  <c r="D3051" i="10"/>
  <c r="D3063" i="10"/>
  <c r="D3075" i="10"/>
  <c r="D3087" i="10"/>
  <c r="D3099" i="10"/>
  <c r="D3111" i="10"/>
  <c r="D3123" i="10"/>
  <c r="D3135" i="10"/>
  <c r="D3147" i="10"/>
  <c r="D3159" i="10"/>
  <c r="D3171" i="10"/>
  <c r="D3183" i="10"/>
  <c r="D3195" i="10"/>
  <c r="D3207" i="10"/>
  <c r="D3219" i="10"/>
  <c r="D3231" i="10"/>
  <c r="D3243" i="10"/>
  <c r="D3255" i="10"/>
  <c r="D3267" i="10"/>
  <c r="D3279" i="10"/>
  <c r="D3291" i="10"/>
  <c r="D3303" i="10"/>
  <c r="D3315" i="10"/>
  <c r="D3327" i="10"/>
  <c r="D3339" i="10"/>
  <c r="D3351" i="10"/>
  <c r="D3363" i="10"/>
  <c r="D3375" i="10"/>
  <c r="D3387" i="10"/>
  <c r="D3399" i="10"/>
  <c r="D3411" i="10"/>
  <c r="D3423" i="10"/>
  <c r="D3435" i="10"/>
  <c r="D3447" i="10"/>
  <c r="D3459" i="10"/>
  <c r="D3471" i="10"/>
  <c r="D3483" i="10"/>
  <c r="D3495" i="10"/>
  <c r="D3507" i="10"/>
  <c r="D3519" i="10"/>
  <c r="D3531" i="10"/>
  <c r="D3543" i="10"/>
  <c r="D3555" i="10"/>
  <c r="D3567" i="10"/>
  <c r="D3579" i="10"/>
  <c r="D3591" i="10"/>
  <c r="D3603" i="10"/>
  <c r="D3615" i="10"/>
  <c r="D3627" i="10"/>
  <c r="D3639" i="10"/>
  <c r="D3651" i="10"/>
  <c r="D3663" i="10"/>
  <c r="D3675" i="10"/>
  <c r="D3687" i="10"/>
  <c r="D3699" i="10"/>
  <c r="D3711" i="10"/>
  <c r="D3723" i="10"/>
  <c r="D3735" i="10"/>
  <c r="D46" i="10"/>
  <c r="D142" i="10"/>
  <c r="D238" i="10"/>
  <c r="D334" i="10"/>
  <c r="D430" i="10"/>
  <c r="D526" i="10"/>
  <c r="D622" i="10"/>
  <c r="D718" i="10"/>
  <c r="D814" i="10"/>
  <c r="D910" i="10"/>
  <c r="D1006" i="10"/>
  <c r="D1102" i="10"/>
  <c r="D1198" i="10"/>
  <c r="D1294" i="10"/>
  <c r="D1387" i="10"/>
  <c r="D1442" i="10"/>
  <c r="D1495" i="10"/>
  <c r="D1546" i="10"/>
  <c r="D1594" i="10"/>
  <c r="D1642" i="10"/>
  <c r="D1690" i="10"/>
  <c r="D1738" i="10"/>
  <c r="D1786" i="10"/>
  <c r="D1834" i="10"/>
  <c r="D1882" i="10"/>
  <c r="D1930" i="10"/>
  <c r="D1978" i="10"/>
  <c r="D2026" i="10"/>
  <c r="D2074" i="10"/>
  <c r="D2122" i="10"/>
  <c r="D2160" i="10"/>
  <c r="D2195" i="10"/>
  <c r="D2227" i="10"/>
  <c r="D2251" i="10"/>
  <c r="D2275" i="10"/>
  <c r="D2299" i="10"/>
  <c r="D2323" i="10"/>
  <c r="D2347" i="10"/>
  <c r="D2371" i="10"/>
  <c r="D2395" i="10"/>
  <c r="D2419" i="10"/>
  <c r="D2443" i="10"/>
  <c r="D2467" i="10"/>
  <c r="D2491" i="10"/>
  <c r="D2515" i="10"/>
  <c r="D2539" i="10"/>
  <c r="D2563" i="10"/>
  <c r="D2587" i="10"/>
  <c r="D2611" i="10"/>
  <c r="D2635" i="10"/>
  <c r="D2659" i="10"/>
  <c r="D2683" i="10"/>
  <c r="D2707" i="10"/>
  <c r="D2731" i="10"/>
  <c r="D2755" i="10"/>
  <c r="D2779" i="10"/>
  <c r="D2803" i="10"/>
  <c r="D2827" i="10"/>
  <c r="D2851" i="10"/>
  <c r="D2875" i="10"/>
  <c r="D2899" i="10"/>
  <c r="D2923" i="10"/>
  <c r="D2946" i="10"/>
  <c r="D2963" i="10"/>
  <c r="D2977" i="10"/>
  <c r="D2990" i="10"/>
  <c r="D3003" i="10"/>
  <c r="D3016" i="10"/>
  <c r="D3028" i="10"/>
  <c r="D3040" i="10"/>
  <c r="D3052" i="10"/>
  <c r="D3064" i="10"/>
  <c r="D3076" i="10"/>
  <c r="D3088" i="10"/>
  <c r="D3100" i="10"/>
  <c r="D3112" i="10"/>
  <c r="D3124" i="10"/>
  <c r="D3136" i="10"/>
  <c r="D3148" i="10"/>
  <c r="D3160" i="10"/>
  <c r="D3172" i="10"/>
  <c r="D3184" i="10"/>
  <c r="D3196" i="10"/>
  <c r="D3208" i="10"/>
  <c r="D3220" i="10"/>
  <c r="D3232" i="10"/>
  <c r="D3244" i="10"/>
  <c r="D3256" i="10"/>
  <c r="D3268" i="10"/>
  <c r="D3280" i="10"/>
  <c r="D3292" i="10"/>
  <c r="D3304" i="10"/>
  <c r="D3316" i="10"/>
  <c r="D3328" i="10"/>
  <c r="D3340" i="10"/>
  <c r="D3352" i="10"/>
  <c r="D3364" i="10"/>
  <c r="D3376" i="10"/>
  <c r="D3388" i="10"/>
  <c r="D3400" i="10"/>
  <c r="D3412" i="10"/>
  <c r="D3424" i="10"/>
  <c r="D3436" i="10"/>
  <c r="D3448" i="10"/>
  <c r="D3460" i="10"/>
  <c r="D3472" i="10"/>
  <c r="D3484" i="10"/>
  <c r="D3496" i="10"/>
  <c r="D3508" i="10"/>
  <c r="D3520" i="10"/>
  <c r="D3532" i="10"/>
  <c r="D3544" i="10"/>
  <c r="D3556" i="10"/>
  <c r="D3568" i="10"/>
  <c r="D3580" i="10"/>
  <c r="D3592" i="10"/>
  <c r="D3604" i="10"/>
  <c r="D3616" i="10"/>
  <c r="D3628" i="10"/>
  <c r="D3640" i="10"/>
  <c r="D3652" i="10"/>
  <c r="D3664" i="10"/>
  <c r="D3676" i="10"/>
  <c r="D3688" i="10"/>
  <c r="D3700" i="10"/>
  <c r="D3712" i="10"/>
  <c r="D3724" i="10"/>
  <c r="D52" i="10"/>
  <c r="D148" i="10"/>
  <c r="D244" i="10"/>
  <c r="D340" i="10"/>
  <c r="D436" i="10"/>
  <c r="D532" i="10"/>
  <c r="D628" i="10"/>
  <c r="D724" i="10"/>
  <c r="D820" i="10"/>
  <c r="D916" i="10"/>
  <c r="D1012" i="10"/>
  <c r="D1108" i="10"/>
  <c r="D1204" i="10"/>
  <c r="D1300" i="10"/>
  <c r="D1389" i="10"/>
  <c r="D1444" i="10"/>
  <c r="D1496" i="10"/>
  <c r="D1547" i="10"/>
  <c r="D1595" i="10"/>
  <c r="D1643" i="10"/>
  <c r="D1691" i="10"/>
  <c r="D1739" i="10"/>
  <c r="D1787" i="10"/>
  <c r="D1835" i="10"/>
  <c r="D1883" i="10"/>
  <c r="D1931" i="10"/>
  <c r="D1979" i="10"/>
  <c r="D2027" i="10"/>
  <c r="D2075" i="10"/>
  <c r="D2123" i="10"/>
  <c r="D2161" i="10"/>
  <c r="D2196" i="10"/>
  <c r="D2228" i="10"/>
  <c r="D2252" i="10"/>
  <c r="D2276" i="10"/>
  <c r="D2300" i="10"/>
  <c r="D2324" i="10"/>
  <c r="D2348" i="10"/>
  <c r="D2372" i="10"/>
  <c r="D2396" i="10"/>
  <c r="D2420" i="10"/>
  <c r="D2444" i="10"/>
  <c r="D2468" i="10"/>
  <c r="D2492" i="10"/>
  <c r="D2516" i="10"/>
  <c r="D2540" i="10"/>
  <c r="D2564" i="10"/>
  <c r="D2588" i="10"/>
  <c r="D2612" i="10"/>
  <c r="D2636" i="10"/>
  <c r="D2660" i="10"/>
  <c r="D2684" i="10"/>
  <c r="D2708" i="10"/>
  <c r="D2732" i="10"/>
  <c r="D2756" i="10"/>
  <c r="D2780" i="10"/>
  <c r="D2804" i="10"/>
  <c r="D2828" i="10"/>
  <c r="D2852" i="10"/>
  <c r="D2876" i="10"/>
  <c r="D2900" i="10"/>
  <c r="D2924" i="10"/>
  <c r="D2947" i="10"/>
  <c r="D2964" i="10"/>
  <c r="D2978" i="10"/>
  <c r="D2991" i="10"/>
  <c r="D3004" i="10"/>
  <c r="D3017" i="10"/>
  <c r="D3029" i="10"/>
  <c r="D3041" i="10"/>
  <c r="D3053" i="10"/>
  <c r="D3065" i="10"/>
  <c r="D3077" i="10"/>
  <c r="D3089" i="10"/>
  <c r="D3101" i="10"/>
  <c r="D3113" i="10"/>
  <c r="D3125" i="10"/>
  <c r="D3137" i="10"/>
  <c r="D3149" i="10"/>
  <c r="D3161" i="10"/>
  <c r="D3173" i="10"/>
  <c r="D3185" i="10"/>
  <c r="D3197" i="10"/>
  <c r="D3209" i="10"/>
  <c r="D3221" i="10"/>
  <c r="D3233" i="10"/>
  <c r="D3245" i="10"/>
  <c r="D3257" i="10"/>
  <c r="D3269" i="10"/>
  <c r="D3281" i="10"/>
  <c r="D3293" i="10"/>
  <c r="D3305" i="10"/>
  <c r="D3317" i="10"/>
  <c r="D3329" i="10"/>
  <c r="D3341" i="10"/>
  <c r="D3353" i="10"/>
  <c r="D3365" i="10"/>
  <c r="D3377" i="10"/>
  <c r="D3389" i="10"/>
  <c r="D3401" i="10"/>
  <c r="D3413" i="10"/>
  <c r="D3425" i="10"/>
  <c r="D3437" i="10"/>
  <c r="D3449" i="10"/>
  <c r="D3461" i="10"/>
  <c r="D3473" i="10"/>
  <c r="D3485" i="10"/>
  <c r="D3497" i="10"/>
  <c r="D3509" i="10"/>
  <c r="D3521" i="10"/>
  <c r="D3533" i="10"/>
  <c r="D3545" i="10"/>
  <c r="D3557" i="10"/>
  <c r="D3569" i="10"/>
  <c r="D3581" i="10"/>
  <c r="D3593" i="10"/>
  <c r="D3605" i="10"/>
  <c r="D3617" i="10"/>
  <c r="D3629" i="10"/>
  <c r="D3641" i="10"/>
  <c r="D3653" i="10"/>
  <c r="D3665" i="10"/>
  <c r="D3677" i="10"/>
  <c r="D3689" i="10"/>
  <c r="D3701" i="10"/>
  <c r="D3713" i="10"/>
  <c r="D3725" i="10"/>
  <c r="D53" i="10"/>
  <c r="D149" i="10"/>
  <c r="D245" i="10"/>
  <c r="D341" i="10"/>
  <c r="D437" i="10"/>
  <c r="D533" i="10"/>
  <c r="D629" i="10"/>
  <c r="D725" i="10"/>
  <c r="D821" i="10"/>
  <c r="D917" i="10"/>
  <c r="D1013" i="10"/>
  <c r="D1109" i="10"/>
  <c r="D1205" i="10"/>
  <c r="D1301" i="10"/>
  <c r="D1390" i="10"/>
  <c r="D1445" i="10"/>
  <c r="D1497" i="10"/>
  <c r="D1548" i="10"/>
  <c r="D1596" i="10"/>
  <c r="D1644" i="10"/>
  <c r="D1692" i="10"/>
  <c r="D1740" i="10"/>
  <c r="D1788" i="10"/>
  <c r="D1836" i="10"/>
  <c r="D1884" i="10"/>
  <c r="D1932" i="10"/>
  <c r="D1980" i="10"/>
  <c r="D2028" i="10"/>
  <c r="D2076" i="10"/>
  <c r="D2124" i="10"/>
  <c r="D2163" i="10"/>
  <c r="D2197" i="10"/>
  <c r="D2229" i="10"/>
  <c r="D2253" i="10"/>
  <c r="D2277" i="10"/>
  <c r="D2301" i="10"/>
  <c r="D2325" i="10"/>
  <c r="D2349" i="10"/>
  <c r="D2373" i="10"/>
  <c r="D2397" i="10"/>
  <c r="D2421" i="10"/>
  <c r="D2445" i="10"/>
  <c r="D2469" i="10"/>
  <c r="D2493" i="10"/>
  <c r="D2517" i="10"/>
  <c r="D2541" i="10"/>
  <c r="D2565" i="10"/>
  <c r="D2589" i="10"/>
  <c r="D2613" i="10"/>
  <c r="D2637" i="10"/>
  <c r="D2661" i="10"/>
  <c r="D2685" i="10"/>
  <c r="D2709" i="10"/>
  <c r="D2733" i="10"/>
  <c r="D2757" i="10"/>
  <c r="D2781" i="10"/>
  <c r="D2805" i="10"/>
  <c r="D2829" i="10"/>
  <c r="D2853" i="10"/>
  <c r="D2877" i="10"/>
  <c r="D2901" i="10"/>
  <c r="D2925" i="10"/>
  <c r="D2948" i="10"/>
  <c r="D2965" i="10"/>
  <c r="D2979" i="10"/>
  <c r="D2992" i="10"/>
  <c r="D3006" i="10"/>
  <c r="D3018" i="10"/>
  <c r="D3030" i="10"/>
  <c r="D3042" i="10"/>
  <c r="D3054" i="10"/>
  <c r="D3066" i="10"/>
  <c r="D3078" i="10"/>
  <c r="D3090" i="10"/>
  <c r="D3102" i="10"/>
  <c r="D3114" i="10"/>
  <c r="D3126" i="10"/>
  <c r="D3138" i="10"/>
  <c r="D3150" i="10"/>
  <c r="D3162" i="10"/>
  <c r="D3174" i="10"/>
  <c r="D3186" i="10"/>
  <c r="D3198" i="10"/>
  <c r="D3210" i="10"/>
  <c r="D3222" i="10"/>
  <c r="D3234" i="10"/>
  <c r="D3246" i="10"/>
  <c r="D3258" i="10"/>
  <c r="D3270" i="10"/>
  <c r="D3282" i="10"/>
  <c r="D3294" i="10"/>
  <c r="D3306" i="10"/>
  <c r="D3318" i="10"/>
  <c r="D3330" i="10"/>
  <c r="D3342" i="10"/>
  <c r="D3354" i="10"/>
  <c r="D3366" i="10"/>
  <c r="D3378" i="10"/>
  <c r="D3390" i="10"/>
  <c r="D3402" i="10"/>
  <c r="D3414" i="10"/>
  <c r="D3426" i="10"/>
  <c r="D3438" i="10"/>
  <c r="D3450" i="10"/>
  <c r="D3462" i="10"/>
  <c r="D3474" i="10"/>
  <c r="D3486" i="10"/>
  <c r="D3498" i="10"/>
  <c r="D3510" i="10"/>
  <c r="D3522" i="10"/>
  <c r="D3534" i="10"/>
  <c r="D3546" i="10"/>
  <c r="D3558" i="10"/>
  <c r="D3570" i="10"/>
  <c r="D3582" i="10"/>
  <c r="D3594" i="10"/>
  <c r="D3606" i="10"/>
  <c r="D3618" i="10"/>
  <c r="D3630" i="10"/>
  <c r="D3642" i="10"/>
  <c r="D3654" i="10"/>
  <c r="D3666" i="10"/>
  <c r="D3678" i="10"/>
  <c r="D3690" i="10"/>
  <c r="D3702" i="10"/>
  <c r="D3714" i="10"/>
  <c r="D3726" i="10"/>
  <c r="D57" i="10"/>
  <c r="D153" i="10"/>
  <c r="D249" i="10"/>
  <c r="D345" i="10"/>
  <c r="D441" i="10"/>
  <c r="D537" i="10"/>
  <c r="D633" i="10"/>
  <c r="D729" i="10"/>
  <c r="D825" i="10"/>
  <c r="D921" i="10"/>
  <c r="D1017" i="10"/>
  <c r="D1113" i="10"/>
  <c r="D1209" i="10"/>
  <c r="D1305" i="10"/>
  <c r="D1393" i="10"/>
  <c r="D1448" i="10"/>
  <c r="D1500" i="10"/>
  <c r="D1551" i="10"/>
  <c r="D1599" i="10"/>
  <c r="D1647" i="10"/>
  <c r="D1695" i="10"/>
  <c r="D1743" i="10"/>
  <c r="D1791" i="10"/>
  <c r="D1839" i="10"/>
  <c r="D1887" i="10"/>
  <c r="D1935" i="10"/>
  <c r="D1983" i="10"/>
  <c r="D2031" i="10"/>
  <c r="D2079" i="10"/>
  <c r="D2127" i="10"/>
  <c r="D2167" i="10"/>
  <c r="D2199" i="10"/>
  <c r="D2231" i="10"/>
  <c r="D2255" i="10"/>
  <c r="D2279" i="10"/>
  <c r="D2303" i="10"/>
  <c r="D2327" i="10"/>
  <c r="D2351" i="10"/>
  <c r="D2375" i="10"/>
  <c r="D2399" i="10"/>
  <c r="D2423" i="10"/>
  <c r="D2447" i="10"/>
  <c r="D2471" i="10"/>
  <c r="D2495" i="10"/>
  <c r="D2519" i="10"/>
  <c r="D2543" i="10"/>
  <c r="D2567" i="10"/>
  <c r="D2591" i="10"/>
  <c r="D2615" i="10"/>
  <c r="D2639" i="10"/>
  <c r="D2663" i="10"/>
  <c r="D2687" i="10"/>
  <c r="D2711" i="10"/>
  <c r="D2735" i="10"/>
  <c r="D2759" i="10"/>
  <c r="D2783" i="10"/>
  <c r="D2807" i="10"/>
  <c r="D2831" i="10"/>
  <c r="D2855" i="10"/>
  <c r="D2879" i="10"/>
  <c r="D2903" i="10"/>
  <c r="D2927" i="10"/>
  <c r="D2949" i="10"/>
  <c r="D2966" i="10"/>
  <c r="D2980" i="10"/>
  <c r="D2994" i="10"/>
  <c r="D3007" i="10"/>
  <c r="D3019" i="10"/>
  <c r="D3031" i="10"/>
  <c r="D3043" i="10"/>
  <c r="D3055" i="10"/>
  <c r="D3067" i="10"/>
  <c r="D3079" i="10"/>
  <c r="D3091" i="10"/>
  <c r="D3103" i="10"/>
  <c r="D3115" i="10"/>
  <c r="D3127" i="10"/>
  <c r="D3139" i="10"/>
  <c r="D3151" i="10"/>
  <c r="D3163" i="10"/>
  <c r="D3175" i="10"/>
  <c r="D3187" i="10"/>
  <c r="D3199" i="10"/>
  <c r="D3211" i="10"/>
  <c r="D3223" i="10"/>
  <c r="D3235" i="10"/>
  <c r="D3247" i="10"/>
  <c r="D3259" i="10"/>
  <c r="D3271" i="10"/>
  <c r="D3283" i="10"/>
  <c r="D3295" i="10"/>
  <c r="D3307" i="10"/>
  <c r="D3319" i="10"/>
  <c r="D3331" i="10"/>
  <c r="D3343" i="10"/>
  <c r="D3355" i="10"/>
  <c r="D3367" i="10"/>
  <c r="D3379" i="10"/>
  <c r="D3391" i="10"/>
  <c r="D3403" i="10"/>
  <c r="D3415" i="10"/>
  <c r="D3427" i="10"/>
  <c r="D3439" i="10"/>
  <c r="D3451" i="10"/>
  <c r="D3463" i="10"/>
  <c r="D3475" i="10"/>
  <c r="D3487" i="10"/>
  <c r="D3499" i="10"/>
  <c r="D3511" i="10"/>
  <c r="D3523" i="10"/>
  <c r="D3535" i="10"/>
  <c r="D3547" i="10"/>
  <c r="D3559" i="10"/>
  <c r="D3571" i="10"/>
  <c r="D3583" i="10"/>
  <c r="D3595" i="10"/>
  <c r="D3607" i="10"/>
  <c r="D3619" i="10"/>
  <c r="D3631" i="10"/>
  <c r="D3643" i="10"/>
  <c r="D3655" i="10"/>
  <c r="D3667" i="10"/>
  <c r="D3679" i="10"/>
  <c r="D3691" i="10"/>
  <c r="D3703" i="10"/>
  <c r="D3715" i="10"/>
  <c r="D3727" i="10"/>
  <c r="D3739" i="10"/>
  <c r="D3751" i="10"/>
  <c r="D101" i="10"/>
  <c r="D197" i="10"/>
  <c r="D293" i="10"/>
  <c r="D389" i="10"/>
  <c r="D485" i="10"/>
  <c r="D581" i="10"/>
  <c r="D677" i="10"/>
  <c r="D773" i="10"/>
  <c r="D869" i="10"/>
  <c r="D965" i="10"/>
  <c r="D1061" i="10"/>
  <c r="D1157" i="10"/>
  <c r="D1253" i="10"/>
  <c r="D1349" i="10"/>
  <c r="D1418" i="10"/>
  <c r="D1471" i="10"/>
  <c r="D1523" i="10"/>
  <c r="D1572" i="10"/>
  <c r="D1620" i="10"/>
  <c r="D1668" i="10"/>
  <c r="D1716" i="10"/>
  <c r="D1764" i="10"/>
  <c r="D1812" i="10"/>
  <c r="D1860" i="10"/>
  <c r="D1908" i="10"/>
  <c r="D1956" i="10"/>
  <c r="D2004" i="10"/>
  <c r="D2052" i="10"/>
  <c r="D2100" i="10"/>
  <c r="D2146" i="10"/>
  <c r="D2182" i="10"/>
  <c r="D2212" i="10"/>
  <c r="D2241" i="10"/>
  <c r="D2265" i="10"/>
  <c r="D2289" i="10"/>
  <c r="D2313" i="10"/>
  <c r="D2337" i="10"/>
  <c r="D2361" i="10"/>
  <c r="D2385" i="10"/>
  <c r="D2409" i="10"/>
  <c r="D2433" i="10"/>
  <c r="D2457" i="10"/>
  <c r="D2481" i="10"/>
  <c r="D2505" i="10"/>
  <c r="D2529" i="10"/>
  <c r="D2553" i="10"/>
  <c r="D2577" i="10"/>
  <c r="D2601" i="10"/>
  <c r="D2625" i="10"/>
  <c r="D2649" i="10"/>
  <c r="D2673" i="10"/>
  <c r="D2697" i="10"/>
  <c r="D2721" i="10"/>
  <c r="D2745" i="10"/>
  <c r="D2769" i="10"/>
  <c r="D2793" i="10"/>
  <c r="D2817" i="10"/>
  <c r="D2841" i="10"/>
  <c r="D2865" i="10"/>
  <c r="D2889" i="10"/>
  <c r="D2913" i="10"/>
  <c r="D2937" i="10"/>
  <c r="D2958" i="10"/>
  <c r="D2972" i="10"/>
  <c r="D2986" i="10"/>
  <c r="D2999" i="10"/>
  <c r="D3012" i="10"/>
  <c r="D3024" i="10"/>
  <c r="D3036" i="10"/>
  <c r="D3048" i="10"/>
  <c r="D3060" i="10"/>
  <c r="D3072" i="10"/>
  <c r="D3084" i="10"/>
  <c r="D3096" i="10"/>
  <c r="D3108" i="10"/>
  <c r="D3120" i="10"/>
  <c r="D3132" i="10"/>
  <c r="D3144" i="10"/>
  <c r="D3156" i="10"/>
  <c r="D3168" i="10"/>
  <c r="D3180" i="10"/>
  <c r="D3192" i="10"/>
  <c r="D3204" i="10"/>
  <c r="D3216" i="10"/>
  <c r="D3228" i="10"/>
  <c r="D3240" i="10"/>
  <c r="D3252" i="10"/>
  <c r="D3264" i="10"/>
  <c r="D3276" i="10"/>
  <c r="D3288" i="10"/>
  <c r="D3300" i="10"/>
  <c r="D3312" i="10"/>
  <c r="D3324" i="10"/>
  <c r="D3336" i="10"/>
  <c r="D3348" i="10"/>
  <c r="D3360" i="10"/>
  <c r="D3372" i="10"/>
  <c r="D3384" i="10"/>
  <c r="D3396" i="10"/>
  <c r="D3408" i="10"/>
  <c r="D3420" i="10"/>
  <c r="D3432" i="10"/>
  <c r="D3444" i="10"/>
  <c r="D3456" i="10"/>
  <c r="D3468" i="10"/>
  <c r="D3480" i="10"/>
  <c r="D3492" i="10"/>
  <c r="D3504" i="10"/>
  <c r="D3516" i="10"/>
  <c r="D3528" i="10"/>
  <c r="D3540" i="10"/>
  <c r="D3552" i="10"/>
  <c r="D3564" i="10"/>
  <c r="D3576" i="10"/>
  <c r="D3588" i="10"/>
  <c r="D3600" i="10"/>
  <c r="D3612" i="10"/>
  <c r="D3624" i="10"/>
  <c r="D3636" i="10"/>
  <c r="D3648" i="10"/>
  <c r="D3660" i="10"/>
  <c r="D3672" i="10"/>
  <c r="D3684" i="10"/>
  <c r="D3696" i="10"/>
  <c r="D3708" i="10"/>
  <c r="D3720" i="10"/>
  <c r="D3732" i="10"/>
  <c r="D3744" i="10"/>
  <c r="D58" i="10"/>
  <c r="D250" i="10"/>
  <c r="D442" i="10"/>
  <c r="D634" i="10"/>
  <c r="D826" i="10"/>
  <c r="D1018" i="10"/>
  <c r="D1210" i="10"/>
  <c r="D1394" i="10"/>
  <c r="D1501" i="10"/>
  <c r="D1600" i="10"/>
  <c r="D1696" i="10"/>
  <c r="D1792" i="10"/>
  <c r="D1888" i="10"/>
  <c r="D1984" i="10"/>
  <c r="D2080" i="10"/>
  <c r="D2168" i="10"/>
  <c r="D2232" i="10"/>
  <c r="D2280" i="10"/>
  <c r="D2328" i="10"/>
  <c r="D2376" i="10"/>
  <c r="D2424" i="10"/>
  <c r="D2472" i="10"/>
  <c r="D2520" i="10"/>
  <c r="D2568" i="10"/>
  <c r="D2616" i="10"/>
  <c r="D2664" i="10"/>
  <c r="D2712" i="10"/>
  <c r="D2760" i="10"/>
  <c r="D2808" i="10"/>
  <c r="D2856" i="10"/>
  <c r="D2904" i="10"/>
  <c r="D2951" i="10"/>
  <c r="D2982" i="10"/>
  <c r="D3008" i="10"/>
  <c r="D3032" i="10"/>
  <c r="D3056" i="10"/>
  <c r="D3080" i="10"/>
  <c r="D3104" i="10"/>
  <c r="D3128" i="10"/>
  <c r="D3152" i="10"/>
  <c r="D3176" i="10"/>
  <c r="D3200" i="10"/>
  <c r="D3224" i="10"/>
  <c r="D3248" i="10"/>
  <c r="D3272" i="10"/>
  <c r="D3296" i="10"/>
  <c r="D3320" i="10"/>
  <c r="D3344" i="10"/>
  <c r="D3368" i="10"/>
  <c r="D3392" i="10"/>
  <c r="D3416" i="10"/>
  <c r="D3440" i="10"/>
  <c r="D3464" i="10"/>
  <c r="D3488" i="10"/>
  <c r="D3512" i="10"/>
  <c r="D3536" i="10"/>
  <c r="D3560" i="10"/>
  <c r="D3584" i="10"/>
  <c r="D3608" i="10"/>
  <c r="D3632" i="10"/>
  <c r="D3656" i="10"/>
  <c r="D3680" i="10"/>
  <c r="D3704" i="10"/>
  <c r="D3728" i="10"/>
  <c r="D3743" i="10"/>
  <c r="D3757" i="10"/>
  <c r="D3769" i="10"/>
  <c r="D3781" i="10"/>
  <c r="D3793" i="10"/>
  <c r="D3805" i="10"/>
  <c r="D3817" i="10"/>
  <c r="D3829" i="10"/>
  <c r="D3841" i="10"/>
  <c r="D3853" i="10"/>
  <c r="D3865" i="10"/>
  <c r="D3877" i="10"/>
  <c r="D3889" i="10"/>
  <c r="D3901" i="10"/>
  <c r="D3913" i="10"/>
  <c r="D3925" i="10"/>
  <c r="D3937" i="10"/>
  <c r="D3949" i="10"/>
  <c r="D3961" i="10"/>
  <c r="D3973" i="10"/>
  <c r="D3985" i="10"/>
  <c r="D3997" i="10"/>
  <c r="D4009" i="10"/>
  <c r="D4021" i="10"/>
  <c r="D4033" i="10"/>
  <c r="D4045" i="10"/>
  <c r="D4057" i="10"/>
  <c r="D4069" i="10"/>
  <c r="D4081" i="10"/>
  <c r="D4093" i="10"/>
  <c r="D4105" i="10"/>
  <c r="D4117" i="10"/>
  <c r="D4129" i="10"/>
  <c r="D4141" i="10"/>
  <c r="D4153" i="10"/>
  <c r="D4165" i="10"/>
  <c r="D4177" i="10"/>
  <c r="D4189" i="10"/>
  <c r="D4201" i="10"/>
  <c r="D4213" i="10"/>
  <c r="D4225" i="10"/>
  <c r="D4237" i="10"/>
  <c r="D4249" i="10"/>
  <c r="D4261" i="10"/>
  <c r="D4273" i="10"/>
  <c r="D4285" i="10"/>
  <c r="D4297" i="10"/>
  <c r="D4309" i="10"/>
  <c r="D4321" i="10"/>
  <c r="D4333" i="10"/>
  <c r="D4345" i="10"/>
  <c r="D4357" i="10"/>
  <c r="D4369" i="10"/>
  <c r="D4381" i="10"/>
  <c r="D4393" i="10"/>
  <c r="D4405" i="10"/>
  <c r="D4417" i="10"/>
  <c r="D4429" i="10"/>
  <c r="D4441" i="10"/>
  <c r="D4453" i="10"/>
  <c r="D4465" i="10"/>
  <c r="D4477" i="10"/>
  <c r="D82" i="10"/>
  <c r="D274" i="10"/>
  <c r="D466" i="10"/>
  <c r="D658" i="10"/>
  <c r="D850" i="10"/>
  <c r="D1042" i="10"/>
  <c r="D1234" i="10"/>
  <c r="D1409" i="10"/>
  <c r="D1514" i="10"/>
  <c r="D1612" i="10"/>
  <c r="D1708" i="10"/>
  <c r="D1804" i="10"/>
  <c r="D1900" i="10"/>
  <c r="D1996" i="10"/>
  <c r="D2092" i="10"/>
  <c r="D2176" i="10"/>
  <c r="D2238" i="10"/>
  <c r="D2286" i="10"/>
  <c r="D2334" i="10"/>
  <c r="D2382" i="10"/>
  <c r="D2430" i="10"/>
  <c r="D2478" i="10"/>
  <c r="D2526" i="10"/>
  <c r="D2574" i="10"/>
  <c r="D2622" i="10"/>
  <c r="D2670" i="10"/>
  <c r="D2718" i="10"/>
  <c r="D2766" i="10"/>
  <c r="D2814" i="10"/>
  <c r="D2862" i="10"/>
  <c r="D2910" i="10"/>
  <c r="D2952" i="10"/>
  <c r="D2983" i="10"/>
  <c r="D3009" i="10"/>
  <c r="D3033" i="10"/>
  <c r="D3057" i="10"/>
  <c r="D3081" i="10"/>
  <c r="D3105" i="10"/>
  <c r="D3129" i="10"/>
  <c r="D3153" i="10"/>
  <c r="D3177" i="10"/>
  <c r="D3201" i="10"/>
  <c r="D3225" i="10"/>
  <c r="D3249" i="10"/>
  <c r="D3273" i="10"/>
  <c r="D3297" i="10"/>
  <c r="D3321" i="10"/>
  <c r="D3345" i="10"/>
  <c r="D3369" i="10"/>
  <c r="D3393" i="10"/>
  <c r="D3417" i="10"/>
  <c r="D3441" i="10"/>
  <c r="D3465" i="10"/>
  <c r="D3489" i="10"/>
  <c r="D3513" i="10"/>
  <c r="D3537" i="10"/>
  <c r="D3561" i="10"/>
  <c r="D3585" i="10"/>
  <c r="D3609" i="10"/>
  <c r="D3633" i="10"/>
  <c r="D3657" i="10"/>
  <c r="D3681" i="10"/>
  <c r="D3705" i="10"/>
  <c r="D3729" i="10"/>
  <c r="D3745" i="10"/>
  <c r="D3758" i="10"/>
  <c r="D3770" i="10"/>
  <c r="D3782" i="10"/>
  <c r="D3794" i="10"/>
  <c r="D3806" i="10"/>
  <c r="D3818" i="10"/>
  <c r="D3830" i="10"/>
  <c r="D3842" i="10"/>
  <c r="D3854" i="10"/>
  <c r="D3866" i="10"/>
  <c r="D3878" i="10"/>
  <c r="D3890" i="10"/>
  <c r="D3902" i="10"/>
  <c r="D3914" i="10"/>
  <c r="D3926" i="10"/>
  <c r="D3938" i="10"/>
  <c r="D3950" i="10"/>
  <c r="D3962" i="10"/>
  <c r="D3974" i="10"/>
  <c r="D3986" i="10"/>
  <c r="D3998" i="10"/>
  <c r="D4010" i="10"/>
  <c r="D4022" i="10"/>
  <c r="D4034" i="10"/>
  <c r="D4046" i="10"/>
  <c r="D4058" i="10"/>
  <c r="D4070" i="10"/>
  <c r="D4082" i="10"/>
  <c r="D4094" i="10"/>
  <c r="D4106" i="10"/>
  <c r="D4118" i="10"/>
  <c r="D4130" i="10"/>
  <c r="D4142" i="10"/>
  <c r="D4154" i="10"/>
  <c r="D4166" i="10"/>
  <c r="D4178" i="10"/>
  <c r="D4190" i="10"/>
  <c r="D4202" i="10"/>
  <c r="D4214" i="10"/>
  <c r="D4226" i="10"/>
  <c r="D4238" i="10"/>
  <c r="D4250" i="10"/>
  <c r="D4262" i="10"/>
  <c r="D4274" i="10"/>
  <c r="D4286" i="10"/>
  <c r="D4298" i="10"/>
  <c r="D4310" i="10"/>
  <c r="D4322" i="10"/>
  <c r="D4334" i="10"/>
  <c r="D4346" i="10"/>
  <c r="D4358" i="10"/>
  <c r="D4370" i="10"/>
  <c r="D4382" i="10"/>
  <c r="D4394" i="10"/>
  <c r="D4406" i="10"/>
  <c r="D4418" i="10"/>
  <c r="D4430" i="10"/>
  <c r="D4442" i="10"/>
  <c r="D4454" i="10"/>
  <c r="D4466" i="10"/>
  <c r="D4478" i="10"/>
  <c r="D94" i="10"/>
  <c r="D286" i="10"/>
  <c r="D478" i="10"/>
  <c r="D670" i="10"/>
  <c r="D862" i="10"/>
  <c r="D1054" i="10"/>
  <c r="D1246" i="10"/>
  <c r="D1416" i="10"/>
  <c r="D1521" i="10"/>
  <c r="D1618" i="10"/>
  <c r="D1714" i="10"/>
  <c r="D1810" i="10"/>
  <c r="D1906" i="10"/>
  <c r="D2002" i="10"/>
  <c r="D2098" i="10"/>
  <c r="D2179" i="10"/>
  <c r="D2239" i="10"/>
  <c r="D2287" i="10"/>
  <c r="D2335" i="10"/>
  <c r="D2383" i="10"/>
  <c r="D2431" i="10"/>
  <c r="D2479" i="10"/>
  <c r="D2527" i="10"/>
  <c r="D2575" i="10"/>
  <c r="D2623" i="10"/>
  <c r="D2671" i="10"/>
  <c r="D2719" i="10"/>
  <c r="D2767" i="10"/>
  <c r="D2815" i="10"/>
  <c r="D2863" i="10"/>
  <c r="D2911" i="10"/>
  <c r="D2955" i="10"/>
  <c r="D2984" i="10"/>
  <c r="D3010" i="10"/>
  <c r="D3034" i="10"/>
  <c r="D3058" i="10"/>
  <c r="D3082" i="10"/>
  <c r="D3106" i="10"/>
  <c r="D3130" i="10"/>
  <c r="D3154" i="10"/>
  <c r="D3178" i="10"/>
  <c r="D3202" i="10"/>
  <c r="D3226" i="10"/>
  <c r="D3250" i="10"/>
  <c r="D3274" i="10"/>
  <c r="D3298" i="10"/>
  <c r="D3322" i="10"/>
  <c r="D3346" i="10"/>
  <c r="D3370" i="10"/>
  <c r="D3394" i="10"/>
  <c r="D3418" i="10"/>
  <c r="D3442" i="10"/>
  <c r="D3466" i="10"/>
  <c r="D3490" i="10"/>
  <c r="D3514" i="10"/>
  <c r="D3538" i="10"/>
  <c r="D3562" i="10"/>
  <c r="D3586" i="10"/>
  <c r="D3610" i="10"/>
  <c r="D3634" i="10"/>
  <c r="D3658" i="10"/>
  <c r="D3682" i="10"/>
  <c r="D3706" i="10"/>
  <c r="D3730" i="10"/>
  <c r="D3746" i="10"/>
  <c r="D3759" i="10"/>
  <c r="D3771" i="10"/>
  <c r="D3783" i="10"/>
  <c r="D3795" i="10"/>
  <c r="D3807" i="10"/>
  <c r="D3819" i="10"/>
  <c r="D3831" i="10"/>
  <c r="D3843" i="10"/>
  <c r="D3855" i="10"/>
  <c r="D3867" i="10"/>
  <c r="D3879" i="10"/>
  <c r="D3891" i="10"/>
  <c r="D3903" i="10"/>
  <c r="D3915" i="10"/>
  <c r="D3927" i="10"/>
  <c r="D3939" i="10"/>
  <c r="D3951" i="10"/>
  <c r="D3963" i="10"/>
  <c r="D3975" i="10"/>
  <c r="D3987" i="10"/>
  <c r="D3999" i="10"/>
  <c r="D4011" i="10"/>
  <c r="D4023" i="10"/>
  <c r="D4035" i="10"/>
  <c r="D4047" i="10"/>
  <c r="D4059" i="10"/>
  <c r="D4071" i="10"/>
  <c r="D4083" i="10"/>
  <c r="D4095" i="10"/>
  <c r="D4107" i="10"/>
  <c r="D4119" i="10"/>
  <c r="D4131" i="10"/>
  <c r="D4143" i="10"/>
  <c r="D4155" i="10"/>
  <c r="D4167" i="10"/>
  <c r="D4179" i="10"/>
  <c r="D4191" i="10"/>
  <c r="D4203" i="10"/>
  <c r="D4215" i="10"/>
  <c r="D4227" i="10"/>
  <c r="D4239" i="10"/>
  <c r="D4251" i="10"/>
  <c r="D4263" i="10"/>
  <c r="D4275" i="10"/>
  <c r="D4287" i="10"/>
  <c r="D4299" i="10"/>
  <c r="D4311" i="10"/>
  <c r="D4323" i="10"/>
  <c r="D4335" i="10"/>
  <c r="D4347" i="10"/>
  <c r="D4359" i="10"/>
  <c r="D4371" i="10"/>
  <c r="D4383" i="10"/>
  <c r="D4395" i="10"/>
  <c r="D4407" i="10"/>
  <c r="D4419" i="10"/>
  <c r="D4431" i="10"/>
  <c r="D4443" i="10"/>
  <c r="D4455" i="10"/>
  <c r="D4467" i="10"/>
  <c r="D100" i="10"/>
  <c r="D292" i="10"/>
  <c r="D484" i="10"/>
  <c r="D676" i="10"/>
  <c r="D868" i="10"/>
  <c r="D1060" i="10"/>
  <c r="D1252" i="10"/>
  <c r="D1417" i="10"/>
  <c r="D1522" i="10"/>
  <c r="D1619" i="10"/>
  <c r="D1715" i="10"/>
  <c r="D1811" i="10"/>
  <c r="D1907" i="10"/>
  <c r="D2003" i="10"/>
  <c r="D2099" i="10"/>
  <c r="D2180" i="10"/>
  <c r="D2240" i="10"/>
  <c r="D2288" i="10"/>
  <c r="D2336" i="10"/>
  <c r="D2384" i="10"/>
  <c r="D2432" i="10"/>
  <c r="D2480" i="10"/>
  <c r="D2528" i="10"/>
  <c r="D2576" i="10"/>
  <c r="D2624" i="10"/>
  <c r="D2672" i="10"/>
  <c r="D2720" i="10"/>
  <c r="D2768" i="10"/>
  <c r="D2816" i="10"/>
  <c r="D2864" i="10"/>
  <c r="D2912" i="10"/>
  <c r="D2956" i="10"/>
  <c r="D2985" i="10"/>
  <c r="D3011" i="10"/>
  <c r="D3035" i="10"/>
  <c r="D3059" i="10"/>
  <c r="D3083" i="10"/>
  <c r="D3107" i="10"/>
  <c r="D3131" i="10"/>
  <c r="D3155" i="10"/>
  <c r="D3179" i="10"/>
  <c r="D3203" i="10"/>
  <c r="D3227" i="10"/>
  <c r="D3251" i="10"/>
  <c r="D3275" i="10"/>
  <c r="D3299" i="10"/>
  <c r="D3323" i="10"/>
  <c r="D3347" i="10"/>
  <c r="D3371" i="10"/>
  <c r="D3395" i="10"/>
  <c r="D3419" i="10"/>
  <c r="D3443" i="10"/>
  <c r="D3467" i="10"/>
  <c r="D3491" i="10"/>
  <c r="D3515" i="10"/>
  <c r="D3539" i="10"/>
  <c r="D3563" i="10"/>
  <c r="D3587" i="10"/>
  <c r="D3611" i="10"/>
  <c r="D3635" i="10"/>
  <c r="D3659" i="10"/>
  <c r="D3683" i="10"/>
  <c r="D3707" i="10"/>
  <c r="D3731" i="10"/>
  <c r="D3747" i="10"/>
  <c r="D3760" i="10"/>
  <c r="D3772" i="10"/>
  <c r="D3784" i="10"/>
  <c r="D3796" i="10"/>
  <c r="D3808" i="10"/>
  <c r="D3820" i="10"/>
  <c r="D3832" i="10"/>
  <c r="D3844" i="10"/>
  <c r="D3856" i="10"/>
  <c r="D3868" i="10"/>
  <c r="D3880" i="10"/>
  <c r="D3892" i="10"/>
  <c r="D3904" i="10"/>
  <c r="D3916" i="10"/>
  <c r="D3928" i="10"/>
  <c r="D3940" i="10"/>
  <c r="D3952" i="10"/>
  <c r="D3964" i="10"/>
  <c r="D3976" i="10"/>
  <c r="D3988" i="10"/>
  <c r="D4000" i="10"/>
  <c r="D4012" i="10"/>
  <c r="D4024" i="10"/>
  <c r="D4036" i="10"/>
  <c r="D4048" i="10"/>
  <c r="D4060" i="10"/>
  <c r="D4072" i="10"/>
  <c r="D4084" i="10"/>
  <c r="D4096" i="10"/>
  <c r="D4108" i="10"/>
  <c r="D4120" i="10"/>
  <c r="D4132" i="10"/>
  <c r="D4144" i="10"/>
  <c r="D4156" i="10"/>
  <c r="D4168" i="10"/>
  <c r="D4180" i="10"/>
  <c r="D4192" i="10"/>
  <c r="D4204" i="10"/>
  <c r="D4216" i="10"/>
  <c r="D4228" i="10"/>
  <c r="D4240" i="10"/>
  <c r="D4252" i="10"/>
  <c r="D4264" i="10"/>
  <c r="D4276" i="10"/>
  <c r="D4288" i="10"/>
  <c r="D4300" i="10"/>
  <c r="D4312" i="10"/>
  <c r="D4324" i="10"/>
  <c r="D4336" i="10"/>
  <c r="D4348" i="10"/>
  <c r="D4360" i="10"/>
  <c r="D4372" i="10"/>
  <c r="D4384" i="10"/>
  <c r="D4396" i="10"/>
  <c r="D4408" i="10"/>
  <c r="D4420" i="10"/>
  <c r="D4432" i="10"/>
  <c r="D4444" i="10"/>
  <c r="D4456" i="10"/>
  <c r="D4468" i="10"/>
  <c r="D105" i="10"/>
  <c r="D297" i="10"/>
  <c r="D489" i="10"/>
  <c r="D681" i="10"/>
  <c r="D873" i="10"/>
  <c r="D1065" i="10"/>
  <c r="D1257" i="10"/>
  <c r="D1422" i="10"/>
  <c r="D1526" i="10"/>
  <c r="D1623" i="10"/>
  <c r="D1719" i="10"/>
  <c r="D1815" i="10"/>
  <c r="D1911" i="10"/>
  <c r="D2007" i="10"/>
  <c r="D2103" i="10"/>
  <c r="D2184" i="10"/>
  <c r="D2243" i="10"/>
  <c r="D2291" i="10"/>
  <c r="D2339" i="10"/>
  <c r="D2387" i="10"/>
  <c r="D2435" i="10"/>
  <c r="D2483" i="10"/>
  <c r="D2531" i="10"/>
  <c r="D2579" i="10"/>
  <c r="D2627" i="10"/>
  <c r="D2675" i="10"/>
  <c r="D2723" i="10"/>
  <c r="D2771" i="10"/>
  <c r="D2819" i="10"/>
  <c r="D2867" i="10"/>
  <c r="D2915" i="10"/>
  <c r="D2959" i="10"/>
  <c r="D2987" i="10"/>
  <c r="D3013" i="10"/>
  <c r="D3037" i="10"/>
  <c r="D3061" i="10"/>
  <c r="D3085" i="10"/>
  <c r="D3109" i="10"/>
  <c r="D3133" i="10"/>
  <c r="D3157" i="10"/>
  <c r="D3181" i="10"/>
  <c r="D3205" i="10"/>
  <c r="D3229" i="10"/>
  <c r="D3253" i="10"/>
  <c r="D3277" i="10"/>
  <c r="D3301" i="10"/>
  <c r="D3325" i="10"/>
  <c r="D3349" i="10"/>
  <c r="D3373" i="10"/>
  <c r="D3397" i="10"/>
  <c r="D3421" i="10"/>
  <c r="D3445" i="10"/>
  <c r="D3469" i="10"/>
  <c r="D3493" i="10"/>
  <c r="D3517" i="10"/>
  <c r="D3541" i="10"/>
  <c r="D3565" i="10"/>
  <c r="D3589" i="10"/>
  <c r="D3613" i="10"/>
  <c r="D3637" i="10"/>
  <c r="D3661" i="10"/>
  <c r="D3685" i="10"/>
  <c r="D3709" i="10"/>
  <c r="D3733" i="10"/>
  <c r="D3748" i="10"/>
  <c r="D3761" i="10"/>
  <c r="D3773" i="10"/>
  <c r="D3785" i="10"/>
  <c r="D3797" i="10"/>
  <c r="D3809" i="10"/>
  <c r="D3821" i="10"/>
  <c r="D3833" i="10"/>
  <c r="D3845" i="10"/>
  <c r="D3857" i="10"/>
  <c r="D3869" i="10"/>
  <c r="D3881" i="10"/>
  <c r="D3893" i="10"/>
  <c r="D3905" i="10"/>
  <c r="D3917" i="10"/>
  <c r="D3929" i="10"/>
  <c r="D3941" i="10"/>
  <c r="D3953" i="10"/>
  <c r="D3965" i="10"/>
  <c r="D3977" i="10"/>
  <c r="D3989" i="10"/>
  <c r="D4001" i="10"/>
  <c r="D4013" i="10"/>
  <c r="D4025" i="10"/>
  <c r="D4037" i="10"/>
  <c r="D4049" i="10"/>
  <c r="D4061" i="10"/>
  <c r="D4073" i="10"/>
  <c r="D4085" i="10"/>
  <c r="D4097" i="10"/>
  <c r="D4109" i="10"/>
  <c r="D4121" i="10"/>
  <c r="D4133" i="10"/>
  <c r="D4145" i="10"/>
  <c r="D4157" i="10"/>
  <c r="D4169" i="10"/>
  <c r="D4181" i="10"/>
  <c r="D4193" i="10"/>
  <c r="D4205" i="10"/>
  <c r="D4217" i="10"/>
  <c r="D4229" i="10"/>
  <c r="D4241" i="10"/>
  <c r="D4253" i="10"/>
  <c r="D4265" i="10"/>
  <c r="D4277" i="10"/>
  <c r="D4289" i="10"/>
  <c r="D4301" i="10"/>
  <c r="D4313" i="10"/>
  <c r="D4325" i="10"/>
  <c r="D4337" i="10"/>
  <c r="D4349" i="10"/>
  <c r="D4361" i="10"/>
  <c r="D4373" i="10"/>
  <c r="D4385" i="10"/>
  <c r="D4397" i="10"/>
  <c r="D4409" i="10"/>
  <c r="D4421" i="10"/>
  <c r="D4433" i="10"/>
  <c r="D4445" i="10"/>
  <c r="D4457" i="10"/>
  <c r="D4469" i="10"/>
  <c r="D106" i="10"/>
  <c r="D1066" i="10"/>
  <c r="D1258" i="10"/>
  <c r="D1423" i="10"/>
  <c r="D1528" i="10"/>
  <c r="D1624" i="10"/>
  <c r="D1720" i="10"/>
  <c r="D1816" i="10"/>
  <c r="D1912" i="10"/>
  <c r="D178" i="10"/>
  <c r="D370" i="10"/>
  <c r="D562" i="10"/>
  <c r="D754" i="10"/>
  <c r="D946" i="10"/>
  <c r="D1138" i="10"/>
  <c r="D1330" i="10"/>
  <c r="D1462" i="10"/>
  <c r="D1564" i="10"/>
  <c r="D1660" i="10"/>
  <c r="D1756" i="10"/>
  <c r="D1852" i="10"/>
  <c r="D1948" i="10"/>
  <c r="D2044" i="10"/>
  <c r="D2140" i="10"/>
  <c r="D2209" i="10"/>
  <c r="D2262" i="10"/>
  <c r="D2310" i="10"/>
  <c r="D2358" i="10"/>
  <c r="D2406" i="10"/>
  <c r="D2454" i="10"/>
  <c r="D2502" i="10"/>
  <c r="D2550" i="10"/>
  <c r="D2598" i="10"/>
  <c r="D2646" i="10"/>
  <c r="D2694" i="10"/>
  <c r="D2742" i="10"/>
  <c r="D2790" i="10"/>
  <c r="D2838" i="10"/>
  <c r="D2886" i="10"/>
  <c r="D2934" i="10"/>
  <c r="D2968" i="10"/>
  <c r="D2996" i="10"/>
  <c r="D3021" i="10"/>
  <c r="D3045" i="10"/>
  <c r="D3069" i="10"/>
  <c r="D3093" i="10"/>
  <c r="D3117" i="10"/>
  <c r="D3141" i="10"/>
  <c r="D3165" i="10"/>
  <c r="D3189" i="10"/>
  <c r="D3213" i="10"/>
  <c r="D3237" i="10"/>
  <c r="D3261" i="10"/>
  <c r="D3285" i="10"/>
  <c r="D3309" i="10"/>
  <c r="D3333" i="10"/>
  <c r="D3357" i="10"/>
  <c r="D3381" i="10"/>
  <c r="D3405" i="10"/>
  <c r="D3429" i="10"/>
  <c r="D3453" i="10"/>
  <c r="D3477" i="10"/>
  <c r="D3501" i="10"/>
  <c r="D3525" i="10"/>
  <c r="D3549" i="10"/>
  <c r="D3573" i="10"/>
  <c r="D3597" i="10"/>
  <c r="D3621" i="10"/>
  <c r="D3645" i="10"/>
  <c r="D3669" i="10"/>
  <c r="D3693" i="10"/>
  <c r="D3717" i="10"/>
  <c r="D3737" i="10"/>
  <c r="D3752" i="10"/>
  <c r="D3764" i="10"/>
  <c r="D3776" i="10"/>
  <c r="D3788" i="10"/>
  <c r="D3800" i="10"/>
  <c r="D3812" i="10"/>
  <c r="D3824" i="10"/>
  <c r="D3836" i="10"/>
  <c r="D3848" i="10"/>
  <c r="D3860" i="10"/>
  <c r="D3872" i="10"/>
  <c r="D3884" i="10"/>
  <c r="D3896" i="10"/>
  <c r="D3908" i="10"/>
  <c r="D3920" i="10"/>
  <c r="D3932" i="10"/>
  <c r="D3944" i="10"/>
  <c r="D3956" i="10"/>
  <c r="D3968" i="10"/>
  <c r="D3980" i="10"/>
  <c r="D3992" i="10"/>
  <c r="D4004" i="10"/>
  <c r="D4016" i="10"/>
  <c r="D4028" i="10"/>
  <c r="D4040" i="10"/>
  <c r="D4052" i="10"/>
  <c r="D4064" i="10"/>
  <c r="D4076" i="10"/>
  <c r="D4088" i="10"/>
  <c r="D4100" i="10"/>
  <c r="D4112" i="10"/>
  <c r="D4124" i="10"/>
  <c r="D4136" i="10"/>
  <c r="D4148" i="10"/>
  <c r="D4160" i="10"/>
  <c r="D4172" i="10"/>
  <c r="D4184" i="10"/>
  <c r="D4196" i="10"/>
  <c r="D4208" i="10"/>
  <c r="D4220" i="10"/>
  <c r="D4232" i="10"/>
  <c r="D4244" i="10"/>
  <c r="D4256" i="10"/>
  <c r="D4268" i="10"/>
  <c r="D4280" i="10"/>
  <c r="D4292" i="10"/>
  <c r="D4304" i="10"/>
  <c r="D4316" i="10"/>
  <c r="D4328" i="10"/>
  <c r="D4340" i="10"/>
  <c r="D4352" i="10"/>
  <c r="D4364" i="10"/>
  <c r="D4376" i="10"/>
  <c r="D4388" i="10"/>
  <c r="D4400" i="10"/>
  <c r="D4412" i="10"/>
  <c r="D4424" i="10"/>
  <c r="D4436" i="10"/>
  <c r="D4448" i="10"/>
  <c r="D4460" i="10"/>
  <c r="D4472" i="10"/>
  <c r="D190" i="10"/>
  <c r="D382" i="10"/>
  <c r="D154" i="10"/>
  <c r="D580" i="10"/>
  <c r="D964" i="10"/>
  <c r="D1354" i="10"/>
  <c r="D1666" i="10"/>
  <c r="D1863" i="10"/>
  <c r="D2056" i="10"/>
  <c r="D2218" i="10"/>
  <c r="D2316" i="10"/>
  <c r="D2412" i="10"/>
  <c r="D2508" i="10"/>
  <c r="D2604" i="10"/>
  <c r="D2700" i="10"/>
  <c r="D2796" i="10"/>
  <c r="D2892" i="10"/>
  <c r="D2975" i="10"/>
  <c r="D3026" i="10"/>
  <c r="D3074" i="10"/>
  <c r="D3122" i="10"/>
  <c r="D3170" i="10"/>
  <c r="D3218" i="10"/>
  <c r="D3266" i="10"/>
  <c r="D3314" i="10"/>
  <c r="D3362" i="10"/>
  <c r="D3410" i="10"/>
  <c r="D3458" i="10"/>
  <c r="D3506" i="10"/>
  <c r="D3554" i="10"/>
  <c r="D3602" i="10"/>
  <c r="D3650" i="10"/>
  <c r="D3698" i="10"/>
  <c r="D3742" i="10"/>
  <c r="D3768" i="10"/>
  <c r="D3792" i="10"/>
  <c r="D3816" i="10"/>
  <c r="D3840" i="10"/>
  <c r="D3864" i="10"/>
  <c r="D3888" i="10"/>
  <c r="D3912" i="10"/>
  <c r="D3936" i="10"/>
  <c r="D3960" i="10"/>
  <c r="D3984" i="10"/>
  <c r="D4008" i="10"/>
  <c r="D4032" i="10"/>
  <c r="D4056" i="10"/>
  <c r="D4080" i="10"/>
  <c r="D4104" i="10"/>
  <c r="D4128" i="10"/>
  <c r="D4152" i="10"/>
  <c r="D4176" i="10"/>
  <c r="D4200" i="10"/>
  <c r="D4224" i="10"/>
  <c r="D4248" i="10"/>
  <c r="D4272" i="10"/>
  <c r="D4296" i="10"/>
  <c r="D4320" i="10"/>
  <c r="D4344" i="10"/>
  <c r="D4368" i="10"/>
  <c r="D4392" i="10"/>
  <c r="D4416" i="10"/>
  <c r="D4440" i="10"/>
  <c r="D4464" i="10"/>
  <c r="D1475" i="10"/>
  <c r="D2148" i="10"/>
  <c r="D2651" i="10"/>
  <c r="D3049" i="10"/>
  <c r="D3289" i="10"/>
  <c r="D3529" i="10"/>
  <c r="D3755" i="10"/>
  <c r="D3899" i="10"/>
  <c r="D4019" i="10"/>
  <c r="D4139" i="10"/>
  <c r="D4259" i="10"/>
  <c r="D4331" i="10"/>
  <c r="D4451" i="10"/>
  <c r="D1552" i="10"/>
  <c r="D2556" i="10"/>
  <c r="D3001" i="10"/>
  <c r="D3242" i="10"/>
  <c r="D3482" i="10"/>
  <c r="D3722" i="10"/>
  <c r="D3804" i="10"/>
  <c r="D3876" i="10"/>
  <c r="D3972" i="10"/>
  <c r="D4068" i="10"/>
  <c r="D4140" i="10"/>
  <c r="D4260" i="10"/>
  <c r="D4356" i="10"/>
  <c r="D4476" i="10"/>
  <c r="D2050" i="10"/>
  <c r="D3550" i="10"/>
  <c r="D3789" i="10"/>
  <c r="D3933" i="10"/>
  <c r="D4077" i="10"/>
  <c r="D4197" i="10"/>
  <c r="D4293" i="10"/>
  <c r="D4437" i="10"/>
  <c r="D1858" i="10"/>
  <c r="D2792" i="10"/>
  <c r="D3167" i="10"/>
  <c r="D3551" i="10"/>
  <c r="D3814" i="10"/>
  <c r="D3982" i="10"/>
  <c r="D4126" i="10"/>
  <c r="D4294" i="10"/>
  <c r="D4438" i="10"/>
  <c r="D1648" i="10"/>
  <c r="D3121" i="10"/>
  <c r="D3505" i="10"/>
  <c r="D3767" i="10"/>
  <c r="D3911" i="10"/>
  <c r="D3935" i="10"/>
  <c r="D4079" i="10"/>
  <c r="D4151" i="10"/>
  <c r="D4247" i="10"/>
  <c r="D4367" i="10"/>
  <c r="D4415" i="10"/>
  <c r="D196" i="10"/>
  <c r="D585" i="10"/>
  <c r="D969" i="10"/>
  <c r="D1449" i="10"/>
  <c r="D1667" i="10"/>
  <c r="D1864" i="10"/>
  <c r="D2104" i="10"/>
  <c r="D2244" i="10"/>
  <c r="D2340" i="10"/>
  <c r="D2436" i="10"/>
  <c r="D2532" i="10"/>
  <c r="D2628" i="10"/>
  <c r="D2724" i="10"/>
  <c r="D2820" i="10"/>
  <c r="D2916" i="10"/>
  <c r="D2988" i="10"/>
  <c r="D3038" i="10"/>
  <c r="D3086" i="10"/>
  <c r="D3134" i="10"/>
  <c r="D3182" i="10"/>
  <c r="D3230" i="10"/>
  <c r="D3278" i="10"/>
  <c r="D3326" i="10"/>
  <c r="D3374" i="10"/>
  <c r="D3422" i="10"/>
  <c r="D3470" i="10"/>
  <c r="D3518" i="10"/>
  <c r="D3566" i="10"/>
  <c r="D3614" i="10"/>
  <c r="D3662" i="10"/>
  <c r="D3710" i="10"/>
  <c r="D3749" i="10"/>
  <c r="D3774" i="10"/>
  <c r="D3798" i="10"/>
  <c r="D3822" i="10"/>
  <c r="D3846" i="10"/>
  <c r="D3870" i="10"/>
  <c r="D3894" i="10"/>
  <c r="D3918" i="10"/>
  <c r="D3942" i="10"/>
  <c r="D3966" i="10"/>
  <c r="D3990" i="10"/>
  <c r="D4014" i="10"/>
  <c r="D4038" i="10"/>
  <c r="D4062" i="10"/>
  <c r="D4086" i="10"/>
  <c r="D4110" i="10"/>
  <c r="D4134" i="10"/>
  <c r="D4158" i="10"/>
  <c r="D4182" i="10"/>
  <c r="D4206" i="10"/>
  <c r="D4230" i="10"/>
  <c r="D4254" i="10"/>
  <c r="D4278" i="10"/>
  <c r="D4302" i="10"/>
  <c r="D4326" i="10"/>
  <c r="D4350" i="10"/>
  <c r="D4374" i="10"/>
  <c r="D4398" i="10"/>
  <c r="D4422" i="10"/>
  <c r="D4446" i="10"/>
  <c r="D4470" i="10"/>
  <c r="D1156" i="10"/>
  <c r="D2267" i="10"/>
  <c r="D2747" i="10"/>
  <c r="D3097" i="10"/>
  <c r="D3337" i="10"/>
  <c r="D3577" i="10"/>
  <c r="D3779" i="10"/>
  <c r="D3875" i="10"/>
  <c r="D3995" i="10"/>
  <c r="D4115" i="10"/>
  <c r="D4187" i="10"/>
  <c r="D4307" i="10"/>
  <c r="D4427" i="10"/>
  <c r="D1161" i="10"/>
  <c r="D2364" i="10"/>
  <c r="D2940" i="10"/>
  <c r="D3194" i="10"/>
  <c r="D3434" i="10"/>
  <c r="D3674" i="10"/>
  <c r="D3852" i="10"/>
  <c r="D3996" i="10"/>
  <c r="D4116" i="10"/>
  <c r="D4212" i="10"/>
  <c r="D4332" i="10"/>
  <c r="D4452" i="10"/>
  <c r="D1840" i="10"/>
  <c r="D3502" i="10"/>
  <c r="D3813" i="10"/>
  <c r="D3957" i="10"/>
  <c r="D4125" i="10"/>
  <c r="D4269" i="10"/>
  <c r="D4413" i="10"/>
  <c r="D538" i="10"/>
  <c r="D2408" i="10"/>
  <c r="D2971" i="10"/>
  <c r="D3263" i="10"/>
  <c r="D3503" i="10"/>
  <c r="D3766" i="10"/>
  <c r="D3910" i="10"/>
  <c r="D4078" i="10"/>
  <c r="D4222" i="10"/>
  <c r="D4390" i="10"/>
  <c r="D2055" i="10"/>
  <c r="D2699" i="10"/>
  <c r="D3073" i="10"/>
  <c r="D3313" i="10"/>
  <c r="D3553" i="10"/>
  <c r="D3791" i="10"/>
  <c r="D3959" i="10"/>
  <c r="D4103" i="10"/>
  <c r="D4271" i="10"/>
  <c r="D4463" i="10"/>
  <c r="D201" i="10"/>
  <c r="D586" i="10"/>
  <c r="D970" i="10"/>
  <c r="D1469" i="10"/>
  <c r="D1671" i="10"/>
  <c r="D1936" i="10"/>
  <c r="D2128" i="10"/>
  <c r="D2256" i="10"/>
  <c r="D2352" i="10"/>
  <c r="D2448" i="10"/>
  <c r="D2544" i="10"/>
  <c r="D2640" i="10"/>
  <c r="D2736" i="10"/>
  <c r="D2832" i="10"/>
  <c r="D2928" i="10"/>
  <c r="D2995" i="10"/>
  <c r="D3044" i="10"/>
  <c r="D3092" i="10"/>
  <c r="D3140" i="10"/>
  <c r="D3188" i="10"/>
  <c r="D3236" i="10"/>
  <c r="D3284" i="10"/>
  <c r="D3332" i="10"/>
  <c r="D3380" i="10"/>
  <c r="D3428" i="10"/>
  <c r="D3476" i="10"/>
  <c r="D3524" i="10"/>
  <c r="D3572" i="10"/>
  <c r="D3620" i="10"/>
  <c r="D3668" i="10"/>
  <c r="D3716" i="10"/>
  <c r="D3750" i="10"/>
  <c r="D3775" i="10"/>
  <c r="D3799" i="10"/>
  <c r="D3823" i="10"/>
  <c r="D3847" i="10"/>
  <c r="D3871" i="10"/>
  <c r="D3895" i="10"/>
  <c r="D3919" i="10"/>
  <c r="D3943" i="10"/>
  <c r="D3967" i="10"/>
  <c r="D3991" i="10"/>
  <c r="D4015" i="10"/>
  <c r="D4039" i="10"/>
  <c r="D4063" i="10"/>
  <c r="D4087" i="10"/>
  <c r="D4111" i="10"/>
  <c r="D4135" i="10"/>
  <c r="D4159" i="10"/>
  <c r="D4183" i="10"/>
  <c r="D4207" i="10"/>
  <c r="D4231" i="10"/>
  <c r="D4255" i="10"/>
  <c r="D4279" i="10"/>
  <c r="D4303" i="10"/>
  <c r="D4327" i="10"/>
  <c r="D4351" i="10"/>
  <c r="D4375" i="10"/>
  <c r="D4399" i="10"/>
  <c r="D4423" i="10"/>
  <c r="D4447" i="10"/>
  <c r="D4471" i="10"/>
  <c r="D766" i="10"/>
  <c r="D2363" i="10"/>
  <c r="D2939" i="10"/>
  <c r="D3193" i="10"/>
  <c r="D3433" i="10"/>
  <c r="D3673" i="10"/>
  <c r="D3827" i="10"/>
  <c r="D3947" i="10"/>
  <c r="D4067" i="10"/>
  <c r="D4211" i="10"/>
  <c r="D4355" i="10"/>
  <c r="D4475" i="10"/>
  <c r="D1763" i="10"/>
  <c r="D2268" i="10"/>
  <c r="D2748" i="10"/>
  <c r="D3098" i="10"/>
  <c r="D3338" i="10"/>
  <c r="D3578" i="10"/>
  <c r="D3780" i="10"/>
  <c r="D3924" i="10"/>
  <c r="D4044" i="10"/>
  <c r="D4188" i="10"/>
  <c r="D4308" i="10"/>
  <c r="D4428" i="10"/>
  <c r="D874" i="10"/>
  <c r="D3406" i="10"/>
  <c r="D3738" i="10"/>
  <c r="D3909" i="10"/>
  <c r="D4053" i="10"/>
  <c r="D4221" i="10"/>
  <c r="D4389" i="10"/>
  <c r="D1576" i="10"/>
  <c r="D2504" i="10"/>
  <c r="D2888" i="10"/>
  <c r="D3119" i="10"/>
  <c r="D3407" i="10"/>
  <c r="D3695" i="10"/>
  <c r="D3862" i="10"/>
  <c r="D4006" i="10"/>
  <c r="D4174" i="10"/>
  <c r="D4318" i="10"/>
  <c r="D574" i="10"/>
  <c r="D2216" i="10"/>
  <c r="D2411" i="10"/>
  <c r="D2603" i="10"/>
  <c r="D2973" i="10"/>
  <c r="D3265" i="10"/>
  <c r="D3601" i="10"/>
  <c r="D3839" i="10"/>
  <c r="D4007" i="10"/>
  <c r="D4175" i="10"/>
  <c r="D4343" i="10"/>
  <c r="D202" i="10"/>
  <c r="D682" i="10"/>
  <c r="D1114" i="10"/>
  <c r="D1470" i="10"/>
  <c r="D1672" i="10"/>
  <c r="D1954" i="10"/>
  <c r="D2143" i="10"/>
  <c r="D2263" i="10"/>
  <c r="D2359" i="10"/>
  <c r="D2455" i="10"/>
  <c r="D2551" i="10"/>
  <c r="D2647" i="10"/>
  <c r="D2743" i="10"/>
  <c r="D2839" i="10"/>
  <c r="D2935" i="10"/>
  <c r="D2997" i="10"/>
  <c r="D3046" i="10"/>
  <c r="D3094" i="10"/>
  <c r="D3142" i="10"/>
  <c r="D3190" i="10"/>
  <c r="D3238" i="10"/>
  <c r="D3286" i="10"/>
  <c r="D3334" i="10"/>
  <c r="D3382" i="10"/>
  <c r="D3430" i="10"/>
  <c r="D3478" i="10"/>
  <c r="D3526" i="10"/>
  <c r="D3574" i="10"/>
  <c r="D3622" i="10"/>
  <c r="D3670" i="10"/>
  <c r="D3718" i="10"/>
  <c r="D3753" i="10"/>
  <c r="D3777" i="10"/>
  <c r="D3801" i="10"/>
  <c r="D3825" i="10"/>
  <c r="D3849" i="10"/>
  <c r="D3873" i="10"/>
  <c r="D3897" i="10"/>
  <c r="D3921" i="10"/>
  <c r="D3945" i="10"/>
  <c r="D3969" i="10"/>
  <c r="D3993" i="10"/>
  <c r="D4017" i="10"/>
  <c r="D4041" i="10"/>
  <c r="D4065" i="10"/>
  <c r="D4089" i="10"/>
  <c r="D4113" i="10"/>
  <c r="D4137" i="10"/>
  <c r="D4161" i="10"/>
  <c r="D4185" i="10"/>
  <c r="D4209" i="10"/>
  <c r="D4233" i="10"/>
  <c r="D4257" i="10"/>
  <c r="D4281" i="10"/>
  <c r="D4305" i="10"/>
  <c r="D4329" i="10"/>
  <c r="D4353" i="10"/>
  <c r="D4377" i="10"/>
  <c r="D4401" i="10"/>
  <c r="D4425" i="10"/>
  <c r="D4449" i="10"/>
  <c r="D4473" i="10"/>
  <c r="D1762" i="10"/>
  <c r="D1959" i="10"/>
  <c r="D2459" i="10"/>
  <c r="D2843" i="10"/>
  <c r="D3145" i="10"/>
  <c r="D3385" i="10"/>
  <c r="D3625" i="10"/>
  <c r="D3803" i="10"/>
  <c r="D3923" i="10"/>
  <c r="D4043" i="10"/>
  <c r="D4163" i="10"/>
  <c r="D4283" i="10"/>
  <c r="D4403" i="10"/>
  <c r="D388" i="10"/>
  <c r="D2149" i="10"/>
  <c r="D2652" i="10"/>
  <c r="D3050" i="10"/>
  <c r="D3290" i="10"/>
  <c r="D3530" i="10"/>
  <c r="D3756" i="10"/>
  <c r="D3900" i="10"/>
  <c r="D4020" i="10"/>
  <c r="D4164" i="10"/>
  <c r="D4284" i="10"/>
  <c r="D4404" i="10"/>
  <c r="D1575" i="10"/>
  <c r="D3310" i="10"/>
  <c r="D3646" i="10"/>
  <c r="D3837" i="10"/>
  <c r="D4005" i="10"/>
  <c r="D4149" i="10"/>
  <c r="D4317" i="10"/>
  <c r="D1348" i="10"/>
  <c r="D2211" i="10"/>
  <c r="D2600" i="10"/>
  <c r="D3071" i="10"/>
  <c r="D3359" i="10"/>
  <c r="D3599" i="10"/>
  <c r="D3790" i="10"/>
  <c r="D3934" i="10"/>
  <c r="D4102" i="10"/>
  <c r="D4246" i="10"/>
  <c r="D4414" i="10"/>
  <c r="D1353" i="10"/>
  <c r="D2795" i="10"/>
  <c r="D3217" i="10"/>
  <c r="D3457" i="10"/>
  <c r="D3697" i="10"/>
  <c r="D3863" i="10"/>
  <c r="D4031" i="10"/>
  <c r="D4223" i="10"/>
  <c r="D4391" i="10"/>
  <c r="D298" i="10"/>
  <c r="D730" i="10"/>
  <c r="D1150" i="10"/>
  <c r="D1474" i="10"/>
  <c r="D1744" i="10"/>
  <c r="D1955" i="10"/>
  <c r="D2144" i="10"/>
  <c r="D2264" i="10"/>
  <c r="D2360" i="10"/>
  <c r="D2456" i="10"/>
  <c r="D2552" i="10"/>
  <c r="D2648" i="10"/>
  <c r="D2744" i="10"/>
  <c r="D2840" i="10"/>
  <c r="D2936" i="10"/>
  <c r="D2998" i="10"/>
  <c r="D3047" i="10"/>
  <c r="D3095" i="10"/>
  <c r="D3143" i="10"/>
  <c r="D3191" i="10"/>
  <c r="D3239" i="10"/>
  <c r="D3287" i="10"/>
  <c r="D3335" i="10"/>
  <c r="D3383" i="10"/>
  <c r="D3431" i="10"/>
  <c r="D3479" i="10"/>
  <c r="D3527" i="10"/>
  <c r="D3575" i="10"/>
  <c r="D3623" i="10"/>
  <c r="D3671" i="10"/>
  <c r="D3719" i="10"/>
  <c r="D3754" i="10"/>
  <c r="D3778" i="10"/>
  <c r="D3802" i="10"/>
  <c r="D3826" i="10"/>
  <c r="D3850" i="10"/>
  <c r="D3874" i="10"/>
  <c r="D3898" i="10"/>
  <c r="D3922" i="10"/>
  <c r="D3946" i="10"/>
  <c r="D3970" i="10"/>
  <c r="D3994" i="10"/>
  <c r="D4018" i="10"/>
  <c r="D4042" i="10"/>
  <c r="D4066" i="10"/>
  <c r="D4090" i="10"/>
  <c r="D4114" i="10"/>
  <c r="D4138" i="10"/>
  <c r="D4162" i="10"/>
  <c r="D4186" i="10"/>
  <c r="D4210" i="10"/>
  <c r="D4234" i="10"/>
  <c r="D4258" i="10"/>
  <c r="D4282" i="10"/>
  <c r="D4306" i="10"/>
  <c r="D4330" i="10"/>
  <c r="D4354" i="10"/>
  <c r="D4378" i="10"/>
  <c r="D4402" i="10"/>
  <c r="D4426" i="10"/>
  <c r="D4450" i="10"/>
  <c r="D4474" i="10"/>
  <c r="D346" i="10"/>
  <c r="D2555" i="10"/>
  <c r="D3000" i="10"/>
  <c r="D3241" i="10"/>
  <c r="D3481" i="10"/>
  <c r="D3721" i="10"/>
  <c r="D3851" i="10"/>
  <c r="D3971" i="10"/>
  <c r="D4091" i="10"/>
  <c r="D4235" i="10"/>
  <c r="D4379" i="10"/>
  <c r="D772" i="10"/>
  <c r="D1960" i="10"/>
  <c r="D2460" i="10"/>
  <c r="D2844" i="10"/>
  <c r="D3146" i="10"/>
  <c r="D3386" i="10"/>
  <c r="D3626" i="10"/>
  <c r="D3828" i="10"/>
  <c r="D3948" i="10"/>
  <c r="D4092" i="10"/>
  <c r="D4236" i="10"/>
  <c r="D4380" i="10"/>
  <c r="D1342" i="10"/>
  <c r="D3358" i="10"/>
  <c r="D3694" i="10"/>
  <c r="D3885" i="10"/>
  <c r="D4029" i="10"/>
  <c r="D4173" i="10"/>
  <c r="D4341" i="10"/>
  <c r="D922" i="10"/>
  <c r="D2312" i="10"/>
  <c r="D2696" i="10"/>
  <c r="D3023" i="10"/>
  <c r="D3311" i="10"/>
  <c r="D3455" i="10"/>
  <c r="D3740" i="10"/>
  <c r="D3886" i="10"/>
  <c r="D4030" i="10"/>
  <c r="D4198" i="10"/>
  <c r="D4366" i="10"/>
  <c r="D1859" i="10"/>
  <c r="D2315" i="10"/>
  <c r="D2507" i="10"/>
  <c r="D2891" i="10"/>
  <c r="D3169" i="10"/>
  <c r="D3409" i="10"/>
  <c r="D3649" i="10"/>
  <c r="D3815" i="10"/>
  <c r="D3983" i="10"/>
  <c r="D4127" i="10"/>
  <c r="D4295" i="10"/>
  <c r="D393" i="10"/>
  <c r="D777" i="10"/>
  <c r="D1162" i="10"/>
  <c r="D1570" i="10"/>
  <c r="D1767" i="10"/>
  <c r="D2008" i="10"/>
  <c r="D2185" i="10"/>
  <c r="D2292" i="10"/>
  <c r="D2388" i="10"/>
  <c r="D2484" i="10"/>
  <c r="D2580" i="10"/>
  <c r="D2676" i="10"/>
  <c r="D2772" i="10"/>
  <c r="D2868" i="10"/>
  <c r="D2960" i="10"/>
  <c r="D3014" i="10"/>
  <c r="D3062" i="10"/>
  <c r="D3110" i="10"/>
  <c r="D3158" i="10"/>
  <c r="D3206" i="10"/>
  <c r="D3254" i="10"/>
  <c r="D3302" i="10"/>
  <c r="D3350" i="10"/>
  <c r="D3398" i="10"/>
  <c r="D3446" i="10"/>
  <c r="D3494" i="10"/>
  <c r="D3542" i="10"/>
  <c r="D3590" i="10"/>
  <c r="D3638" i="10"/>
  <c r="D3686" i="10"/>
  <c r="D3734" i="10"/>
  <c r="D3762" i="10"/>
  <c r="D3786" i="10"/>
  <c r="D3810" i="10"/>
  <c r="D3834" i="10"/>
  <c r="D3858" i="10"/>
  <c r="D3882" i="10"/>
  <c r="D3906" i="10"/>
  <c r="D3930" i="10"/>
  <c r="D3954" i="10"/>
  <c r="D3978" i="10"/>
  <c r="D4002" i="10"/>
  <c r="D4026" i="10"/>
  <c r="D4050" i="10"/>
  <c r="D4074" i="10"/>
  <c r="D4098" i="10"/>
  <c r="D4122" i="10"/>
  <c r="D4146" i="10"/>
  <c r="D4170" i="10"/>
  <c r="D4194" i="10"/>
  <c r="D4218" i="10"/>
  <c r="D4242" i="10"/>
  <c r="D4266" i="10"/>
  <c r="D4290" i="10"/>
  <c r="D4314" i="10"/>
  <c r="D4338" i="10"/>
  <c r="D4362" i="10"/>
  <c r="D4386" i="10"/>
  <c r="D4410" i="10"/>
  <c r="D4434" i="10"/>
  <c r="D4458" i="10"/>
  <c r="D394" i="10"/>
  <c r="D778" i="10"/>
  <c r="D1306" i="10"/>
  <c r="D1571" i="10"/>
  <c r="D1768" i="10"/>
  <c r="D2032" i="10"/>
  <c r="D2200" i="10"/>
  <c r="D2304" i="10"/>
  <c r="D2400" i="10"/>
  <c r="D2496" i="10"/>
  <c r="D2592" i="10"/>
  <c r="D2688" i="10"/>
  <c r="D2784" i="10"/>
  <c r="D2880" i="10"/>
  <c r="D2967" i="10"/>
  <c r="D3020" i="10"/>
  <c r="D3068" i="10"/>
  <c r="D3116" i="10"/>
  <c r="D3164" i="10"/>
  <c r="D3212" i="10"/>
  <c r="D3260" i="10"/>
  <c r="D3308" i="10"/>
  <c r="D3356" i="10"/>
  <c r="D3404" i="10"/>
  <c r="D3452" i="10"/>
  <c r="D3500" i="10"/>
  <c r="D3548" i="10"/>
  <c r="D3596" i="10"/>
  <c r="D3644" i="10"/>
  <c r="D3692" i="10"/>
  <c r="D3736" i="10"/>
  <c r="D3763" i="10"/>
  <c r="D3787" i="10"/>
  <c r="D3811" i="10"/>
  <c r="D3835" i="10"/>
  <c r="D3859" i="10"/>
  <c r="D3883" i="10"/>
  <c r="D3907" i="10"/>
  <c r="D3931" i="10"/>
  <c r="D3955" i="10"/>
  <c r="D3979" i="10"/>
  <c r="D4003" i="10"/>
  <c r="D4027" i="10"/>
  <c r="D4051" i="10"/>
  <c r="D4075" i="10"/>
  <c r="D4099" i="10"/>
  <c r="D4123" i="10"/>
  <c r="D4147" i="10"/>
  <c r="D4171" i="10"/>
  <c r="D4195" i="10"/>
  <c r="D4219" i="10"/>
  <c r="D4243" i="10"/>
  <c r="D4267" i="10"/>
  <c r="D4291" i="10"/>
  <c r="D4315" i="10"/>
  <c r="D4339" i="10"/>
  <c r="D4363" i="10"/>
  <c r="D4387" i="10"/>
  <c r="D4411" i="10"/>
  <c r="D4435" i="10"/>
  <c r="D4459" i="10"/>
  <c r="D490" i="10"/>
  <c r="D2210" i="10"/>
  <c r="D2311" i="10"/>
  <c r="D2407" i="10"/>
  <c r="D2503" i="10"/>
  <c r="D2599" i="10"/>
  <c r="D2695" i="10"/>
  <c r="D2791" i="10"/>
  <c r="D2887" i="10"/>
  <c r="D2970" i="10"/>
  <c r="D3022" i="10"/>
  <c r="D3070" i="10"/>
  <c r="D3118" i="10"/>
  <c r="D3166" i="10"/>
  <c r="D3214" i="10"/>
  <c r="D3262" i="10"/>
  <c r="D3454" i="10"/>
  <c r="D3598" i="10"/>
  <c r="D3765" i="10"/>
  <c r="D3861" i="10"/>
  <c r="D3981" i="10"/>
  <c r="D4101" i="10"/>
  <c r="D4245" i="10"/>
  <c r="D4365" i="10"/>
  <c r="D4461" i="10"/>
  <c r="D2051" i="10"/>
  <c r="D3215" i="10"/>
  <c r="D3647" i="10"/>
  <c r="D3838" i="10"/>
  <c r="D3958" i="10"/>
  <c r="D4054" i="10"/>
  <c r="D4150" i="10"/>
  <c r="D4270" i="10"/>
  <c r="D4342" i="10"/>
  <c r="D4462" i="10"/>
  <c r="D958" i="10"/>
  <c r="D3025" i="10"/>
  <c r="D3361" i="10"/>
  <c r="D3741" i="10"/>
  <c r="D3887" i="10"/>
  <c r="D4055" i="10"/>
  <c r="D4199" i="10"/>
  <c r="D4319" i="10"/>
  <c r="D4439" i="10"/>
  <c r="G12" i="10" a="1"/>
  <c r="C7" i="10"/>
  <c r="D10" i="10"/>
  <c r="AA57" i="12" a="1"/>
  <c r="I33" i="12" a="1"/>
  <c r="I22" i="12" a="1"/>
  <c r="I24" i="12" a="1"/>
  <c r="I27" i="12" a="1"/>
  <c r="I31" i="12" a="1"/>
  <c r="I23" i="12" a="1"/>
  <c r="I37" i="12" a="1"/>
  <c r="I34" i="12" a="1"/>
  <c r="I36" i="12" a="1"/>
  <c r="I30" i="12" a="1"/>
  <c r="O13" i="12" a="1"/>
  <c r="I32" i="12" a="1"/>
  <c r="I35" i="12" a="1"/>
  <c r="I26" i="12" a="1"/>
  <c r="I25" i="12" a="1"/>
  <c r="I28" i="12" a="1"/>
  <c r="I29" i="12" a="1"/>
  <c r="AC58" i="12" l="1"/>
  <c r="AB58" i="12"/>
  <c r="AA59" i="12"/>
  <c r="AA57" i="12"/>
  <c r="AC57" i="12"/>
  <c r="AA58" i="12"/>
  <c r="AB59" i="12"/>
  <c r="AC59" i="12"/>
  <c r="AB57" i="12"/>
  <c r="W53" i="12"/>
  <c r="X53" i="12"/>
  <c r="Y53" i="12"/>
  <c r="W42" i="12"/>
  <c r="X42" i="12"/>
  <c r="Y42" i="12"/>
  <c r="W47" i="12"/>
  <c r="X47" i="12"/>
  <c r="Y47" i="12"/>
  <c r="W48" i="12"/>
  <c r="X48" i="12"/>
  <c r="Y48" i="12"/>
  <c r="W44" i="12"/>
  <c r="X44" i="12"/>
  <c r="Y44" i="12"/>
  <c r="W52" i="12"/>
  <c r="X52" i="12"/>
  <c r="Y52" i="12"/>
  <c r="W46" i="12"/>
  <c r="X46" i="12"/>
  <c r="Y46" i="12"/>
  <c r="W43" i="12"/>
  <c r="X43" i="12"/>
  <c r="Y43" i="12"/>
  <c r="W41" i="12"/>
  <c r="X41" i="12"/>
  <c r="Y41" i="12"/>
  <c r="W49" i="12"/>
  <c r="X49" i="12"/>
  <c r="Y49" i="12"/>
  <c r="O13" i="12"/>
  <c r="P13" i="12"/>
  <c r="Q13" i="12"/>
  <c r="J37" i="12"/>
  <c r="K37" i="12"/>
  <c r="I37" i="12"/>
  <c r="I28" i="12"/>
  <c r="J28" i="12"/>
  <c r="K28" i="12"/>
  <c r="I27" i="12"/>
  <c r="J27" i="12"/>
  <c r="K27" i="12"/>
  <c r="I33" i="12"/>
  <c r="J33" i="12"/>
  <c r="K33" i="12"/>
  <c r="K31" i="12"/>
  <c r="I31" i="12"/>
  <c r="J31" i="12"/>
  <c r="I36" i="12"/>
  <c r="J36" i="12"/>
  <c r="K36" i="12"/>
  <c r="I30" i="12"/>
  <c r="J30" i="12"/>
  <c r="K30" i="12"/>
  <c r="I22" i="12"/>
  <c r="J22" i="12"/>
  <c r="K22" i="12"/>
  <c r="I32" i="12"/>
  <c r="J32" i="12"/>
  <c r="K32" i="12"/>
  <c r="I35" i="12"/>
  <c r="K35" i="12"/>
  <c r="J35" i="12"/>
  <c r="J34" i="12"/>
  <c r="I34" i="12"/>
  <c r="K34" i="12"/>
  <c r="I26" i="12"/>
  <c r="K26" i="12"/>
  <c r="J26" i="12"/>
  <c r="I24" i="12"/>
  <c r="J24" i="12"/>
  <c r="K24" i="12"/>
  <c r="I23" i="12"/>
  <c r="J23" i="12"/>
  <c r="K23" i="12"/>
  <c r="J25" i="12"/>
  <c r="K25" i="12"/>
  <c r="I25" i="12"/>
  <c r="I29" i="12"/>
  <c r="J29" i="12"/>
  <c r="K29" i="12"/>
  <c r="R12" i="10"/>
  <c r="AD12" i="10"/>
  <c r="AP12" i="10"/>
  <c r="BB12" i="10"/>
  <c r="BN12" i="10"/>
  <c r="BZ12" i="10"/>
  <c r="CL12" i="10"/>
  <c r="CX12" i="10"/>
  <c r="DJ12" i="10"/>
  <c r="I13" i="10"/>
  <c r="U13" i="10"/>
  <c r="AG13" i="10"/>
  <c r="AS13" i="10"/>
  <c r="BE13" i="10"/>
  <c r="BQ13" i="10"/>
  <c r="CC13" i="10"/>
  <c r="CO13" i="10"/>
  <c r="DA13" i="10"/>
  <c r="DM13" i="10"/>
  <c r="G12" i="10"/>
  <c r="S12" i="10"/>
  <c r="AE12" i="10"/>
  <c r="AQ12" i="10"/>
  <c r="BC12" i="10"/>
  <c r="BO12" i="10"/>
  <c r="CA12" i="10"/>
  <c r="CM12" i="10"/>
  <c r="CY12" i="10"/>
  <c r="DK12" i="10"/>
  <c r="J13" i="10"/>
  <c r="V13" i="10"/>
  <c r="AH13" i="10"/>
  <c r="AT13" i="10"/>
  <c r="BF13" i="10"/>
  <c r="BR13" i="10"/>
  <c r="CD13" i="10"/>
  <c r="CP13" i="10"/>
  <c r="DB13" i="10"/>
  <c r="DN13" i="10"/>
  <c r="M14" i="10"/>
  <c r="Y14" i="10"/>
  <c r="AK14" i="10"/>
  <c r="AW14" i="10"/>
  <c r="BI14" i="10"/>
  <c r="BU14" i="10"/>
  <c r="CG14" i="10"/>
  <c r="CS14" i="10"/>
  <c r="DE14" i="10"/>
  <c r="DQ14" i="10"/>
  <c r="P15" i="10"/>
  <c r="AB15" i="10"/>
  <c r="AN15" i="10"/>
  <c r="AZ15" i="10"/>
  <c r="BL15" i="10"/>
  <c r="BX15" i="10"/>
  <c r="CJ15" i="10"/>
  <c r="CV15" i="10"/>
  <c r="DH15" i="10"/>
  <c r="G16" i="10"/>
  <c r="S16" i="10"/>
  <c r="AE16" i="10"/>
  <c r="AQ16" i="10"/>
  <c r="BC16" i="10"/>
  <c r="BO16" i="10"/>
  <c r="CA16" i="10"/>
  <c r="CM16" i="10"/>
  <c r="CY16" i="10"/>
  <c r="DK16" i="10"/>
  <c r="J17" i="10"/>
  <c r="V17" i="10"/>
  <c r="AH17" i="10"/>
  <c r="AT17" i="10"/>
  <c r="BF17" i="10"/>
  <c r="BR17" i="10"/>
  <c r="CD17" i="10"/>
  <c r="CP17" i="10"/>
  <c r="DB17" i="10"/>
  <c r="DN17" i="10"/>
  <c r="M18" i="10"/>
  <c r="Y18" i="10"/>
  <c r="AK18" i="10"/>
  <c r="AW18" i="10"/>
  <c r="BI18" i="10"/>
  <c r="BU18" i="10"/>
  <c r="CG18" i="10"/>
  <c r="CS18" i="10"/>
  <c r="DE18" i="10"/>
  <c r="DQ18" i="10"/>
  <c r="P19" i="10"/>
  <c r="AB19" i="10"/>
  <c r="AN19" i="10"/>
  <c r="AZ19" i="10"/>
  <c r="BL19" i="10"/>
  <c r="BX19" i="10"/>
  <c r="CJ19" i="10"/>
  <c r="CV19" i="10"/>
  <c r="DH19" i="10"/>
  <c r="G20" i="10"/>
  <c r="S20" i="10"/>
  <c r="AE20" i="10"/>
  <c r="AQ20" i="10"/>
  <c r="BC20" i="10"/>
  <c r="BO20" i="10"/>
  <c r="CA20" i="10"/>
  <c r="H12" i="10"/>
  <c r="T12" i="10"/>
  <c r="AF12" i="10"/>
  <c r="AR12" i="10"/>
  <c r="BD12" i="10"/>
  <c r="BP12" i="10"/>
  <c r="CB12" i="10"/>
  <c r="CN12" i="10"/>
  <c r="CZ12" i="10"/>
  <c r="DL12" i="10"/>
  <c r="K13" i="10"/>
  <c r="W13" i="10"/>
  <c r="AI13" i="10"/>
  <c r="AU13" i="10"/>
  <c r="BG13" i="10"/>
  <c r="BS13" i="10"/>
  <c r="CE13" i="10"/>
  <c r="CQ13" i="10"/>
  <c r="DC13" i="10"/>
  <c r="DO13" i="10"/>
  <c r="N14" i="10"/>
  <c r="Z14" i="10"/>
  <c r="AL14" i="10"/>
  <c r="AX14" i="10"/>
  <c r="BJ14" i="10"/>
  <c r="BV14" i="10"/>
  <c r="CH14" i="10"/>
  <c r="CT14" i="10"/>
  <c r="DF14" i="10"/>
  <c r="DR14" i="10"/>
  <c r="Q15" i="10"/>
  <c r="AC15" i="10"/>
  <c r="AO15" i="10"/>
  <c r="BA15" i="10"/>
  <c r="BM15" i="10"/>
  <c r="BY15" i="10"/>
  <c r="CK15" i="10"/>
  <c r="CW15" i="10"/>
  <c r="DI15" i="10"/>
  <c r="H16" i="10"/>
  <c r="T16" i="10"/>
  <c r="AF16" i="10"/>
  <c r="AR16" i="10"/>
  <c r="BD16" i="10"/>
  <c r="BP16" i="10"/>
  <c r="CB16" i="10"/>
  <c r="CN16" i="10"/>
  <c r="CZ16" i="10"/>
  <c r="DL16" i="10"/>
  <c r="K17" i="10"/>
  <c r="W17" i="10"/>
  <c r="AI17" i="10"/>
  <c r="AU17" i="10"/>
  <c r="BG17" i="10"/>
  <c r="BS17" i="10"/>
  <c r="CE17" i="10"/>
  <c r="CQ17" i="10"/>
  <c r="DC17" i="10"/>
  <c r="DO17" i="10"/>
  <c r="I12" i="10"/>
  <c r="U12" i="10"/>
  <c r="AG12" i="10"/>
  <c r="AS12" i="10"/>
  <c r="BE12" i="10"/>
  <c r="BQ12" i="10"/>
  <c r="CC12" i="10"/>
  <c r="CO12" i="10"/>
  <c r="DA12" i="10"/>
  <c r="DM12" i="10"/>
  <c r="L13" i="10"/>
  <c r="X13" i="10"/>
  <c r="AJ13" i="10"/>
  <c r="AV13" i="10"/>
  <c r="BH13" i="10"/>
  <c r="BT13" i="10"/>
  <c r="CF13" i="10"/>
  <c r="CR13" i="10"/>
  <c r="DD13" i="10"/>
  <c r="DP13" i="10"/>
  <c r="O14" i="10"/>
  <c r="AA14" i="10"/>
  <c r="AM14" i="10"/>
  <c r="AY14" i="10"/>
  <c r="BK14" i="10"/>
  <c r="BW14" i="10"/>
  <c r="CI14" i="10"/>
  <c r="CU14" i="10"/>
  <c r="DG14" i="10"/>
  <c r="DS14" i="10"/>
  <c r="R15" i="10"/>
  <c r="AD15" i="10"/>
  <c r="AP15" i="10"/>
  <c r="BB15" i="10"/>
  <c r="BN15" i="10"/>
  <c r="BZ15" i="10"/>
  <c r="CL15" i="10"/>
  <c r="CX15" i="10"/>
  <c r="DJ15" i="10"/>
  <c r="I16" i="10"/>
  <c r="U16" i="10"/>
  <c r="AG16" i="10"/>
  <c r="AS16" i="10"/>
  <c r="BE16" i="10"/>
  <c r="BQ16" i="10"/>
  <c r="CC16" i="10"/>
  <c r="CO16" i="10"/>
  <c r="DA16" i="10"/>
  <c r="DM16" i="10"/>
  <c r="L17" i="10"/>
  <c r="X17" i="10"/>
  <c r="AJ17" i="10"/>
  <c r="AV17" i="10"/>
  <c r="BH17" i="10"/>
  <c r="BT17" i="10"/>
  <c r="CF17" i="10"/>
  <c r="CR17" i="10"/>
  <c r="DD17" i="10"/>
  <c r="J12" i="10"/>
  <c r="V12" i="10"/>
  <c r="AH12" i="10"/>
  <c r="AT12" i="10"/>
  <c r="BF12" i="10"/>
  <c r="BR12" i="10"/>
  <c r="CD12" i="10"/>
  <c r="CP12" i="10"/>
  <c r="DB12" i="10"/>
  <c r="DN12" i="10"/>
  <c r="M13" i="10"/>
  <c r="Y13" i="10"/>
  <c r="AK13" i="10"/>
  <c r="AW13" i="10"/>
  <c r="BI13" i="10"/>
  <c r="BU13" i="10"/>
  <c r="CG13" i="10"/>
  <c r="CS13" i="10"/>
  <c r="DE13" i="10"/>
  <c r="DQ13" i="10"/>
  <c r="P14" i="10"/>
  <c r="AB14" i="10"/>
  <c r="AN14" i="10"/>
  <c r="AZ14" i="10"/>
  <c r="BL14" i="10"/>
  <c r="BX14" i="10"/>
  <c r="CJ14" i="10"/>
  <c r="CV14" i="10"/>
  <c r="DH14" i="10"/>
  <c r="G15" i="10"/>
  <c r="S15" i="10"/>
  <c r="AE15" i="10"/>
  <c r="AQ15" i="10"/>
  <c r="BC15" i="10"/>
  <c r="BO15" i="10"/>
  <c r="CA15" i="10"/>
  <c r="CM15" i="10"/>
  <c r="CY15" i="10"/>
  <c r="DK15" i="10"/>
  <c r="J16" i="10"/>
  <c r="V16" i="10"/>
  <c r="K12" i="10"/>
  <c r="AB12" i="10"/>
  <c r="AX12" i="10"/>
  <c r="BT12" i="10"/>
  <c r="CK12" i="10"/>
  <c r="DG12" i="10"/>
  <c r="P13" i="10"/>
  <c r="AL13" i="10"/>
  <c r="BC13" i="10"/>
  <c r="BY13" i="10"/>
  <c r="CU13" i="10"/>
  <c r="DL13" i="10"/>
  <c r="T14" i="10"/>
  <c r="AJ14" i="10"/>
  <c r="BD14" i="10"/>
  <c r="BT14" i="10"/>
  <c r="CN14" i="10"/>
  <c r="DD14" i="10"/>
  <c r="K15" i="10"/>
  <c r="AA15" i="10"/>
  <c r="AU15" i="10"/>
  <c r="BK15" i="10"/>
  <c r="CE15" i="10"/>
  <c r="CU15" i="10"/>
  <c r="DO15" i="10"/>
  <c r="R16" i="10"/>
  <c r="AK16" i="10"/>
  <c r="AZ16" i="10"/>
  <c r="BR16" i="10"/>
  <c r="CG16" i="10"/>
  <c r="CV16" i="10"/>
  <c r="DN16" i="10"/>
  <c r="P17" i="10"/>
  <c r="AE17" i="10"/>
  <c r="AW17" i="10"/>
  <c r="BL17" i="10"/>
  <c r="CA17" i="10"/>
  <c r="CS17" i="10"/>
  <c r="DH17" i="10"/>
  <c r="I18" i="10"/>
  <c r="V18" i="10"/>
  <c r="AI18" i="10"/>
  <c r="AV18" i="10"/>
  <c r="BJ18" i="10"/>
  <c r="BW18" i="10"/>
  <c r="CJ18" i="10"/>
  <c r="CW18" i="10"/>
  <c r="DJ18" i="10"/>
  <c r="J19" i="10"/>
  <c r="W19" i="10"/>
  <c r="AJ19" i="10"/>
  <c r="AW19" i="10"/>
  <c r="BJ19" i="10"/>
  <c r="BW19" i="10"/>
  <c r="CK19" i="10"/>
  <c r="CX19" i="10"/>
  <c r="DK19" i="10"/>
  <c r="K20" i="10"/>
  <c r="X20" i="10"/>
  <c r="AK20" i="10"/>
  <c r="AX20" i="10"/>
  <c r="BK20" i="10"/>
  <c r="BX20" i="10"/>
  <c r="CK20" i="10"/>
  <c r="CW20" i="10"/>
  <c r="DI20" i="10"/>
  <c r="H21" i="10"/>
  <c r="T21" i="10"/>
  <c r="AF21" i="10"/>
  <c r="AR21" i="10"/>
  <c r="BD21" i="10"/>
  <c r="BP21" i="10"/>
  <c r="CB21" i="10"/>
  <c r="CN21" i="10"/>
  <c r="CZ21" i="10"/>
  <c r="DL21" i="10"/>
  <c r="K22" i="10"/>
  <c r="W22" i="10"/>
  <c r="AI22" i="10"/>
  <c r="AU22" i="10"/>
  <c r="BG22" i="10"/>
  <c r="BS22" i="10"/>
  <c r="CE22" i="10"/>
  <c r="CQ22" i="10"/>
  <c r="DC22" i="10"/>
  <c r="L12" i="10"/>
  <c r="AC12" i="10"/>
  <c r="AY12" i="10"/>
  <c r="BU12" i="10"/>
  <c r="CQ12" i="10"/>
  <c r="DH12" i="10"/>
  <c r="Q13" i="10"/>
  <c r="AM13" i="10"/>
  <c r="BD13" i="10"/>
  <c r="BZ13" i="10"/>
  <c r="CV13" i="10"/>
  <c r="DR13" i="10"/>
  <c r="U14" i="10"/>
  <c r="AO14" i="10"/>
  <c r="BE14" i="10"/>
  <c r="BY14" i="10"/>
  <c r="CO14" i="10"/>
  <c r="DI14" i="10"/>
  <c r="L15" i="10"/>
  <c r="AF15" i="10"/>
  <c r="AV15" i="10"/>
  <c r="BP15" i="10"/>
  <c r="CF15" i="10"/>
  <c r="CZ15" i="10"/>
  <c r="DP15" i="10"/>
  <c r="W16" i="10"/>
  <c r="AL16" i="10"/>
  <c r="BA16" i="10"/>
  <c r="BS16" i="10"/>
  <c r="CH16" i="10"/>
  <c r="CW16" i="10"/>
  <c r="DO16" i="10"/>
  <c r="Q17" i="10"/>
  <c r="AF17" i="10"/>
  <c r="AX17" i="10"/>
  <c r="BM17" i="10"/>
  <c r="CB17" i="10"/>
  <c r="CT17" i="10"/>
  <c r="DI17" i="10"/>
  <c r="J18" i="10"/>
  <c r="W18" i="10"/>
  <c r="AJ18" i="10"/>
  <c r="AX18" i="10"/>
  <c r="BK18" i="10"/>
  <c r="BX18" i="10"/>
  <c r="CK18" i="10"/>
  <c r="CX18" i="10"/>
  <c r="DK18" i="10"/>
  <c r="K19" i="10"/>
  <c r="X19" i="10"/>
  <c r="AK19" i="10"/>
  <c r="AX19" i="10"/>
  <c r="BK19" i="10"/>
  <c r="BY19" i="10"/>
  <c r="CL19" i="10"/>
  <c r="CY19" i="10"/>
  <c r="DL19" i="10"/>
  <c r="L20" i="10"/>
  <c r="Y20" i="10"/>
  <c r="AL20" i="10"/>
  <c r="AY20" i="10"/>
  <c r="BL20" i="10"/>
  <c r="BY20" i="10"/>
  <c r="CL20" i="10"/>
  <c r="CX20" i="10"/>
  <c r="DJ20" i="10"/>
  <c r="I21" i="10"/>
  <c r="U21" i="10"/>
  <c r="AG21" i="10"/>
  <c r="AS21" i="10"/>
  <c r="BE21" i="10"/>
  <c r="BQ21" i="10"/>
  <c r="CC21" i="10"/>
  <c r="CO21" i="10"/>
  <c r="DA21" i="10"/>
  <c r="DM21" i="10"/>
  <c r="L22" i="10"/>
  <c r="X22" i="10"/>
  <c r="AJ22" i="10"/>
  <c r="AV22" i="10"/>
  <c r="BH22" i="10"/>
  <c r="BT22" i="10"/>
  <c r="CF22" i="10"/>
  <c r="CR22" i="10"/>
  <c r="DD22" i="10"/>
  <c r="DP22" i="10"/>
  <c r="O23" i="10"/>
  <c r="AA23" i="10"/>
  <c r="AM23" i="10"/>
  <c r="AY23" i="10"/>
  <c r="BK23" i="10"/>
  <c r="BW23" i="10"/>
  <c r="M12" i="10"/>
  <c r="AI12" i="10"/>
  <c r="AZ12" i="10"/>
  <c r="BV12" i="10"/>
  <c r="CR12" i="10"/>
  <c r="DI12" i="10"/>
  <c r="R13" i="10"/>
  <c r="AN13" i="10"/>
  <c r="BJ13" i="10"/>
  <c r="CA13" i="10"/>
  <c r="CW13" i="10"/>
  <c r="DS13" i="10"/>
  <c r="V14" i="10"/>
  <c r="AP14" i="10"/>
  <c r="BF14" i="10"/>
  <c r="BZ14" i="10"/>
  <c r="CP14" i="10"/>
  <c r="DJ14" i="10"/>
  <c r="M15" i="10"/>
  <c r="AG15" i="10"/>
  <c r="AW15" i="10"/>
  <c r="BQ15" i="10"/>
  <c r="CG15" i="10"/>
  <c r="DA15" i="10"/>
  <c r="DQ15" i="10"/>
  <c r="X16" i="10"/>
  <c r="AM16" i="10"/>
  <c r="BB16" i="10"/>
  <c r="BT16" i="10"/>
  <c r="CI16" i="10"/>
  <c r="CX16" i="10"/>
  <c r="DP16" i="10"/>
  <c r="R17" i="10"/>
  <c r="AG17" i="10"/>
  <c r="AY17" i="10"/>
  <c r="BN17" i="10"/>
  <c r="CC17" i="10"/>
  <c r="CU17" i="10"/>
  <c r="DJ17" i="10"/>
  <c r="K18" i="10"/>
  <c r="X18" i="10"/>
  <c r="AL18" i="10"/>
  <c r="AY18" i="10"/>
  <c r="BL18" i="10"/>
  <c r="BY18" i="10"/>
  <c r="CL18" i="10"/>
  <c r="CY18" i="10"/>
  <c r="DL18" i="10"/>
  <c r="L19" i="10"/>
  <c r="Y19" i="10"/>
  <c r="AL19" i="10"/>
  <c r="AY19" i="10"/>
  <c r="BM19" i="10"/>
  <c r="BZ19" i="10"/>
  <c r="CM19" i="10"/>
  <c r="CZ19" i="10"/>
  <c r="DM19" i="10"/>
  <c r="M20" i="10"/>
  <c r="Z20" i="10"/>
  <c r="AM20" i="10"/>
  <c r="AZ20" i="10"/>
  <c r="BM20" i="10"/>
  <c r="BZ20" i="10"/>
  <c r="CM20" i="10"/>
  <c r="CY20" i="10"/>
  <c r="DK20" i="10"/>
  <c r="J21" i="10"/>
  <c r="V21" i="10"/>
  <c r="AH21" i="10"/>
  <c r="AT21" i="10"/>
  <c r="BF21" i="10"/>
  <c r="BR21" i="10"/>
  <c r="CD21" i="10"/>
  <c r="CP21" i="10"/>
  <c r="DB21" i="10"/>
  <c r="DN21" i="10"/>
  <c r="M22" i="10"/>
  <c r="Y22" i="10"/>
  <c r="AK22" i="10"/>
  <c r="AW22" i="10"/>
  <c r="BI22" i="10"/>
  <c r="BU22" i="10"/>
  <c r="CG22" i="10"/>
  <c r="CS22" i="10"/>
  <c r="N12" i="10"/>
  <c r="AJ12" i="10"/>
  <c r="BA12" i="10"/>
  <c r="BW12" i="10"/>
  <c r="CS12" i="10"/>
  <c r="DO12" i="10"/>
  <c r="S13" i="10"/>
  <c r="AO13" i="10"/>
  <c r="BK13" i="10"/>
  <c r="CB13" i="10"/>
  <c r="CX13" i="10"/>
  <c r="G14" i="10"/>
  <c r="W14" i="10"/>
  <c r="AQ14" i="10"/>
  <c r="BG14" i="10"/>
  <c r="CA14" i="10"/>
  <c r="CQ14" i="10"/>
  <c r="DK14" i="10"/>
  <c r="N15" i="10"/>
  <c r="AH15" i="10"/>
  <c r="AX15" i="10"/>
  <c r="BR15" i="10"/>
  <c r="CH15" i="10"/>
  <c r="DB15" i="10"/>
  <c r="DR15" i="10"/>
  <c r="Y16" i="10"/>
  <c r="AN16" i="10"/>
  <c r="BF16" i="10"/>
  <c r="BU16" i="10"/>
  <c r="CJ16" i="10"/>
  <c r="DB16" i="10"/>
  <c r="DQ16" i="10"/>
  <c r="S17" i="10"/>
  <c r="AK17" i="10"/>
  <c r="AZ17" i="10"/>
  <c r="BO17" i="10"/>
  <c r="CG17" i="10"/>
  <c r="CV17" i="10"/>
  <c r="DK17" i="10"/>
  <c r="L18" i="10"/>
  <c r="Z18" i="10"/>
  <c r="AM18" i="10"/>
  <c r="AZ18" i="10"/>
  <c r="BM18" i="10"/>
  <c r="BZ18" i="10"/>
  <c r="CM18" i="10"/>
  <c r="CZ18" i="10"/>
  <c r="DM18" i="10"/>
  <c r="M19" i="10"/>
  <c r="Z19" i="10"/>
  <c r="AM19" i="10"/>
  <c r="BA19" i="10"/>
  <c r="BN19" i="10"/>
  <c r="CA19" i="10"/>
  <c r="CN19" i="10"/>
  <c r="DA19" i="10"/>
  <c r="DN19" i="10"/>
  <c r="N20" i="10"/>
  <c r="AA20" i="10"/>
  <c r="AN20" i="10"/>
  <c r="BA20" i="10"/>
  <c r="BN20" i="10"/>
  <c r="CB20" i="10"/>
  <c r="CN20" i="10"/>
  <c r="CZ20" i="10"/>
  <c r="DL20" i="10"/>
  <c r="K21" i="10"/>
  <c r="W21" i="10"/>
  <c r="AI21" i="10"/>
  <c r="AU21" i="10"/>
  <c r="BG21" i="10"/>
  <c r="BS21" i="10"/>
  <c r="CE21" i="10"/>
  <c r="O12" i="10"/>
  <c r="AK12" i="10"/>
  <c r="BG12" i="10"/>
  <c r="BX12" i="10"/>
  <c r="CT12" i="10"/>
  <c r="DP12" i="10"/>
  <c r="T13" i="10"/>
  <c r="AP13" i="10"/>
  <c r="BL13" i="10"/>
  <c r="CH13" i="10"/>
  <c r="CY13" i="10"/>
  <c r="H14" i="10"/>
  <c r="X14" i="10"/>
  <c r="AR14" i="10"/>
  <c r="BH14" i="10"/>
  <c r="CB14" i="10"/>
  <c r="CR14" i="10"/>
  <c r="DL14" i="10"/>
  <c r="O15" i="10"/>
  <c r="AI15" i="10"/>
  <c r="AY15" i="10"/>
  <c r="BS15" i="10"/>
  <c r="CI15" i="10"/>
  <c r="DC15" i="10"/>
  <c r="DS15" i="10"/>
  <c r="Z16" i="10"/>
  <c r="AO16" i="10"/>
  <c r="BG16" i="10"/>
  <c r="BV16" i="10"/>
  <c r="CK16" i="10"/>
  <c r="DC16" i="10"/>
  <c r="DR16" i="10"/>
  <c r="T17" i="10"/>
  <c r="AL17" i="10"/>
  <c r="BA17" i="10"/>
  <c r="BP17" i="10"/>
  <c r="CH17" i="10"/>
  <c r="CW17" i="10"/>
  <c r="DL17" i="10"/>
  <c r="N18" i="10"/>
  <c r="AA18" i="10"/>
  <c r="AN18" i="10"/>
  <c r="BA18" i="10"/>
  <c r="BN18" i="10"/>
  <c r="CA18" i="10"/>
  <c r="CN18" i="10"/>
  <c r="DA18" i="10"/>
  <c r="DN18" i="10"/>
  <c r="N19" i="10"/>
  <c r="AA19" i="10"/>
  <c r="AO19" i="10"/>
  <c r="BB19" i="10"/>
  <c r="BO19" i="10"/>
  <c r="CB19" i="10"/>
  <c r="CO19" i="10"/>
  <c r="DB19" i="10"/>
  <c r="DO19" i="10"/>
  <c r="O20" i="10"/>
  <c r="AB20" i="10"/>
  <c r="AO20" i="10"/>
  <c r="BB20" i="10"/>
  <c r="BP20" i="10"/>
  <c r="X12" i="10"/>
  <c r="P12" i="10"/>
  <c r="AW12" i="10"/>
  <c r="CH12" i="10"/>
  <c r="DS12" i="10"/>
  <c r="AQ13" i="10"/>
  <c r="BW13" i="10"/>
  <c r="DH13" i="10"/>
  <c r="AD14" i="10"/>
  <c r="BC14" i="10"/>
  <c r="CK14" i="10"/>
  <c r="DO14" i="10"/>
  <c r="AJ15" i="10"/>
  <c r="BI15" i="10"/>
  <c r="CQ15" i="10"/>
  <c r="L16" i="10"/>
  <c r="AJ16" i="10"/>
  <c r="BL16" i="10"/>
  <c r="CQ16" i="10"/>
  <c r="DS16" i="10"/>
  <c r="AC17" i="10"/>
  <c r="BE17" i="10"/>
  <c r="CJ17" i="10"/>
  <c r="DG17" i="10"/>
  <c r="S18" i="10"/>
  <c r="AQ18" i="10"/>
  <c r="BO18" i="10"/>
  <c r="CH18" i="10"/>
  <c r="DF18" i="10"/>
  <c r="Q19" i="10"/>
  <c r="AI19" i="10"/>
  <c r="BG19" i="10"/>
  <c r="CE19" i="10"/>
  <c r="DC19" i="10"/>
  <c r="I20" i="10"/>
  <c r="AG20" i="10"/>
  <c r="BE20" i="10"/>
  <c r="BW20" i="10"/>
  <c r="CR20" i="10"/>
  <c r="DH20" i="10"/>
  <c r="O21" i="10"/>
  <c r="AE21" i="10"/>
  <c r="AY21" i="10"/>
  <c r="BO21" i="10"/>
  <c r="CI21" i="10"/>
  <c r="CX21" i="10"/>
  <c r="DP21" i="10"/>
  <c r="R22" i="10"/>
  <c r="AG22" i="10"/>
  <c r="AY22" i="10"/>
  <c r="BN22" i="10"/>
  <c r="CC22" i="10"/>
  <c r="CU22" i="10"/>
  <c r="DI22" i="10"/>
  <c r="I23" i="10"/>
  <c r="V23" i="10"/>
  <c r="AI23" i="10"/>
  <c r="AV23" i="10"/>
  <c r="BI23" i="10"/>
  <c r="BV23" i="10"/>
  <c r="CI23" i="10"/>
  <c r="CU23" i="10"/>
  <c r="DG23" i="10"/>
  <c r="DS23" i="10"/>
  <c r="R24" i="10"/>
  <c r="AD24" i="10"/>
  <c r="AP24" i="10"/>
  <c r="BB24" i="10"/>
  <c r="BN24" i="10"/>
  <c r="BZ24" i="10"/>
  <c r="CL24" i="10"/>
  <c r="CX24" i="10"/>
  <c r="DJ24" i="10"/>
  <c r="I25" i="10"/>
  <c r="U25" i="10"/>
  <c r="AG25" i="10"/>
  <c r="AS25" i="10"/>
  <c r="BE25" i="10"/>
  <c r="BQ25" i="10"/>
  <c r="CC25" i="10"/>
  <c r="CO25" i="10"/>
  <c r="DA25" i="10"/>
  <c r="DM25" i="10"/>
  <c r="DO25" i="10"/>
  <c r="CX23" i="10"/>
  <c r="BE24" i="10"/>
  <c r="CO24" i="10"/>
  <c r="L25" i="10"/>
  <c r="BH25" i="10"/>
  <c r="CR25" i="10"/>
  <c r="BL12" i="10"/>
  <c r="Q12" i="10"/>
  <c r="BH12" i="10"/>
  <c r="CI12" i="10"/>
  <c r="G13" i="10"/>
  <c r="AR13" i="10"/>
  <c r="BX13" i="10"/>
  <c r="DI13" i="10"/>
  <c r="AE14" i="10"/>
  <c r="BM14" i="10"/>
  <c r="CL14" i="10"/>
  <c r="DP14" i="10"/>
  <c r="AK15" i="10"/>
  <c r="BJ15" i="10"/>
  <c r="CR15" i="10"/>
  <c r="M16" i="10"/>
  <c r="AP16" i="10"/>
  <c r="BM16" i="10"/>
  <c r="CR16" i="10"/>
  <c r="G17" i="10"/>
  <c r="AD17" i="10"/>
  <c r="BI17" i="10"/>
  <c r="CK17" i="10"/>
  <c r="DM17" i="10"/>
  <c r="T18" i="10"/>
  <c r="AR18" i="10"/>
  <c r="BP18" i="10"/>
  <c r="CI18" i="10"/>
  <c r="DG18" i="10"/>
  <c r="R19" i="10"/>
  <c r="AP19" i="10"/>
  <c r="BH19" i="10"/>
  <c r="CF19" i="10"/>
  <c r="DD19" i="10"/>
  <c r="J20" i="10"/>
  <c r="AH20" i="10"/>
  <c r="BF20" i="10"/>
  <c r="CC20" i="10"/>
  <c r="CS20" i="10"/>
  <c r="DM20" i="10"/>
  <c r="P21" i="10"/>
  <c r="AJ21" i="10"/>
  <c r="AZ21" i="10"/>
  <c r="BT21" i="10"/>
  <c r="CJ21" i="10"/>
  <c r="CY21" i="10"/>
  <c r="DQ21" i="10"/>
  <c r="S22" i="10"/>
  <c r="AH22" i="10"/>
  <c r="AZ22" i="10"/>
  <c r="BO22" i="10"/>
  <c r="CD22" i="10"/>
  <c r="CV22" i="10"/>
  <c r="DJ22" i="10"/>
  <c r="J23" i="10"/>
  <c r="W23" i="10"/>
  <c r="AJ23" i="10"/>
  <c r="AW23" i="10"/>
  <c r="BJ23" i="10"/>
  <c r="BX23" i="10"/>
  <c r="CJ23" i="10"/>
  <c r="CV23" i="10"/>
  <c r="DH23" i="10"/>
  <c r="G24" i="10"/>
  <c r="S24" i="10"/>
  <c r="AE24" i="10"/>
  <c r="AQ24" i="10"/>
  <c r="BC24" i="10"/>
  <c r="BO24" i="10"/>
  <c r="CA24" i="10"/>
  <c r="CM24" i="10"/>
  <c r="CY24" i="10"/>
  <c r="DK24" i="10"/>
  <c r="J25" i="10"/>
  <c r="V25" i="10"/>
  <c r="AH25" i="10"/>
  <c r="AT25" i="10"/>
  <c r="BF25" i="10"/>
  <c r="BR25" i="10"/>
  <c r="CD25" i="10"/>
  <c r="CP25" i="10"/>
  <c r="DB25" i="10"/>
  <c r="DN25" i="10"/>
  <c r="DC25" i="10"/>
  <c r="I24" i="10"/>
  <c r="BQ24" i="10"/>
  <c r="DA24" i="10"/>
  <c r="X25" i="10"/>
  <c r="BT25" i="10"/>
  <c r="DD25" i="10"/>
  <c r="AA12" i="10"/>
  <c r="W12" i="10"/>
  <c r="BI12" i="10"/>
  <c r="CJ12" i="10"/>
  <c r="H13" i="10"/>
  <c r="AX13" i="10"/>
  <c r="CI13" i="10"/>
  <c r="DJ13" i="10"/>
  <c r="AF14" i="10"/>
  <c r="BN14" i="10"/>
  <c r="CM14" i="10"/>
  <c r="H15" i="10"/>
  <c r="AL15" i="10"/>
  <c r="BT15" i="10"/>
  <c r="CS15" i="10"/>
  <c r="N16" i="10"/>
  <c r="AT16" i="10"/>
  <c r="BN16" i="10"/>
  <c r="CS16" i="10"/>
  <c r="H17" i="10"/>
  <c r="AM17" i="10"/>
  <c r="BJ17" i="10"/>
  <c r="CL17" i="10"/>
  <c r="DP17" i="10"/>
  <c r="U18" i="10"/>
  <c r="AS18" i="10"/>
  <c r="BQ18" i="10"/>
  <c r="CO18" i="10"/>
  <c r="DH18" i="10"/>
  <c r="S19" i="10"/>
  <c r="AQ19" i="10"/>
  <c r="BI19" i="10"/>
  <c r="CG19" i="10"/>
  <c r="DE19" i="10"/>
  <c r="P20" i="10"/>
  <c r="AI20" i="10"/>
  <c r="BG20" i="10"/>
  <c r="CD20" i="10"/>
  <c r="CT20" i="10"/>
  <c r="DN20" i="10"/>
  <c r="Q21" i="10"/>
  <c r="AK21" i="10"/>
  <c r="BA21" i="10"/>
  <c r="BU21" i="10"/>
  <c r="CK21" i="10"/>
  <c r="DC21" i="10"/>
  <c r="DR21" i="10"/>
  <c r="T22" i="10"/>
  <c r="AL22" i="10"/>
  <c r="BA22" i="10"/>
  <c r="BP22" i="10"/>
  <c r="CH22" i="10"/>
  <c r="CW22" i="10"/>
  <c r="DK22" i="10"/>
  <c r="K23" i="10"/>
  <c r="X23" i="10"/>
  <c r="AK23" i="10"/>
  <c r="AX23" i="10"/>
  <c r="BL23" i="10"/>
  <c r="BY23" i="10"/>
  <c r="CK23" i="10"/>
  <c r="CW23" i="10"/>
  <c r="DI23" i="10"/>
  <c r="H24" i="10"/>
  <c r="T24" i="10"/>
  <c r="AF24" i="10"/>
  <c r="AR24" i="10"/>
  <c r="BD24" i="10"/>
  <c r="BP24" i="10"/>
  <c r="CB24" i="10"/>
  <c r="CN24" i="10"/>
  <c r="CZ24" i="10"/>
  <c r="DL24" i="10"/>
  <c r="K25" i="10"/>
  <c r="W25" i="10"/>
  <c r="AI25" i="10"/>
  <c r="AU25" i="10"/>
  <c r="BG25" i="10"/>
  <c r="BS25" i="10"/>
  <c r="CE25" i="10"/>
  <c r="CQ25" i="10"/>
  <c r="AG24" i="10"/>
  <c r="DM24" i="10"/>
  <c r="AV25" i="10"/>
  <c r="CF25" i="10"/>
  <c r="DP25" i="10"/>
  <c r="Y12" i="10"/>
  <c r="BJ12" i="10"/>
  <c r="CU12" i="10"/>
  <c r="N13" i="10"/>
  <c r="AY13" i="10"/>
  <c r="CJ13" i="10"/>
  <c r="DK13" i="10"/>
  <c r="AG14" i="10"/>
  <c r="BO14" i="10"/>
  <c r="CW14" i="10"/>
  <c r="I15" i="10"/>
  <c r="AM15" i="10"/>
  <c r="BU15" i="10"/>
  <c r="CT15" i="10"/>
  <c r="O16" i="10"/>
  <c r="AU16" i="10"/>
  <c r="BW16" i="10"/>
  <c r="CT16" i="10"/>
  <c r="I17" i="10"/>
  <c r="AN17" i="10"/>
  <c r="BK17" i="10"/>
  <c r="CM17" i="10"/>
  <c r="DQ17" i="10"/>
  <c r="AB18" i="10"/>
  <c r="AT18" i="10"/>
  <c r="BR18" i="10"/>
  <c r="CP18" i="10"/>
  <c r="DI18" i="10"/>
  <c r="T19" i="10"/>
  <c r="AR19" i="10"/>
  <c r="BP19" i="10"/>
  <c r="CH19" i="10"/>
  <c r="DF19" i="10"/>
  <c r="Q20" i="10"/>
  <c r="AJ20" i="10"/>
  <c r="BH20" i="10"/>
  <c r="CE20" i="10"/>
  <c r="CU20" i="10"/>
  <c r="DO20" i="10"/>
  <c r="R21" i="10"/>
  <c r="AL21" i="10"/>
  <c r="BB21" i="10"/>
  <c r="BV21" i="10"/>
  <c r="CL21" i="10"/>
  <c r="DD21" i="10"/>
  <c r="DS21" i="10"/>
  <c r="U22" i="10"/>
  <c r="AM22" i="10"/>
  <c r="BB22" i="10"/>
  <c r="BQ22" i="10"/>
  <c r="CI22" i="10"/>
  <c r="CX22" i="10"/>
  <c r="DL22" i="10"/>
  <c r="L23" i="10"/>
  <c r="Y23" i="10"/>
  <c r="AL23" i="10"/>
  <c r="AZ23" i="10"/>
  <c r="BM23" i="10"/>
  <c r="BZ23" i="10"/>
  <c r="CL23" i="10"/>
  <c r="DJ23" i="10"/>
  <c r="U24" i="10"/>
  <c r="AS24" i="10"/>
  <c r="CC24" i="10"/>
  <c r="AJ25" i="10"/>
  <c r="Z12" i="10"/>
  <c r="BK12" i="10"/>
  <c r="CV12" i="10"/>
  <c r="O13" i="10"/>
  <c r="AZ13" i="10"/>
  <c r="CK13" i="10"/>
  <c r="I14" i="10"/>
  <c r="AH14" i="10"/>
  <c r="BP14" i="10"/>
  <c r="CX14" i="10"/>
  <c r="J15" i="10"/>
  <c r="AR15" i="10"/>
  <c r="BV15" i="10"/>
  <c r="DD15" i="10"/>
  <c r="P16" i="10"/>
  <c r="AV16" i="10"/>
  <c r="BX16" i="10"/>
  <c r="CU16" i="10"/>
  <c r="M17" i="10"/>
  <c r="AO17" i="10"/>
  <c r="BQ17" i="10"/>
  <c r="CN17" i="10"/>
  <c r="DR17" i="10"/>
  <c r="AC18" i="10"/>
  <c r="AU18" i="10"/>
  <c r="BS18" i="10"/>
  <c r="CQ18" i="10"/>
  <c r="DO18" i="10"/>
  <c r="U19" i="10"/>
  <c r="AS19" i="10"/>
  <c r="BQ19" i="10"/>
  <c r="CI19" i="10"/>
  <c r="DG19" i="10"/>
  <c r="R20" i="10"/>
  <c r="AP20" i="10"/>
  <c r="BI20" i="10"/>
  <c r="CF20" i="10"/>
  <c r="CV20" i="10"/>
  <c r="DP20" i="10"/>
  <c r="S21" i="10"/>
  <c r="AM21" i="10"/>
  <c r="BC21" i="10"/>
  <c r="BW21" i="10"/>
  <c r="CM21" i="10"/>
  <c r="DE21" i="10"/>
  <c r="G22" i="10"/>
  <c r="V22" i="10"/>
  <c r="AN22" i="10"/>
  <c r="BC22" i="10"/>
  <c r="BR22" i="10"/>
  <c r="CJ22" i="10"/>
  <c r="CY22" i="10"/>
  <c r="DM22" i="10"/>
  <c r="M23" i="10"/>
  <c r="Z23" i="10"/>
  <c r="AN23" i="10"/>
  <c r="BA23" i="10"/>
  <c r="BN23" i="10"/>
  <c r="CA23" i="10"/>
  <c r="CM23" i="10"/>
  <c r="CY23" i="10"/>
  <c r="DK23" i="10"/>
  <c r="J24" i="10"/>
  <c r="V24" i="10"/>
  <c r="AH24" i="10"/>
  <c r="AT24" i="10"/>
  <c r="BF24" i="10"/>
  <c r="BR24" i="10"/>
  <c r="CD24" i="10"/>
  <c r="CP24" i="10"/>
  <c r="DB24" i="10"/>
  <c r="DN24" i="10"/>
  <c r="M25" i="10"/>
  <c r="Y25" i="10"/>
  <c r="AK25" i="10"/>
  <c r="AW25" i="10"/>
  <c r="BI25" i="10"/>
  <c r="BU25" i="10"/>
  <c r="CG25" i="10"/>
  <c r="CS25" i="10"/>
  <c r="DE25" i="10"/>
  <c r="DQ25" i="10"/>
  <c r="AO12" i="10"/>
  <c r="CE12" i="10"/>
  <c r="DF12" i="10"/>
  <c r="AD13" i="10"/>
  <c r="BO13" i="10"/>
  <c r="CZ13" i="10"/>
  <c r="R14" i="10"/>
  <c r="AV14" i="10"/>
  <c r="CD14" i="10"/>
  <c r="DC14" i="10"/>
  <c r="X15" i="10"/>
  <c r="BF15" i="10"/>
  <c r="CN15" i="10"/>
  <c r="DM15" i="10"/>
  <c r="AD16" i="10"/>
  <c r="BI16" i="10"/>
  <c r="CF16" i="10"/>
  <c r="DH16" i="10"/>
  <c r="Z17" i="10"/>
  <c r="BB17" i="10"/>
  <c r="BY17" i="10"/>
  <c r="DA17" i="10"/>
  <c r="P18" i="10"/>
  <c r="AH18" i="10"/>
  <c r="BF18" i="10"/>
  <c r="CD18" i="10"/>
  <c r="DB18" i="10"/>
  <c r="H19" i="10"/>
  <c r="AF19" i="10"/>
  <c r="BD19" i="10"/>
  <c r="BV19" i="10"/>
  <c r="CT19" i="10"/>
  <c r="DR19" i="10"/>
  <c r="AC20" i="10"/>
  <c r="AV20" i="10"/>
  <c r="BT20" i="10"/>
  <c r="CO20" i="10"/>
  <c r="DE20" i="10"/>
  <c r="L21" i="10"/>
  <c r="AB21" i="10"/>
  <c r="AV21" i="10"/>
  <c r="BL21" i="10"/>
  <c r="CF21" i="10"/>
  <c r="CU21" i="10"/>
  <c r="DJ21" i="10"/>
  <c r="O22" i="10"/>
  <c r="AD22" i="10"/>
  <c r="AS22" i="10"/>
  <c r="BK22" i="10"/>
  <c r="BZ22" i="10"/>
  <c r="CO22" i="10"/>
  <c r="DF22" i="10"/>
  <c r="DS22" i="10"/>
  <c r="S23" i="10"/>
  <c r="AF23" i="10"/>
  <c r="AS23" i="10"/>
  <c r="BF23" i="10"/>
  <c r="BS23" i="10"/>
  <c r="CF23" i="10"/>
  <c r="CR23" i="10"/>
  <c r="DD23" i="10"/>
  <c r="DP23" i="10"/>
  <c r="O24" i="10"/>
  <c r="AA24" i="10"/>
  <c r="AM24" i="10"/>
  <c r="AY24" i="10"/>
  <c r="BK24" i="10"/>
  <c r="BW24" i="10"/>
  <c r="CI24" i="10"/>
  <c r="AL12" i="10"/>
  <c r="DD12" i="10"/>
  <c r="BM13" i="10"/>
  <c r="L14" i="10"/>
  <c r="BS14" i="10"/>
  <c r="V15" i="10"/>
  <c r="CC15" i="10"/>
  <c r="AB16" i="10"/>
  <c r="CD16" i="10"/>
  <c r="U17" i="10"/>
  <c r="BW17" i="10"/>
  <c r="H18" i="10"/>
  <c r="BD18" i="10"/>
  <c r="CU18" i="10"/>
  <c r="AD19" i="10"/>
  <c r="BT19" i="10"/>
  <c r="DP19" i="10"/>
  <c r="AT20" i="10"/>
  <c r="CI20" i="10"/>
  <c r="DS20" i="10"/>
  <c r="AP21" i="10"/>
  <c r="BZ21" i="10"/>
  <c r="DH21" i="10"/>
  <c r="AB22" i="10"/>
  <c r="BF22" i="10"/>
  <c r="CM22" i="10"/>
  <c r="DQ22" i="10"/>
  <c r="AD23" i="10"/>
  <c r="BD23" i="10"/>
  <c r="CD23" i="10"/>
  <c r="DB23" i="10"/>
  <c r="M24" i="10"/>
  <c r="AK24" i="10"/>
  <c r="BI24" i="10"/>
  <c r="CG24" i="10"/>
  <c r="DD24" i="10"/>
  <c r="H25" i="10"/>
  <c r="AD25" i="10"/>
  <c r="AZ25" i="10"/>
  <c r="BV25" i="10"/>
  <c r="CM25" i="10"/>
  <c r="DI25" i="10"/>
  <c r="DF24" i="10"/>
  <c r="AF25" i="10"/>
  <c r="CT25" i="10"/>
  <c r="CM13" i="10"/>
  <c r="AE18" i="10"/>
  <c r="BQ20" i="10"/>
  <c r="BW22" i="10"/>
  <c r="DM23" i="10"/>
  <c r="AN25" i="10"/>
  <c r="DA14" i="10"/>
  <c r="AY16" i="10"/>
  <c r="CB18" i="10"/>
  <c r="DC20" i="10"/>
  <c r="AQ22" i="10"/>
  <c r="BQ23" i="10"/>
  <c r="AW24" i="10"/>
  <c r="AO25" i="10"/>
  <c r="BY12" i="10"/>
  <c r="CZ17" i="10"/>
  <c r="BS20" i="10"/>
  <c r="N22" i="10"/>
  <c r="AM12" i="10"/>
  <c r="DE12" i="10"/>
  <c r="BN13" i="10"/>
  <c r="Q14" i="10"/>
  <c r="CC14" i="10"/>
  <c r="W15" i="10"/>
  <c r="CD15" i="10"/>
  <c r="AC16" i="10"/>
  <c r="CE16" i="10"/>
  <c r="Y17" i="10"/>
  <c r="BX17" i="10"/>
  <c r="O18" i="10"/>
  <c r="BE18" i="10"/>
  <c r="CV18" i="10"/>
  <c r="AE19" i="10"/>
  <c r="BU19" i="10"/>
  <c r="DQ19" i="10"/>
  <c r="AU20" i="10"/>
  <c r="CJ20" i="10"/>
  <c r="G21" i="10"/>
  <c r="AQ21" i="10"/>
  <c r="CA21" i="10"/>
  <c r="DI21" i="10"/>
  <c r="AC22" i="10"/>
  <c r="BJ22" i="10"/>
  <c r="CN22" i="10"/>
  <c r="DR22" i="10"/>
  <c r="AE23" i="10"/>
  <c r="BE23" i="10"/>
  <c r="CE23" i="10"/>
  <c r="DC23" i="10"/>
  <c r="N24" i="10"/>
  <c r="AL24" i="10"/>
  <c r="BJ24" i="10"/>
  <c r="CH24" i="10"/>
  <c r="DE24" i="10"/>
  <c r="N25" i="10"/>
  <c r="AE25" i="10"/>
  <c r="BA25" i="10"/>
  <c r="BW25" i="10"/>
  <c r="CN25" i="10"/>
  <c r="DJ25" i="10"/>
  <c r="BL24" i="10"/>
  <c r="O25" i="10"/>
  <c r="BX25" i="10"/>
  <c r="DK25" i="10"/>
  <c r="AS14" i="10"/>
  <c r="AU19" i="10"/>
  <c r="BI21" i="10"/>
  <c r="AP23" i="10"/>
  <c r="BT24" i="10"/>
  <c r="BJ25" i="10"/>
  <c r="BS12" i="10"/>
  <c r="BD15" i="10"/>
  <c r="CY17" i="10"/>
  <c r="AV19" i="10"/>
  <c r="Z21" i="10"/>
  <c r="BX22" i="10"/>
  <c r="CP23" i="10"/>
  <c r="DO24" i="10"/>
  <c r="AU14" i="10"/>
  <c r="BE15" i="10"/>
  <c r="AS17" i="10"/>
  <c r="G19" i="10"/>
  <c r="DD20" i="10"/>
  <c r="AR22" i="10"/>
  <c r="AN12" i="10"/>
  <c r="DQ12" i="10"/>
  <c r="BP13" i="10"/>
  <c r="S14" i="10"/>
  <c r="CE14" i="10"/>
  <c r="Y15" i="10"/>
  <c r="CO15" i="10"/>
  <c r="AH16" i="10"/>
  <c r="CL16" i="10"/>
  <c r="AA17" i="10"/>
  <c r="BZ17" i="10"/>
  <c r="Q18" i="10"/>
  <c r="BG18" i="10"/>
  <c r="DC18" i="10"/>
  <c r="AG19" i="10"/>
  <c r="CC19" i="10"/>
  <c r="DS19" i="10"/>
  <c r="AW20" i="10"/>
  <c r="CP20" i="10"/>
  <c r="M21" i="10"/>
  <c r="AW21" i="10"/>
  <c r="CG21" i="10"/>
  <c r="DK21" i="10"/>
  <c r="AE22" i="10"/>
  <c r="BL22" i="10"/>
  <c r="CP22" i="10"/>
  <c r="G23" i="10"/>
  <c r="AG23" i="10"/>
  <c r="BG23" i="10"/>
  <c r="CG23" i="10"/>
  <c r="DE23" i="10"/>
  <c r="P24" i="10"/>
  <c r="AN24" i="10"/>
  <c r="CJ24" i="10"/>
  <c r="BB25" i="10"/>
  <c r="CZ14" i="10"/>
  <c r="CR21" i="10"/>
  <c r="CO23" i="10"/>
  <c r="DI24" i="10"/>
  <c r="CW25" i="10"/>
  <c r="CN13" i="10"/>
  <c r="DG15" i="10"/>
  <c r="AF18" i="10"/>
  <c r="V20" i="10"/>
  <c r="CS21" i="10"/>
  <c r="DB22" i="10"/>
  <c r="DN23" i="10"/>
  <c r="CS24" i="10"/>
  <c r="BK25" i="10"/>
  <c r="CT13" i="10"/>
  <c r="DL15" i="10"/>
  <c r="AG18" i="10"/>
  <c r="CS19" i="10"/>
  <c r="AA21" i="10"/>
  <c r="BY22" i="10"/>
  <c r="AU12" i="10"/>
  <c r="DR12" i="10"/>
  <c r="BV13" i="10"/>
  <c r="AC14" i="10"/>
  <c r="CF14" i="10"/>
  <c r="Z15" i="10"/>
  <c r="CP15" i="10"/>
  <c r="AI16" i="10"/>
  <c r="CP16" i="10"/>
  <c r="AB17" i="10"/>
  <c r="CI17" i="10"/>
  <c r="R18" i="10"/>
  <c r="BH18" i="10"/>
  <c r="DD18" i="10"/>
  <c r="AH19" i="10"/>
  <c r="CD19" i="10"/>
  <c r="H20" i="10"/>
  <c r="BD20" i="10"/>
  <c r="CQ20" i="10"/>
  <c r="N21" i="10"/>
  <c r="AX21" i="10"/>
  <c r="CH21" i="10"/>
  <c r="DO21" i="10"/>
  <c r="AF22" i="10"/>
  <c r="BM22" i="10"/>
  <c r="CT22" i="10"/>
  <c r="H23" i="10"/>
  <c r="AH23" i="10"/>
  <c r="BH23" i="10"/>
  <c r="CH23" i="10"/>
  <c r="DF23" i="10"/>
  <c r="Q24" i="10"/>
  <c r="AO24" i="10"/>
  <c r="BM24" i="10"/>
  <c r="CK24" i="10"/>
  <c r="DG24" i="10"/>
  <c r="P25" i="10"/>
  <c r="AL25" i="10"/>
  <c r="BC25" i="10"/>
  <c r="BY25" i="10"/>
  <c r="CU25" i="10"/>
  <c r="DL25" i="10"/>
  <c r="AA13" i="10"/>
  <c r="DF15" i="10"/>
  <c r="AQ17" i="10"/>
  <c r="BV18" i="10"/>
  <c r="CQ19" i="10"/>
  <c r="DB20" i="10"/>
  <c r="I22" i="10"/>
  <c r="DA22" i="10"/>
  <c r="BP23" i="10"/>
  <c r="AV24" i="10"/>
  <c r="CR24" i="10"/>
  <c r="CA25" i="10"/>
  <c r="AT14" i="10"/>
  <c r="DF16" i="10"/>
  <c r="DS18" i="10"/>
  <c r="BR20" i="10"/>
  <c r="J22" i="10"/>
  <c r="AQ23" i="10"/>
  <c r="Y24" i="10"/>
  <c r="S25" i="10"/>
  <c r="CX25" i="10"/>
  <c r="AC13" i="10"/>
  <c r="BH16" i="10"/>
  <c r="BC19" i="10"/>
  <c r="BK21" i="10"/>
  <c r="AV12" i="10"/>
  <c r="Z13" i="10"/>
  <c r="CL13" i="10"/>
  <c r="AI14" i="10"/>
  <c r="CY14" i="10"/>
  <c r="AS15" i="10"/>
  <c r="DE15" i="10"/>
  <c r="AW16" i="10"/>
  <c r="DD16" i="10"/>
  <c r="AP17" i="10"/>
  <c r="CO17" i="10"/>
  <c r="AD18" i="10"/>
  <c r="BT18" i="10"/>
  <c r="DP18" i="10"/>
  <c r="AT19" i="10"/>
  <c r="CP19" i="10"/>
  <c r="T20" i="10"/>
  <c r="BJ20" i="10"/>
  <c r="DA20" i="10"/>
  <c r="X21" i="10"/>
  <c r="BH21" i="10"/>
  <c r="CQ21" i="10"/>
  <c r="H22" i="10"/>
  <c r="AO22" i="10"/>
  <c r="BV22" i="10"/>
  <c r="CZ22" i="10"/>
  <c r="N23" i="10"/>
  <c r="AO23" i="10"/>
  <c r="BO23" i="10"/>
  <c r="CN23" i="10"/>
  <c r="DL23" i="10"/>
  <c r="W24" i="10"/>
  <c r="AU24" i="10"/>
  <c r="BS24" i="10"/>
  <c r="CQ24" i="10"/>
  <c r="DH24" i="10"/>
  <c r="Q25" i="10"/>
  <c r="AM25" i="10"/>
  <c r="BD25" i="10"/>
  <c r="BZ25" i="10"/>
  <c r="CV25" i="10"/>
  <c r="DR25" i="10"/>
  <c r="BM12" i="10"/>
  <c r="AT15" i="10"/>
  <c r="AX16" i="10"/>
  <c r="DE16" i="10"/>
  <c r="CX17" i="10"/>
  <c r="DR18" i="10"/>
  <c r="U20" i="10"/>
  <c r="Y21" i="10"/>
  <c r="AP22" i="10"/>
  <c r="P23" i="10"/>
  <c r="X24" i="10"/>
  <c r="R25" i="10"/>
  <c r="DS25" i="10"/>
  <c r="AB13" i="10"/>
  <c r="AR17" i="10"/>
  <c r="CR19" i="10"/>
  <c r="BJ21" i="10"/>
  <c r="Q23" i="10"/>
  <c r="BU24" i="10"/>
  <c r="CB25" i="10"/>
  <c r="DB14" i="10"/>
  <c r="DG16" i="10"/>
  <c r="CC18" i="10"/>
  <c r="W20" i="10"/>
  <c r="CT21" i="10"/>
  <c r="CG12" i="10"/>
  <c r="AF13" i="10"/>
  <c r="DG13" i="10"/>
  <c r="BB14" i="10"/>
  <c r="DN14" i="10"/>
  <c r="BH15" i="10"/>
  <c r="K16" i="10"/>
  <c r="BK16" i="10"/>
  <c r="DJ16" i="10"/>
  <c r="BD17" i="10"/>
  <c r="DF17" i="10"/>
  <c r="AP18" i="10"/>
  <c r="CF18" i="10"/>
  <c r="O19" i="10"/>
  <c r="BF19" i="10"/>
  <c r="CW19" i="10"/>
  <c r="AF20" i="10"/>
  <c r="BV20" i="10"/>
  <c r="DG20" i="10"/>
  <c r="AD21" i="10"/>
  <c r="BN21" i="10"/>
  <c r="CW21" i="10"/>
  <c r="Q22" i="10"/>
  <c r="AX22" i="10"/>
  <c r="CB22" i="10"/>
  <c r="DH22" i="10"/>
  <c r="U23" i="10"/>
  <c r="AU23" i="10"/>
  <c r="BU23" i="10"/>
  <c r="CT23" i="10"/>
  <c r="DR23" i="10"/>
  <c r="AC24" i="10"/>
  <c r="BA24" i="10"/>
  <c r="BY24" i="10"/>
  <c r="CV24" i="10"/>
  <c r="DR24" i="10"/>
  <c r="AA25" i="10"/>
  <c r="AR25" i="10"/>
  <c r="BN25" i="10"/>
  <c r="CJ25" i="10"/>
  <c r="DF25" i="10"/>
  <c r="CW12" i="10"/>
  <c r="BA13" i="10"/>
  <c r="J14" i="10"/>
  <c r="BQ14" i="10"/>
  <c r="T15" i="10"/>
  <c r="BW15" i="10"/>
  <c r="Q16" i="10"/>
  <c r="BY16" i="10"/>
  <c r="N17" i="10"/>
  <c r="BU17" i="10"/>
  <c r="DS17" i="10"/>
  <c r="BB18" i="10"/>
  <c r="CR18" i="10"/>
  <c r="V19" i="10"/>
  <c r="BR19" i="10"/>
  <c r="DI19" i="10"/>
  <c r="AR20" i="10"/>
  <c r="CG20" i="10"/>
  <c r="DQ20" i="10"/>
  <c r="AN21" i="10"/>
  <c r="BX21" i="10"/>
  <c r="DF21" i="10"/>
  <c r="Z22" i="10"/>
  <c r="BD22" i="10"/>
  <c r="CK22" i="10"/>
  <c r="DN22" i="10"/>
  <c r="AB23" i="10"/>
  <c r="BB23" i="10"/>
  <c r="CB23" i="10"/>
  <c r="CZ23" i="10"/>
  <c r="K24" i="10"/>
  <c r="AI24" i="10"/>
  <c r="BG24" i="10"/>
  <c r="CE24" i="10"/>
  <c r="CW24" i="10"/>
  <c r="DS24" i="10"/>
  <c r="AB25" i="10"/>
  <c r="AX25" i="10"/>
  <c r="BO25" i="10"/>
  <c r="CK25" i="10"/>
  <c r="DG25" i="10"/>
  <c r="DC12" i="10"/>
  <c r="BB13" i="10"/>
  <c r="K14" i="10"/>
  <c r="CF12" i="10"/>
  <c r="BZ16" i="10"/>
  <c r="AC19" i="10"/>
  <c r="AO21" i="10"/>
  <c r="DG22" i="10"/>
  <c r="CS23" i="10"/>
  <c r="BX24" i="10"/>
  <c r="AQ25" i="10"/>
  <c r="BM25" i="10"/>
  <c r="AC23" i="10"/>
  <c r="DM14" i="10"/>
  <c r="Z24" i="10"/>
  <c r="G18" i="10"/>
  <c r="AB24" i="10"/>
  <c r="AO18" i="10"/>
  <c r="G25" i="10"/>
  <c r="BR23" i="10"/>
  <c r="DF20" i="10"/>
  <c r="CC23" i="10"/>
  <c r="BJ16" i="10"/>
  <c r="AP25" i="10"/>
  <c r="AE13" i="10"/>
  <c r="DI16" i="10"/>
  <c r="BE19" i="10"/>
  <c r="BM21" i="10"/>
  <c r="DO22" i="10"/>
  <c r="DA23" i="10"/>
  <c r="CF24" i="10"/>
  <c r="AY25" i="10"/>
  <c r="DG21" i="10"/>
  <c r="DC24" i="10"/>
  <c r="AD20" i="10"/>
  <c r="CH25" i="10"/>
  <c r="AS20" i="10"/>
  <c r="CI25" i="10"/>
  <c r="BU20" i="10"/>
  <c r="AJ24" i="10"/>
  <c r="CH20" i="10"/>
  <c r="CY25" i="10"/>
  <c r="CA22" i="10"/>
  <c r="CZ25" i="10"/>
  <c r="CL22" i="10"/>
  <c r="DH25" i="10"/>
  <c r="DE22" i="10"/>
  <c r="DF13" i="10"/>
  <c r="O17" i="10"/>
  <c r="BS19" i="10"/>
  <c r="BY21" i="10"/>
  <c r="R23" i="10"/>
  <c r="DO23" i="10"/>
  <c r="CT24" i="10"/>
  <c r="BL25" i="10"/>
  <c r="CU24" i="10"/>
  <c r="L24" i="10"/>
  <c r="BP25" i="10"/>
  <c r="P22" i="10"/>
  <c r="AR23" i="10"/>
  <c r="U15" i="10"/>
  <c r="AT23" i="10"/>
  <c r="BG15" i="10"/>
  <c r="BC23" i="10"/>
  <c r="BC18" i="10"/>
  <c r="AX24" i="10"/>
  <c r="DN15" i="10"/>
  <c r="BT23" i="10"/>
  <c r="CT18" i="10"/>
  <c r="AC25" i="10"/>
  <c r="AC21" i="10"/>
  <c r="BA14" i="10"/>
  <c r="BC17" i="10"/>
  <c r="CU19" i="10"/>
  <c r="CV21" i="10"/>
  <c r="T23" i="10"/>
  <c r="DQ23" i="10"/>
  <c r="DE17" i="10"/>
  <c r="DP24" i="10"/>
  <c r="AA22" i="10"/>
  <c r="DQ24" i="10"/>
  <c r="AT22" i="10"/>
  <c r="CL25" i="10"/>
  <c r="BE22" i="10"/>
  <c r="T25" i="10"/>
  <c r="CE18" i="10"/>
  <c r="Z25" i="10"/>
  <c r="DR20" i="10"/>
  <c r="CQ23" i="10"/>
  <c r="BR14" i="10"/>
  <c r="BV17" i="10"/>
  <c r="DJ19" i="10"/>
  <c r="CB15" i="10"/>
  <c r="AZ24" i="10"/>
  <c r="AA16" i="10"/>
  <c r="BH24" i="10"/>
  <c r="I19" i="10"/>
  <c r="BV24" i="10"/>
  <c r="G46" i="10"/>
  <c r="C6" i="10"/>
  <c r="AA45" i="12" a="1"/>
  <c r="AA49" i="12" a="1"/>
  <c r="AA41" i="12" a="1"/>
  <c r="AA61" i="12" a="1"/>
  <c r="AA53" i="12" a="1"/>
  <c r="AB55" i="12" l="1"/>
  <c r="AA55" i="12"/>
  <c r="AC55" i="12"/>
  <c r="AA54" i="12"/>
  <c r="AB54" i="12"/>
  <c r="AA53" i="12"/>
  <c r="AB53" i="12"/>
  <c r="AC54" i="12"/>
  <c r="AC53" i="12"/>
  <c r="AA62" i="12"/>
  <c r="AC61" i="12"/>
  <c r="AB62" i="12"/>
  <c r="AC62" i="12"/>
  <c r="AA63" i="12"/>
  <c r="AC63" i="12"/>
  <c r="AA61" i="12"/>
  <c r="AB61" i="12"/>
  <c r="AB63" i="12"/>
  <c r="AB41" i="12"/>
  <c r="AB65" i="12" s="1"/>
  <c r="AA41" i="12"/>
  <c r="AA65" i="12" s="1"/>
  <c r="AC41" i="12"/>
  <c r="AC65" i="12" s="1"/>
  <c r="AA42" i="12"/>
  <c r="AA66" i="12" s="1"/>
  <c r="AC43" i="12"/>
  <c r="AC67" i="12" s="1"/>
  <c r="AB42" i="12"/>
  <c r="AB66" i="12" s="1"/>
  <c r="AC42" i="12"/>
  <c r="AA43" i="12"/>
  <c r="AB43" i="12"/>
  <c r="AB51" i="12"/>
  <c r="AC51" i="12"/>
  <c r="AA49" i="12"/>
  <c r="AB49" i="12"/>
  <c r="AC49" i="12"/>
  <c r="AA50" i="12"/>
  <c r="AB50" i="12"/>
  <c r="AC50" i="12"/>
  <c r="AA51" i="12"/>
  <c r="AA45" i="12"/>
  <c r="AA47" i="12"/>
  <c r="AC47" i="12"/>
  <c r="AB45" i="12"/>
  <c r="AB47" i="12"/>
  <c r="AC45" i="12"/>
  <c r="AA46" i="12"/>
  <c r="AB46" i="12"/>
  <c r="AC46" i="12"/>
  <c r="G47" i="10"/>
  <c r="B24" i="9"/>
  <c r="B20" i="9"/>
  <c r="AA67" i="12" l="1"/>
  <c r="AB67" i="12"/>
  <c r="AC66" i="12"/>
  <c r="T39" i="10"/>
  <c r="T54" i="10"/>
  <c r="AA54" i="10"/>
  <c r="AA39" i="10"/>
  <c r="X44" i="10"/>
  <c r="X29" i="10"/>
  <c r="U44" i="10"/>
  <c r="U29" i="10"/>
  <c r="Z50" i="10"/>
  <c r="Z35" i="10"/>
  <c r="O54" i="10"/>
  <c r="O39" i="10"/>
  <c r="I44" i="10"/>
  <c r="I29" i="10"/>
  <c r="Q55" i="10"/>
  <c r="Q40" i="10"/>
  <c r="P55" i="10"/>
  <c r="P40" i="10"/>
  <c r="H51" i="10"/>
  <c r="H36" i="10"/>
  <c r="T32" i="10"/>
  <c r="T47" i="10"/>
  <c r="X30" i="10"/>
  <c r="X45" i="10"/>
  <c r="K53" i="10"/>
  <c r="K38" i="10"/>
  <c r="K56" i="10"/>
  <c r="K41" i="10"/>
  <c r="M55" i="10"/>
  <c r="M40" i="10"/>
  <c r="Y37" i="10"/>
  <c r="Y52" i="10"/>
  <c r="K46" i="10"/>
  <c r="K31" i="10"/>
  <c r="X53" i="10"/>
  <c r="X38" i="10"/>
  <c r="AB49" i="10"/>
  <c r="AB34" i="10"/>
  <c r="L31" i="10"/>
  <c r="L46" i="10"/>
  <c r="R29" i="10"/>
  <c r="R44" i="10"/>
  <c r="AB32" i="10"/>
  <c r="AB47" i="10"/>
  <c r="M50" i="10"/>
  <c r="M35" i="10"/>
  <c r="M52" i="10"/>
  <c r="M37" i="10"/>
  <c r="AA32" i="10"/>
  <c r="AA47" i="10"/>
  <c r="N50" i="10"/>
  <c r="N35" i="10"/>
  <c r="AA29" i="10"/>
  <c r="AA44" i="10"/>
  <c r="M56" i="10"/>
  <c r="M41" i="10"/>
  <c r="L49" i="10"/>
  <c r="L34" i="10"/>
  <c r="X55" i="10"/>
  <c r="X40" i="10"/>
  <c r="T52" i="10"/>
  <c r="T37" i="10"/>
  <c r="U55" i="10"/>
  <c r="U40" i="10"/>
  <c r="V55" i="10"/>
  <c r="V40" i="10"/>
  <c r="X56" i="10"/>
  <c r="X41" i="10"/>
  <c r="I39" i="10"/>
  <c r="I54" i="10"/>
  <c r="AB54" i="10"/>
  <c r="AB39" i="10"/>
  <c r="W51" i="10"/>
  <c r="W36" i="10"/>
  <c r="T46" i="10"/>
  <c r="T31" i="10"/>
  <c r="I56" i="10"/>
  <c r="I41" i="10"/>
  <c r="R52" i="10"/>
  <c r="R37" i="10"/>
  <c r="H44" i="10"/>
  <c r="H29" i="10"/>
  <c r="AA55" i="10"/>
  <c r="AA40" i="10"/>
  <c r="X46" i="10"/>
  <c r="X31" i="10"/>
  <c r="S44" i="10"/>
  <c r="S29" i="10"/>
  <c r="R51" i="10"/>
  <c r="R36" i="10"/>
  <c r="L47" i="10"/>
  <c r="L32" i="10"/>
  <c r="U45" i="10"/>
  <c r="U30" i="10"/>
  <c r="J47" i="10"/>
  <c r="J32" i="10"/>
  <c r="J33" i="10"/>
  <c r="J48" i="10"/>
  <c r="Z56" i="10"/>
  <c r="Z41" i="10"/>
  <c r="V52" i="10"/>
  <c r="V37" i="10"/>
  <c r="AB51" i="10"/>
  <c r="AB36" i="10"/>
  <c r="R48" i="10"/>
  <c r="R33" i="10"/>
  <c r="P34" i="10"/>
  <c r="P49" i="10"/>
  <c r="P52" i="10"/>
  <c r="P37" i="10"/>
  <c r="K34" i="10"/>
  <c r="K49" i="10"/>
  <c r="T44" i="10"/>
  <c r="T29" i="10"/>
  <c r="Q47" i="10"/>
  <c r="Q32" i="10"/>
  <c r="Z55" i="10"/>
  <c r="Z40" i="10"/>
  <c r="S30" i="10"/>
  <c r="S45" i="10"/>
  <c r="L48" i="10"/>
  <c r="L33" i="10"/>
  <c r="V49" i="10"/>
  <c r="V34" i="10"/>
  <c r="S53" i="10"/>
  <c r="S38" i="10"/>
  <c r="S56" i="10"/>
  <c r="S41" i="10"/>
  <c r="I55" i="10"/>
  <c r="I40" i="10"/>
  <c r="L39" i="10"/>
  <c r="L54" i="10"/>
  <c r="O41" i="10"/>
  <c r="O56" i="10"/>
  <c r="U49" i="10"/>
  <c r="U34" i="10"/>
  <c r="H55" i="10"/>
  <c r="H40" i="10"/>
  <c r="X52" i="10"/>
  <c r="X37" i="10"/>
  <c r="Z44" i="10"/>
  <c r="Z29" i="10"/>
  <c r="Z51" i="10"/>
  <c r="Z36" i="10"/>
  <c r="K48" i="10"/>
  <c r="K33" i="10"/>
  <c r="P54" i="10"/>
  <c r="P39" i="10"/>
  <c r="N44" i="10"/>
  <c r="N29" i="10"/>
  <c r="W47" i="10"/>
  <c r="W32" i="10"/>
  <c r="U47" i="10"/>
  <c r="U32" i="10"/>
  <c r="O55" i="10"/>
  <c r="O40" i="10"/>
  <c r="Z48" i="10"/>
  <c r="Z33" i="10"/>
  <c r="U50" i="10"/>
  <c r="U35" i="10"/>
  <c r="S49" i="10"/>
  <c r="S34" i="10"/>
  <c r="H46" i="10"/>
  <c r="H31" i="10"/>
  <c r="Q51" i="10"/>
  <c r="Q36" i="10"/>
  <c r="Y48" i="10"/>
  <c r="Y33" i="10"/>
  <c r="W44" i="10"/>
  <c r="W29" i="10"/>
  <c r="Y34" i="10"/>
  <c r="Y49" i="10"/>
  <c r="Y40" i="10"/>
  <c r="Y55" i="10"/>
  <c r="J51" i="10"/>
  <c r="J36" i="10"/>
  <c r="X33" i="10"/>
  <c r="X48" i="10"/>
  <c r="P51" i="10"/>
  <c r="P36" i="10"/>
  <c r="M54" i="10"/>
  <c r="M39" i="10"/>
  <c r="R32" i="10"/>
  <c r="R47" i="10"/>
  <c r="U46" i="10"/>
  <c r="U31" i="10"/>
  <c r="AB45" i="10"/>
  <c r="AB30" i="10"/>
  <c r="Q46" i="10"/>
  <c r="Q31" i="10"/>
  <c r="AB31" i="10"/>
  <c r="AB46" i="10"/>
  <c r="AB55" i="10"/>
  <c r="AB40" i="10"/>
  <c r="U51" i="10"/>
  <c r="U36" i="10"/>
  <c r="P45" i="10"/>
  <c r="P30" i="10"/>
  <c r="P31" i="10"/>
  <c r="P46" i="10"/>
  <c r="Q54" i="10"/>
  <c r="Q39" i="10"/>
  <c r="Y47" i="10"/>
  <c r="Y32" i="10"/>
  <c r="P48" i="10"/>
  <c r="P33" i="10"/>
  <c r="AA45" i="10"/>
  <c r="AA30" i="10"/>
  <c r="I53" i="10"/>
  <c r="I38" i="10"/>
  <c r="O45" i="10"/>
  <c r="O30" i="10"/>
  <c r="S47" i="10"/>
  <c r="S32" i="10"/>
  <c r="W40" i="10"/>
  <c r="W55" i="10"/>
  <c r="J39" i="10"/>
  <c r="J54" i="10"/>
  <c r="V50" i="10"/>
  <c r="V35" i="10"/>
  <c r="T49" i="10"/>
  <c r="T34" i="10"/>
  <c r="Q48" i="10"/>
  <c r="Q33" i="10"/>
  <c r="L56" i="10"/>
  <c r="L41" i="10"/>
  <c r="N49" i="10"/>
  <c r="N34" i="10"/>
  <c r="V53" i="10"/>
  <c r="V38" i="10"/>
  <c r="U56" i="10"/>
  <c r="U41" i="10"/>
  <c r="R49" i="10"/>
  <c r="R34" i="10"/>
  <c r="V47" i="10"/>
  <c r="V32" i="10"/>
  <c r="K55" i="10"/>
  <c r="K40" i="10"/>
  <c r="W37" i="10"/>
  <c r="W52" i="10"/>
  <c r="AA56" i="10"/>
  <c r="AA41" i="10"/>
  <c r="Q45" i="10"/>
  <c r="Q30" i="10"/>
  <c r="I50" i="10"/>
  <c r="I35" i="10"/>
  <c r="X47" i="10"/>
  <c r="X32" i="10"/>
  <c r="AB38" i="10"/>
  <c r="AB53" i="10"/>
  <c r="H50" i="10"/>
  <c r="H35" i="10"/>
  <c r="S50" i="10"/>
  <c r="S35" i="10"/>
  <c r="AA52" i="10"/>
  <c r="AA37" i="10"/>
  <c r="M48" i="10"/>
  <c r="M33" i="10"/>
  <c r="K44" i="10"/>
  <c r="K29" i="10"/>
  <c r="M34" i="10"/>
  <c r="M49" i="10"/>
  <c r="V44" i="10"/>
  <c r="V29" i="10"/>
  <c r="S52" i="10"/>
  <c r="S37" i="10"/>
  <c r="N54" i="10"/>
  <c r="N39" i="10"/>
  <c r="Q53" i="10"/>
  <c r="Q38" i="10"/>
  <c r="P29" i="10"/>
  <c r="P44" i="10"/>
  <c r="S36" i="10"/>
  <c r="S51" i="10"/>
  <c r="I52" i="10"/>
  <c r="I37" i="10"/>
  <c r="L53" i="10"/>
  <c r="L38" i="10"/>
  <c r="AA48" i="10"/>
  <c r="AA33" i="10"/>
  <c r="M53" i="10"/>
  <c r="M38" i="10"/>
  <c r="J53" i="10"/>
  <c r="J38" i="10"/>
  <c r="K50" i="10"/>
  <c r="K35" i="10"/>
  <c r="R54" i="10"/>
  <c r="R39" i="10"/>
  <c r="R35" i="10"/>
  <c r="R50" i="10"/>
  <c r="AB29" i="10"/>
  <c r="AB44" i="10"/>
  <c r="Y56" i="10"/>
  <c r="Y41" i="10"/>
  <c r="H48" i="10"/>
  <c r="H33" i="10"/>
  <c r="W50" i="10"/>
  <c r="W35" i="10"/>
  <c r="X39" i="10"/>
  <c r="X54" i="10"/>
  <c r="V45" i="10"/>
  <c r="V30" i="10"/>
  <c r="V33" i="10"/>
  <c r="V48" i="10"/>
  <c r="J55" i="10"/>
  <c r="J40" i="10"/>
  <c r="K47" i="10"/>
  <c r="K32" i="10"/>
  <c r="L55" i="10"/>
  <c r="L40" i="10"/>
  <c r="Z53" i="10"/>
  <c r="Z38" i="10"/>
  <c r="V54" i="10"/>
  <c r="V39" i="10"/>
  <c r="T30" i="10"/>
  <c r="T45" i="10"/>
  <c r="U53" i="10"/>
  <c r="U38" i="10"/>
  <c r="AB41" i="10"/>
  <c r="AB56" i="10"/>
  <c r="W56" i="10"/>
  <c r="W41" i="10"/>
  <c r="H54" i="10"/>
  <c r="H39" i="10"/>
  <c r="Z47" i="10"/>
  <c r="Z32" i="10"/>
  <c r="T48" i="10"/>
  <c r="T33" i="10"/>
  <c r="R45" i="10"/>
  <c r="R30" i="10"/>
  <c r="S55" i="10"/>
  <c r="S40" i="10"/>
  <c r="O53" i="10"/>
  <c r="O38" i="10"/>
  <c r="Z49" i="10"/>
  <c r="Z34" i="10"/>
  <c r="N53" i="10"/>
  <c r="N38" i="10"/>
  <c r="X34" i="10"/>
  <c r="X49" i="10"/>
  <c r="R56" i="10"/>
  <c r="R41" i="10"/>
  <c r="O50" i="10"/>
  <c r="O35" i="10"/>
  <c r="P47" i="10"/>
  <c r="P32" i="10"/>
  <c r="O52" i="10"/>
  <c r="O37" i="10"/>
  <c r="O48" i="10"/>
  <c r="O33" i="10"/>
  <c r="Z52" i="10"/>
  <c r="Z37" i="10"/>
  <c r="AB48" i="10"/>
  <c r="AB33" i="10"/>
  <c r="Z45" i="10"/>
  <c r="Z30" i="10"/>
  <c r="AB35" i="10"/>
  <c r="AB50" i="10"/>
  <c r="J44" i="10"/>
  <c r="J29" i="10"/>
  <c r="O47" i="10"/>
  <c r="O32" i="10"/>
  <c r="X51" i="10"/>
  <c r="X36" i="10"/>
  <c r="J49" i="10"/>
  <c r="J34" i="10"/>
  <c r="J30" i="10"/>
  <c r="J45" i="10"/>
  <c r="AB52" i="10"/>
  <c r="AB37" i="10"/>
  <c r="L44" i="10"/>
  <c r="L29" i="10"/>
  <c r="S33" i="10"/>
  <c r="S48" i="10"/>
  <c r="W34" i="10"/>
  <c r="W49" i="10"/>
  <c r="W48" i="10"/>
  <c r="W33" i="10"/>
  <c r="Y46" i="10"/>
  <c r="Y31" i="10"/>
  <c r="L45" i="10"/>
  <c r="L30" i="10"/>
  <c r="H53" i="10"/>
  <c r="H38" i="10"/>
  <c r="S54" i="10"/>
  <c r="S39" i="10"/>
  <c r="I46" i="10"/>
  <c r="I31" i="10"/>
  <c r="AA51" i="10"/>
  <c r="AA36" i="10"/>
  <c r="H41" i="10"/>
  <c r="H56" i="10"/>
  <c r="I47" i="10"/>
  <c r="I32" i="10"/>
  <c r="U54" i="10"/>
  <c r="U39" i="10"/>
  <c r="J52" i="10"/>
  <c r="J37" i="10"/>
  <c r="U33" i="10"/>
  <c r="U48" i="10"/>
  <c r="Y53" i="10"/>
  <c r="Y38" i="10"/>
  <c r="T55" i="10"/>
  <c r="T40" i="10"/>
  <c r="AA50" i="10"/>
  <c r="AA35" i="10"/>
  <c r="K45" i="10"/>
  <c r="K30" i="10"/>
  <c r="Y51" i="10"/>
  <c r="Y36" i="10"/>
  <c r="I48" i="10"/>
  <c r="I33" i="10"/>
  <c r="I30" i="10"/>
  <c r="I45" i="10"/>
  <c r="P38" i="10"/>
  <c r="P53" i="10"/>
  <c r="AA49" i="10"/>
  <c r="AA34" i="10"/>
  <c r="L52" i="10"/>
  <c r="L37" i="10"/>
  <c r="V36" i="10"/>
  <c r="V51" i="10"/>
  <c r="H45" i="10"/>
  <c r="H30" i="10"/>
  <c r="T35" i="10"/>
  <c r="T50" i="10"/>
  <c r="N47" i="10"/>
  <c r="N32" i="10"/>
  <c r="W45" i="10"/>
  <c r="W30" i="10"/>
  <c r="N52" i="10"/>
  <c r="N37" i="10"/>
  <c r="N48" i="10"/>
  <c r="N33" i="10"/>
  <c r="Y44" i="10"/>
  <c r="Y29" i="10"/>
  <c r="N45" i="10"/>
  <c r="N30" i="10"/>
  <c r="P50" i="10"/>
  <c r="P35" i="10"/>
  <c r="Y45" i="10"/>
  <c r="Y30" i="10"/>
  <c r="K54" i="10"/>
  <c r="K39" i="10"/>
  <c r="N40" i="10"/>
  <c r="N55" i="10"/>
  <c r="J56" i="10"/>
  <c r="J41" i="10"/>
  <c r="R46" i="10"/>
  <c r="R31" i="10"/>
  <c r="Q49" i="10"/>
  <c r="Q34" i="10"/>
  <c r="J50" i="10"/>
  <c r="J35" i="10"/>
  <c r="O44" i="10"/>
  <c r="O29" i="10"/>
  <c r="AA53" i="10"/>
  <c r="AA38" i="10"/>
  <c r="P56" i="10"/>
  <c r="P41" i="10"/>
  <c r="L50" i="10"/>
  <c r="L35" i="10"/>
  <c r="J46" i="10"/>
  <c r="J31" i="10"/>
  <c r="K52" i="10"/>
  <c r="K37" i="10"/>
  <c r="R55" i="10"/>
  <c r="R40" i="10"/>
  <c r="S46" i="10"/>
  <c r="S31" i="10"/>
  <c r="H47" i="10"/>
  <c r="H32" i="10"/>
  <c r="H52" i="10"/>
  <c r="H37" i="10"/>
  <c r="T41" i="10"/>
  <c r="T56" i="10"/>
  <c r="M51" i="10"/>
  <c r="M36" i="10"/>
  <c r="W46" i="10"/>
  <c r="W31" i="10"/>
  <c r="Q50" i="10"/>
  <c r="Q35" i="10"/>
  <c r="AA46" i="10"/>
  <c r="AA31" i="10"/>
  <c r="L36" i="10"/>
  <c r="L51" i="10"/>
  <c r="I49" i="10"/>
  <c r="I34" i="10"/>
  <c r="X50" i="10"/>
  <c r="X35" i="10"/>
  <c r="Q52" i="10"/>
  <c r="Q37" i="10"/>
  <c r="M47" i="10"/>
  <c r="M32" i="10"/>
  <c r="O46" i="10"/>
  <c r="O31" i="10"/>
  <c r="O49" i="10"/>
  <c r="O34" i="10"/>
  <c r="W54" i="10"/>
  <c r="W39" i="10"/>
  <c r="Q41" i="10"/>
  <c r="Q56" i="10"/>
  <c r="K51" i="10"/>
  <c r="K36" i="10"/>
  <c r="N56" i="10"/>
  <c r="N41" i="10"/>
  <c r="U52" i="10"/>
  <c r="U37" i="10"/>
  <c r="W53" i="10"/>
  <c r="W38" i="10"/>
  <c r="T38" i="10"/>
  <c r="T53" i="10"/>
  <c r="Z31" i="10"/>
  <c r="Z46" i="10"/>
  <c r="V56" i="10"/>
  <c r="V41" i="10"/>
  <c r="Y50" i="10"/>
  <c r="Y35" i="10"/>
  <c r="H49" i="10"/>
  <c r="H34" i="10"/>
  <c r="Z54" i="10"/>
  <c r="Z39" i="10"/>
  <c r="O51" i="10"/>
  <c r="O36" i="10"/>
  <c r="N46" i="10"/>
  <c r="N31" i="10"/>
  <c r="Y54" i="10"/>
  <c r="Y39" i="10"/>
  <c r="N51" i="10"/>
  <c r="N36" i="10"/>
  <c r="M31" i="10"/>
  <c r="M46" i="10"/>
  <c r="I51" i="10"/>
  <c r="I36" i="10"/>
  <c r="T51" i="10"/>
  <c r="T36" i="10"/>
  <c r="R53" i="10"/>
  <c r="R38" i="10"/>
  <c r="V46" i="10"/>
  <c r="V31" i="10"/>
  <c r="Q44" i="10"/>
  <c r="Q29" i="10"/>
  <c r="M44" i="10"/>
  <c r="M29" i="10"/>
  <c r="M45" i="10"/>
  <c r="M30" i="10"/>
  <c r="G48" i="10"/>
  <c r="F25" i="4"/>
  <c r="J16" i="4"/>
  <c r="C26" i="5"/>
  <c r="G479" i="5"/>
  <c r="I24" i="5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s="1"/>
  <c r="I38" i="5" s="1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I58" i="5" s="1"/>
  <c r="I59" i="5" s="1"/>
  <c r="I60" i="5" s="1"/>
  <c r="I61" i="5" s="1"/>
  <c r="I62" i="5" s="1"/>
  <c r="I63" i="5" s="1"/>
  <c r="I64" i="5" s="1"/>
  <c r="I65" i="5" s="1"/>
  <c r="I66" i="5" s="1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I91" i="5" s="1"/>
  <c r="I92" i="5" s="1"/>
  <c r="I93" i="5" s="1"/>
  <c r="I94" i="5" s="1"/>
  <c r="I95" i="5" s="1"/>
  <c r="I96" i="5" s="1"/>
  <c r="I97" i="5" s="1"/>
  <c r="I98" i="5" s="1"/>
  <c r="I99" i="5" s="1"/>
  <c r="I100" i="5" s="1"/>
  <c r="I101" i="5" s="1"/>
  <c r="I102" i="5" s="1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I122" i="5" s="1"/>
  <c r="I123" i="5" s="1"/>
  <c r="I124" i="5" s="1"/>
  <c r="I125" i="5" s="1"/>
  <c r="I126" i="5" s="1"/>
  <c r="I127" i="5" s="1"/>
  <c r="I128" i="5" s="1"/>
  <c r="I129" i="5" s="1"/>
  <c r="I130" i="5" s="1"/>
  <c r="I131" i="5" s="1"/>
  <c r="I132" i="5" s="1"/>
  <c r="I133" i="5" s="1"/>
  <c r="I134" i="5" s="1"/>
  <c r="I135" i="5" s="1"/>
  <c r="I136" i="5" s="1"/>
  <c r="I137" i="5" s="1"/>
  <c r="I138" i="5" s="1"/>
  <c r="I139" i="5" s="1"/>
  <c r="I140" i="5" s="1"/>
  <c r="I141" i="5" s="1"/>
  <c r="I142" i="5" s="1"/>
  <c r="I143" i="5" s="1"/>
  <c r="I144" i="5" s="1"/>
  <c r="I145" i="5" s="1"/>
  <c r="I146" i="5" s="1"/>
  <c r="I147" i="5" s="1"/>
  <c r="I148" i="5" s="1"/>
  <c r="I149" i="5" s="1"/>
  <c r="I150" i="5" s="1"/>
  <c r="I151" i="5" s="1"/>
  <c r="I152" i="5" s="1"/>
  <c r="I153" i="5" s="1"/>
  <c r="I154" i="5" s="1"/>
  <c r="I155" i="5" s="1"/>
  <c r="I156" i="5" s="1"/>
  <c r="I157" i="5" s="1"/>
  <c r="I158" i="5" s="1"/>
  <c r="I159" i="5" s="1"/>
  <c r="I160" i="5" s="1"/>
  <c r="I161" i="5" s="1"/>
  <c r="I162" i="5" s="1"/>
  <c r="I163" i="5" s="1"/>
  <c r="I164" i="5" s="1"/>
  <c r="I165" i="5" s="1"/>
  <c r="I166" i="5" s="1"/>
  <c r="I167" i="5" s="1"/>
  <c r="I168" i="5" s="1"/>
  <c r="I169" i="5" s="1"/>
  <c r="I170" i="5" s="1"/>
  <c r="I171" i="5" s="1"/>
  <c r="I172" i="5" s="1"/>
  <c r="I173" i="5" s="1"/>
  <c r="I174" i="5" s="1"/>
  <c r="I175" i="5" s="1"/>
  <c r="I176" i="5" s="1"/>
  <c r="I177" i="5" s="1"/>
  <c r="I178" i="5" s="1"/>
  <c r="I179" i="5" s="1"/>
  <c r="I180" i="5" s="1"/>
  <c r="I181" i="5" s="1"/>
  <c r="I182" i="5" s="1"/>
  <c r="I183" i="5" s="1"/>
  <c r="I184" i="5" s="1"/>
  <c r="I185" i="5" s="1"/>
  <c r="I186" i="5" s="1"/>
  <c r="I187" i="5" s="1"/>
  <c r="I188" i="5" s="1"/>
  <c r="I189" i="5" s="1"/>
  <c r="I190" i="5" s="1"/>
  <c r="I191" i="5" s="1"/>
  <c r="I192" i="5" s="1"/>
  <c r="I193" i="5" s="1"/>
  <c r="I194" i="5" s="1"/>
  <c r="I195" i="5" s="1"/>
  <c r="I196" i="5" s="1"/>
  <c r="I197" i="5" s="1"/>
  <c r="I198" i="5" s="1"/>
  <c r="I199" i="5" s="1"/>
  <c r="I200" i="5" s="1"/>
  <c r="I201" i="5" s="1"/>
  <c r="I202" i="5" s="1"/>
  <c r="I203" i="5" s="1"/>
  <c r="I204" i="5" s="1"/>
  <c r="I205" i="5" s="1"/>
  <c r="I206" i="5" s="1"/>
  <c r="I207" i="5" s="1"/>
  <c r="I208" i="5" s="1"/>
  <c r="I209" i="5" s="1"/>
  <c r="I210" i="5" s="1"/>
  <c r="I211" i="5" s="1"/>
  <c r="I212" i="5" s="1"/>
  <c r="I213" i="5" s="1"/>
  <c r="I214" i="5" s="1"/>
  <c r="I215" i="5" s="1"/>
  <c r="I216" i="5" s="1"/>
  <c r="I217" i="5" s="1"/>
  <c r="I218" i="5" s="1"/>
  <c r="I219" i="5" s="1"/>
  <c r="I220" i="5" s="1"/>
  <c r="I221" i="5" s="1"/>
  <c r="I222" i="5" s="1"/>
  <c r="I223" i="5" s="1"/>
  <c r="I224" i="5" s="1"/>
  <c r="I225" i="5" s="1"/>
  <c r="I226" i="5" s="1"/>
  <c r="I227" i="5" s="1"/>
  <c r="I228" i="5" s="1"/>
  <c r="I229" i="5" s="1"/>
  <c r="I230" i="5" s="1"/>
  <c r="I231" i="5" s="1"/>
  <c r="I232" i="5" s="1"/>
  <c r="I233" i="5" s="1"/>
  <c r="I234" i="5" s="1"/>
  <c r="I235" i="5" s="1"/>
  <c r="I236" i="5" s="1"/>
  <c r="I237" i="5" s="1"/>
  <c r="I238" i="5" s="1"/>
  <c r="I239" i="5" s="1"/>
  <c r="I240" i="5" s="1"/>
  <c r="I241" i="5" s="1"/>
  <c r="I242" i="5" s="1"/>
  <c r="I243" i="5" s="1"/>
  <c r="I244" i="5" s="1"/>
  <c r="I245" i="5" s="1"/>
  <c r="I246" i="5" s="1"/>
  <c r="I247" i="5" s="1"/>
  <c r="I248" i="5" s="1"/>
  <c r="I249" i="5" s="1"/>
  <c r="I250" i="5" s="1"/>
  <c r="I251" i="5" s="1"/>
  <c r="I252" i="5" s="1"/>
  <c r="I253" i="5" s="1"/>
  <c r="I254" i="5" s="1"/>
  <c r="I255" i="5" s="1"/>
  <c r="I256" i="5" s="1"/>
  <c r="I257" i="5" s="1"/>
  <c r="I258" i="5" s="1"/>
  <c r="I259" i="5" s="1"/>
  <c r="I260" i="5" s="1"/>
  <c r="I261" i="5" s="1"/>
  <c r="I262" i="5" s="1"/>
  <c r="I263" i="5" s="1"/>
  <c r="I264" i="5" s="1"/>
  <c r="I265" i="5" s="1"/>
  <c r="I266" i="5" s="1"/>
  <c r="I267" i="5" s="1"/>
  <c r="I268" i="5" s="1"/>
  <c r="I269" i="5" s="1"/>
  <c r="I270" i="5" s="1"/>
  <c r="I271" i="5" s="1"/>
  <c r="I272" i="5" s="1"/>
  <c r="I273" i="5" s="1"/>
  <c r="I274" i="5" s="1"/>
  <c r="I275" i="5" s="1"/>
  <c r="I276" i="5" s="1"/>
  <c r="I277" i="5" s="1"/>
  <c r="I278" i="5" s="1"/>
  <c r="I279" i="5" s="1"/>
  <c r="I280" i="5" s="1"/>
  <c r="I281" i="5" s="1"/>
  <c r="I282" i="5" s="1"/>
  <c r="I283" i="5" s="1"/>
  <c r="I284" i="5" s="1"/>
  <c r="I285" i="5" s="1"/>
  <c r="I286" i="5" s="1"/>
  <c r="I287" i="5" s="1"/>
  <c r="I288" i="5" s="1"/>
  <c r="I289" i="5" s="1"/>
  <c r="I290" i="5" s="1"/>
  <c r="I291" i="5" s="1"/>
  <c r="I292" i="5" s="1"/>
  <c r="I293" i="5" s="1"/>
  <c r="I294" i="5" s="1"/>
  <c r="I295" i="5" s="1"/>
  <c r="I296" i="5" s="1"/>
  <c r="I297" i="5" s="1"/>
  <c r="I298" i="5" s="1"/>
  <c r="I299" i="5" s="1"/>
  <c r="I300" i="5" s="1"/>
  <c r="I301" i="5" s="1"/>
  <c r="I302" i="5" s="1"/>
  <c r="I303" i="5" s="1"/>
  <c r="I304" i="5" s="1"/>
  <c r="I305" i="5" s="1"/>
  <c r="I306" i="5" s="1"/>
  <c r="I307" i="5" s="1"/>
  <c r="I308" i="5" s="1"/>
  <c r="I309" i="5" s="1"/>
  <c r="I310" i="5" s="1"/>
  <c r="I311" i="5" s="1"/>
  <c r="I312" i="5" s="1"/>
  <c r="I313" i="5" s="1"/>
  <c r="I314" i="5" s="1"/>
  <c r="I315" i="5" s="1"/>
  <c r="I316" i="5" s="1"/>
  <c r="I317" i="5" s="1"/>
  <c r="I318" i="5" s="1"/>
  <c r="I319" i="5" s="1"/>
  <c r="I320" i="5" s="1"/>
  <c r="I321" i="5" s="1"/>
  <c r="I322" i="5" s="1"/>
  <c r="I323" i="5" s="1"/>
  <c r="I324" i="5" s="1"/>
  <c r="I325" i="5" s="1"/>
  <c r="I326" i="5" s="1"/>
  <c r="I327" i="5" s="1"/>
  <c r="I328" i="5" s="1"/>
  <c r="I329" i="5" s="1"/>
  <c r="I330" i="5" s="1"/>
  <c r="I331" i="5" s="1"/>
  <c r="I332" i="5" s="1"/>
  <c r="I333" i="5" s="1"/>
  <c r="I334" i="5" s="1"/>
  <c r="I335" i="5" s="1"/>
  <c r="I336" i="5" s="1"/>
  <c r="I337" i="5" s="1"/>
  <c r="I338" i="5" s="1"/>
  <c r="I339" i="5" s="1"/>
  <c r="I340" i="5" s="1"/>
  <c r="I341" i="5" s="1"/>
  <c r="I342" i="5" s="1"/>
  <c r="I343" i="5" s="1"/>
  <c r="I344" i="5" s="1"/>
  <c r="I345" i="5" s="1"/>
  <c r="I346" i="5" s="1"/>
  <c r="I347" i="5" s="1"/>
  <c r="I348" i="5" s="1"/>
  <c r="I349" i="5" s="1"/>
  <c r="I350" i="5" s="1"/>
  <c r="I351" i="5" s="1"/>
  <c r="I352" i="5" s="1"/>
  <c r="I353" i="5" s="1"/>
  <c r="I354" i="5" s="1"/>
  <c r="I355" i="5" s="1"/>
  <c r="I356" i="5" s="1"/>
  <c r="I357" i="5" s="1"/>
  <c r="I358" i="5" s="1"/>
  <c r="I359" i="5" s="1"/>
  <c r="I360" i="5" s="1"/>
  <c r="I361" i="5" s="1"/>
  <c r="I362" i="5" s="1"/>
  <c r="I363" i="5" s="1"/>
  <c r="I364" i="5" s="1"/>
  <c r="I365" i="5" s="1"/>
  <c r="I366" i="5" s="1"/>
  <c r="I367" i="5" s="1"/>
  <c r="I368" i="5" s="1"/>
  <c r="I369" i="5" s="1"/>
  <c r="I370" i="5" s="1"/>
  <c r="I371" i="5" s="1"/>
  <c r="I372" i="5" s="1"/>
  <c r="I373" i="5" s="1"/>
  <c r="I374" i="5" s="1"/>
  <c r="I375" i="5" s="1"/>
  <c r="I376" i="5" s="1"/>
  <c r="I377" i="5" s="1"/>
  <c r="I378" i="5" s="1"/>
  <c r="I379" i="5" s="1"/>
  <c r="I380" i="5" s="1"/>
  <c r="I381" i="5" s="1"/>
  <c r="I382" i="5" s="1"/>
  <c r="I383" i="5" s="1"/>
  <c r="I384" i="5" s="1"/>
  <c r="I385" i="5" s="1"/>
  <c r="I386" i="5" s="1"/>
  <c r="I387" i="5" s="1"/>
  <c r="I388" i="5" s="1"/>
  <c r="I389" i="5" s="1"/>
  <c r="I390" i="5" s="1"/>
  <c r="I391" i="5" s="1"/>
  <c r="I392" i="5" s="1"/>
  <c r="I393" i="5" s="1"/>
  <c r="I394" i="5" s="1"/>
  <c r="I395" i="5" s="1"/>
  <c r="I396" i="5" s="1"/>
  <c r="I397" i="5" s="1"/>
  <c r="I398" i="5" s="1"/>
  <c r="I399" i="5" s="1"/>
  <c r="I400" i="5" s="1"/>
  <c r="I401" i="5" s="1"/>
  <c r="I402" i="5" s="1"/>
  <c r="I403" i="5" s="1"/>
  <c r="I404" i="5" s="1"/>
  <c r="I405" i="5" s="1"/>
  <c r="I406" i="5" s="1"/>
  <c r="I407" i="5" s="1"/>
  <c r="I408" i="5" s="1"/>
  <c r="I409" i="5" s="1"/>
  <c r="I410" i="5" s="1"/>
  <c r="I411" i="5" s="1"/>
  <c r="I412" i="5" s="1"/>
  <c r="I413" i="5" s="1"/>
  <c r="I414" i="5" s="1"/>
  <c r="I415" i="5" s="1"/>
  <c r="I416" i="5" s="1"/>
  <c r="I417" i="5" s="1"/>
  <c r="I418" i="5" s="1"/>
  <c r="I419" i="5" s="1"/>
  <c r="I420" i="5" s="1"/>
  <c r="I421" i="5" s="1"/>
  <c r="I422" i="5" s="1"/>
  <c r="I423" i="5" s="1"/>
  <c r="I424" i="5" s="1"/>
  <c r="I425" i="5" s="1"/>
  <c r="I426" i="5" s="1"/>
  <c r="I427" i="5" s="1"/>
  <c r="I428" i="5" s="1"/>
  <c r="I429" i="5" s="1"/>
  <c r="I430" i="5" s="1"/>
  <c r="I431" i="5" s="1"/>
  <c r="I432" i="5" s="1"/>
  <c r="I433" i="5" s="1"/>
  <c r="I434" i="5" s="1"/>
  <c r="I435" i="5" s="1"/>
  <c r="I436" i="5" s="1"/>
  <c r="I437" i="5" s="1"/>
  <c r="I438" i="5" s="1"/>
  <c r="I439" i="5" s="1"/>
  <c r="I440" i="5" s="1"/>
  <c r="I441" i="5" s="1"/>
  <c r="I442" i="5" s="1"/>
  <c r="I443" i="5" s="1"/>
  <c r="I444" i="5" s="1"/>
  <c r="I445" i="5" s="1"/>
  <c r="I446" i="5" s="1"/>
  <c r="I447" i="5" s="1"/>
  <c r="I448" i="5" s="1"/>
  <c r="I449" i="5" s="1"/>
  <c r="I450" i="5" s="1"/>
  <c r="I451" i="5" s="1"/>
  <c r="I452" i="5" s="1"/>
  <c r="I453" i="5" s="1"/>
  <c r="I454" i="5" s="1"/>
  <c r="I455" i="5" s="1"/>
  <c r="I456" i="5" s="1"/>
  <c r="I457" i="5" s="1"/>
  <c r="I458" i="5" s="1"/>
  <c r="I459" i="5" s="1"/>
  <c r="I460" i="5" s="1"/>
  <c r="I461" i="5" s="1"/>
  <c r="I462" i="5" s="1"/>
  <c r="I463" i="5" s="1"/>
  <c r="I464" i="5" s="1"/>
  <c r="I465" i="5" s="1"/>
  <c r="I466" i="5" s="1"/>
  <c r="I467" i="5" s="1"/>
  <c r="I468" i="5" s="1"/>
  <c r="I469" i="5" s="1"/>
  <c r="I470" i="5" s="1"/>
  <c r="I471" i="5" s="1"/>
  <c r="I472" i="5" s="1"/>
  <c r="I473" i="5" s="1"/>
  <c r="I474" i="5" s="1"/>
  <c r="L6" i="5"/>
  <c r="G495" i="2"/>
  <c r="I40" i="2"/>
  <c r="I41" i="2" s="1"/>
  <c r="I42" i="2"/>
  <c r="I43" i="2"/>
  <c r="I44" i="2"/>
  <c r="I45" i="2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F57" i="2"/>
  <c r="F56" i="2"/>
  <c r="B19" i="4"/>
  <c r="B20" i="4" s="1"/>
  <c r="B21" i="4" s="1"/>
  <c r="B22" i="4" s="1"/>
  <c r="B23" i="4" s="1"/>
  <c r="B24" i="4" s="1"/>
  <c r="B25" i="4" s="1"/>
  <c r="B26" i="4" s="1"/>
  <c r="B18" i="4"/>
  <c r="D61" i="2"/>
  <c r="D60" i="2"/>
  <c r="N26" i="1"/>
  <c r="N23" i="1"/>
  <c r="N22" i="1"/>
  <c r="N21" i="1"/>
  <c r="A8" i="1" a="1"/>
  <c r="I25" i="1"/>
  <c r="I24" i="1"/>
  <c r="H24" i="1"/>
  <c r="H22" i="1"/>
  <c r="F22" i="1"/>
  <c r="E22" i="1"/>
  <c r="F17" i="1"/>
  <c r="C15" i="1"/>
  <c r="B14" i="1"/>
  <c r="I13" i="1"/>
  <c r="H13" i="1"/>
  <c r="F9" i="1"/>
  <c r="E9" i="1"/>
  <c r="D9" i="1"/>
  <c r="H16" i="1"/>
  <c r="B22" i="1"/>
  <c r="F29" i="1"/>
  <c r="J8" i="1"/>
  <c r="B12" i="1"/>
  <c r="D14" i="1"/>
  <c r="E15" i="1"/>
  <c r="K20" i="1"/>
  <c r="A22" i="1"/>
  <c r="C24" i="1"/>
  <c r="A21" i="1"/>
  <c r="C23" i="1"/>
  <c r="E23" i="1"/>
  <c r="F24" i="1"/>
  <c r="H26" i="1"/>
  <c r="C27" i="1"/>
  <c r="A25" i="1"/>
  <c r="J9" i="1"/>
  <c r="D8" i="1"/>
  <c r="E12" i="1"/>
  <c r="A11" i="1"/>
  <c r="B24" i="1"/>
  <c r="A26" i="1"/>
  <c r="J23" i="1"/>
  <c r="J21" i="1"/>
  <c r="D18" i="1"/>
  <c r="D16" i="1"/>
  <c r="D27" i="1"/>
  <c r="H18" i="1"/>
  <c r="A10" i="1"/>
  <c r="K19" i="1"/>
  <c r="C21" i="1"/>
  <c r="B10" i="1"/>
  <c r="I9" i="1"/>
  <c r="A12" i="1"/>
  <c r="K16" i="1"/>
  <c r="B19" i="1"/>
  <c r="A9" i="1"/>
  <c r="E14" i="1"/>
  <c r="J20" i="1"/>
  <c r="J17" i="1"/>
  <c r="C8" i="1"/>
  <c r="H23" i="1"/>
  <c r="B26" i="1"/>
  <c r="A29" i="1"/>
  <c r="J25" i="1"/>
  <c r="A19" i="1"/>
  <c r="F10" i="1"/>
  <c r="H12" i="1"/>
  <c r="K14" i="1"/>
  <c r="D19" i="1"/>
  <c r="G21" i="1"/>
  <c r="I29" i="1"/>
  <c r="F27" i="1"/>
  <c r="C12" i="1"/>
  <c r="A24" i="1"/>
  <c r="H15" i="1"/>
  <c r="H21" i="1"/>
  <c r="K23" i="1"/>
  <c r="J26" i="1"/>
  <c r="I20" i="1"/>
  <c r="D28" i="1"/>
  <c r="G14" i="1"/>
  <c r="F8" i="1"/>
  <c r="H10" i="1"/>
  <c r="B15" i="1"/>
  <c r="D17" i="1"/>
  <c r="H28" i="1"/>
  <c r="J10" i="1"/>
  <c r="A14" i="1"/>
  <c r="I22" i="1"/>
  <c r="A28" i="1"/>
  <c r="H11" i="1"/>
  <c r="K15" i="1"/>
  <c r="E20" i="1"/>
  <c r="G13" i="1"/>
  <c r="E13" i="1"/>
  <c r="K24" i="1"/>
  <c r="F12" i="1"/>
  <c r="D25" i="1"/>
  <c r="E24" i="1"/>
  <c r="H8" i="1"/>
  <c r="C22" i="8"/>
  <c r="I7" i="4" a="1"/>
  <c r="C18" i="4"/>
  <c r="C20" i="4"/>
  <c r="N4" i="2" a="1"/>
  <c r="E22" i="4"/>
  <c r="G39" i="1"/>
  <c r="K4" i="1"/>
  <c r="K5" i="8"/>
  <c r="C16" i="5"/>
  <c r="J4" i="1"/>
  <c r="I4" i="1"/>
  <c r="J5" i="1"/>
  <c r="C25" i="4"/>
  <c r="B4" i="2" a="1"/>
  <c r="C5" i="7"/>
  <c r="C41" i="5"/>
  <c r="C22" i="2"/>
  <c r="C17" i="4"/>
  <c r="C51" i="1" a="1"/>
  <c r="C6" i="5"/>
  <c r="F17" i="6"/>
  <c r="H28" i="2"/>
  <c r="I5" i="1"/>
  <c r="C21" i="4"/>
  <c r="C30" i="5"/>
  <c r="O21" i="2"/>
  <c r="H50" i="1" a="1"/>
  <c r="R23" i="2"/>
  <c r="H22" i="2"/>
  <c r="C12" i="5"/>
  <c r="E7" i="4" a="1"/>
  <c r="C23" i="4"/>
  <c r="C19" i="4"/>
  <c r="D4" i="1"/>
  <c r="F34" i="2"/>
  <c r="C22" i="4"/>
  <c r="C5" i="8"/>
  <c r="C7" i="8" a="1"/>
  <c r="F12" i="5"/>
  <c r="B6" i="1"/>
  <c r="C26" i="4"/>
  <c r="K5" i="1"/>
  <c r="C42" i="2"/>
  <c r="C14" i="4"/>
  <c r="J22" i="5" a="1"/>
  <c r="C24" i="4"/>
  <c r="F11" i="3"/>
  <c r="F22" i="2"/>
  <c r="C22" i="5"/>
  <c r="E11" i="9" a="1"/>
  <c r="C17" i="9"/>
  <c r="B5" i="1" a="1"/>
  <c r="B3" i="1"/>
  <c r="G49" i="10" l="1"/>
  <c r="E11" i="9"/>
  <c r="E13" i="9"/>
  <c r="E14" i="9"/>
  <c r="E12" i="9"/>
  <c r="B5" i="1"/>
  <c r="C5" i="1"/>
  <c r="F41" i="5"/>
  <c r="F6" i="5"/>
  <c r="C51" i="1"/>
  <c r="C52" i="1"/>
  <c r="D52" i="1"/>
  <c r="D51" i="1"/>
  <c r="K51" i="1"/>
  <c r="H52" i="1"/>
  <c r="J51" i="1"/>
  <c r="K50" i="1"/>
  <c r="J52" i="1"/>
  <c r="H54" i="1"/>
  <c r="I52" i="1"/>
  <c r="I54" i="1"/>
  <c r="K54" i="1"/>
  <c r="H53" i="1"/>
  <c r="I51" i="1"/>
  <c r="H51" i="1"/>
  <c r="K52" i="1"/>
  <c r="I53" i="1"/>
  <c r="J53" i="1"/>
  <c r="J50" i="1"/>
  <c r="J54" i="1"/>
  <c r="K53" i="1"/>
  <c r="I50" i="1"/>
  <c r="H50" i="1"/>
  <c r="F10" i="4"/>
  <c r="F12" i="4"/>
  <c r="E9" i="4"/>
  <c r="F9" i="4"/>
  <c r="E13" i="4"/>
  <c r="F8" i="4"/>
  <c r="E7" i="4"/>
  <c r="F13" i="4"/>
  <c r="F7" i="4"/>
  <c r="E8" i="4"/>
  <c r="E11" i="4"/>
  <c r="F11" i="4"/>
  <c r="E12" i="4"/>
  <c r="E10" i="4"/>
  <c r="O9" i="2"/>
  <c r="O15" i="2"/>
  <c r="N4" i="2"/>
  <c r="N10" i="2"/>
  <c r="N16" i="2"/>
  <c r="O4" i="2"/>
  <c r="O10" i="2"/>
  <c r="O16" i="2"/>
  <c r="N5" i="2"/>
  <c r="N11" i="2"/>
  <c r="O5" i="2"/>
  <c r="O11" i="2"/>
  <c r="N8" i="2"/>
  <c r="N14" i="2"/>
  <c r="O6" i="2"/>
  <c r="N7" i="2"/>
  <c r="O7" i="2"/>
  <c r="O8" i="2"/>
  <c r="N9" i="2"/>
  <c r="O14" i="2"/>
  <c r="N13" i="2"/>
  <c r="O13" i="2"/>
  <c r="N15" i="2"/>
  <c r="N6" i="2"/>
  <c r="N12" i="2"/>
  <c r="O12" i="2"/>
  <c r="C62" i="2"/>
  <c r="C28" i="2"/>
  <c r="F39" i="2"/>
  <c r="C60" i="2"/>
  <c r="F61" i="2"/>
  <c r="F28" i="2"/>
  <c r="C71" i="2"/>
  <c r="C56" i="2"/>
  <c r="C49" i="2"/>
  <c r="F71" i="2"/>
  <c r="C36" i="5"/>
  <c r="J8" i="4"/>
  <c r="I9" i="4"/>
  <c r="J9" i="4"/>
  <c r="I7" i="4"/>
  <c r="J7" i="4"/>
  <c r="I8" i="4"/>
  <c r="C16" i="8"/>
  <c r="B4" i="2"/>
  <c r="N23" i="5"/>
  <c r="K26" i="5"/>
  <c r="M28" i="5"/>
  <c r="J31" i="5"/>
  <c r="L33" i="5"/>
  <c r="N35" i="5"/>
  <c r="K38" i="5"/>
  <c r="M40" i="5"/>
  <c r="J43" i="5"/>
  <c r="L45" i="5"/>
  <c r="N47" i="5"/>
  <c r="K50" i="5"/>
  <c r="M52" i="5"/>
  <c r="J55" i="5"/>
  <c r="L57" i="5"/>
  <c r="N59" i="5"/>
  <c r="K62" i="5"/>
  <c r="M64" i="5"/>
  <c r="J67" i="5"/>
  <c r="L69" i="5"/>
  <c r="N71" i="5"/>
  <c r="K74" i="5"/>
  <c r="M76" i="5"/>
  <c r="O76" i="5" s="1"/>
  <c r="J79" i="5"/>
  <c r="L81" i="5"/>
  <c r="N83" i="5"/>
  <c r="K86" i="5"/>
  <c r="M88" i="5"/>
  <c r="J91" i="5"/>
  <c r="L93" i="5"/>
  <c r="N95" i="5"/>
  <c r="K98" i="5"/>
  <c r="M100" i="5"/>
  <c r="J103" i="5"/>
  <c r="L105" i="5"/>
  <c r="N107" i="5"/>
  <c r="K110" i="5"/>
  <c r="M112" i="5"/>
  <c r="J115" i="5"/>
  <c r="L117" i="5"/>
  <c r="N119" i="5"/>
  <c r="K122" i="5"/>
  <c r="M124" i="5"/>
  <c r="J127" i="5"/>
  <c r="L129" i="5"/>
  <c r="N131" i="5"/>
  <c r="K134" i="5"/>
  <c r="M136" i="5"/>
  <c r="J139" i="5"/>
  <c r="L141" i="5"/>
  <c r="N143" i="5"/>
  <c r="K146" i="5"/>
  <c r="M148" i="5"/>
  <c r="J151" i="5"/>
  <c r="L153" i="5"/>
  <c r="N155" i="5"/>
  <c r="K158" i="5"/>
  <c r="M160" i="5"/>
  <c r="O160" i="5" s="1"/>
  <c r="J163" i="5"/>
  <c r="L165" i="5"/>
  <c r="N167" i="5"/>
  <c r="K170" i="5"/>
  <c r="M172" i="5"/>
  <c r="J175" i="5"/>
  <c r="L177" i="5"/>
  <c r="N179" i="5"/>
  <c r="K182" i="5"/>
  <c r="M184" i="5"/>
  <c r="J187" i="5"/>
  <c r="L189" i="5"/>
  <c r="N191" i="5"/>
  <c r="K194" i="5"/>
  <c r="M196" i="5"/>
  <c r="J199" i="5"/>
  <c r="L201" i="5"/>
  <c r="N203" i="5"/>
  <c r="K206" i="5"/>
  <c r="M208" i="5"/>
  <c r="J211" i="5"/>
  <c r="L213" i="5"/>
  <c r="N215" i="5"/>
  <c r="J24" i="5"/>
  <c r="L26" i="5"/>
  <c r="N28" i="5"/>
  <c r="K31" i="5"/>
  <c r="M33" i="5"/>
  <c r="O33" i="5" s="1"/>
  <c r="J36" i="5"/>
  <c r="L38" i="5"/>
  <c r="N40" i="5"/>
  <c r="K43" i="5"/>
  <c r="M45" i="5"/>
  <c r="J48" i="5"/>
  <c r="L50" i="5"/>
  <c r="N52" i="5"/>
  <c r="K55" i="5"/>
  <c r="M57" i="5"/>
  <c r="J60" i="5"/>
  <c r="L62" i="5"/>
  <c r="N64" i="5"/>
  <c r="K67" i="5"/>
  <c r="M69" i="5"/>
  <c r="J72" i="5"/>
  <c r="L74" i="5"/>
  <c r="N76" i="5"/>
  <c r="K79" i="5"/>
  <c r="M81" i="5"/>
  <c r="J84" i="5"/>
  <c r="L86" i="5"/>
  <c r="N88" i="5"/>
  <c r="K91" i="5"/>
  <c r="M93" i="5"/>
  <c r="J96" i="5"/>
  <c r="L98" i="5"/>
  <c r="N100" i="5"/>
  <c r="K103" i="5"/>
  <c r="M105" i="5"/>
  <c r="J108" i="5"/>
  <c r="L110" i="5"/>
  <c r="N112" i="5"/>
  <c r="K115" i="5"/>
  <c r="M117" i="5"/>
  <c r="J120" i="5"/>
  <c r="L122" i="5"/>
  <c r="N124" i="5"/>
  <c r="K127" i="5"/>
  <c r="M129" i="5"/>
  <c r="J132" i="5"/>
  <c r="L134" i="5"/>
  <c r="N136" i="5"/>
  <c r="K139" i="5"/>
  <c r="M141" i="5"/>
  <c r="O141" i="5" s="1"/>
  <c r="J144" i="5"/>
  <c r="L146" i="5"/>
  <c r="N148" i="5"/>
  <c r="K151" i="5"/>
  <c r="M153" i="5"/>
  <c r="J156" i="5"/>
  <c r="L158" i="5"/>
  <c r="N160" i="5"/>
  <c r="K163" i="5"/>
  <c r="M165" i="5"/>
  <c r="J168" i="5"/>
  <c r="L170" i="5"/>
  <c r="N172" i="5"/>
  <c r="K175" i="5"/>
  <c r="M177" i="5"/>
  <c r="O177" i="5" s="1"/>
  <c r="J180" i="5"/>
  <c r="J22" i="5"/>
  <c r="L24" i="5"/>
  <c r="N26" i="5"/>
  <c r="K29" i="5"/>
  <c r="M31" i="5"/>
  <c r="J34" i="5"/>
  <c r="L36" i="5"/>
  <c r="N38" i="5"/>
  <c r="K41" i="5"/>
  <c r="M43" i="5"/>
  <c r="J46" i="5"/>
  <c r="L48" i="5"/>
  <c r="N50" i="5"/>
  <c r="K53" i="5"/>
  <c r="M55" i="5"/>
  <c r="J58" i="5"/>
  <c r="L60" i="5"/>
  <c r="N62" i="5"/>
  <c r="K65" i="5"/>
  <c r="M67" i="5"/>
  <c r="O67" i="5" s="1"/>
  <c r="J70" i="5"/>
  <c r="L72" i="5"/>
  <c r="N74" i="5"/>
  <c r="K77" i="5"/>
  <c r="M79" i="5"/>
  <c r="J82" i="5"/>
  <c r="L84" i="5"/>
  <c r="N86" i="5"/>
  <c r="K89" i="5"/>
  <c r="M91" i="5"/>
  <c r="J94" i="5"/>
  <c r="L96" i="5"/>
  <c r="N98" i="5"/>
  <c r="K101" i="5"/>
  <c r="M103" i="5"/>
  <c r="J106" i="5"/>
  <c r="L108" i="5"/>
  <c r="N110" i="5"/>
  <c r="K113" i="5"/>
  <c r="M115" i="5"/>
  <c r="J118" i="5"/>
  <c r="L120" i="5"/>
  <c r="N122" i="5"/>
  <c r="K125" i="5"/>
  <c r="M127" i="5"/>
  <c r="J130" i="5"/>
  <c r="L132" i="5"/>
  <c r="N134" i="5"/>
  <c r="K137" i="5"/>
  <c r="M139" i="5"/>
  <c r="J142" i="5"/>
  <c r="L144" i="5"/>
  <c r="N146" i="5"/>
  <c r="K149" i="5"/>
  <c r="M151" i="5"/>
  <c r="O151" i="5" s="1"/>
  <c r="J154" i="5"/>
  <c r="L156" i="5"/>
  <c r="N158" i="5"/>
  <c r="K161" i="5"/>
  <c r="M163" i="5"/>
  <c r="J166" i="5"/>
  <c r="L168" i="5"/>
  <c r="N170" i="5"/>
  <c r="K173" i="5"/>
  <c r="M175" i="5"/>
  <c r="J178" i="5"/>
  <c r="L180" i="5"/>
  <c r="N182" i="5"/>
  <c r="K185" i="5"/>
  <c r="M187" i="5"/>
  <c r="J190" i="5"/>
  <c r="L192" i="5"/>
  <c r="N194" i="5"/>
  <c r="K197" i="5"/>
  <c r="M199" i="5"/>
  <c r="J202" i="5"/>
  <c r="L204" i="5"/>
  <c r="N206" i="5"/>
  <c r="K209" i="5"/>
  <c r="M211" i="5"/>
  <c r="O211" i="5" s="1"/>
  <c r="J214" i="5"/>
  <c r="K22" i="5"/>
  <c r="M24" i="5"/>
  <c r="O24" i="5" s="1"/>
  <c r="J27" i="5"/>
  <c r="L29" i="5"/>
  <c r="N31" i="5"/>
  <c r="K34" i="5"/>
  <c r="M36" i="5"/>
  <c r="J39" i="5"/>
  <c r="L41" i="5"/>
  <c r="N43" i="5"/>
  <c r="K46" i="5"/>
  <c r="M48" i="5"/>
  <c r="J51" i="5"/>
  <c r="L53" i="5"/>
  <c r="N55" i="5"/>
  <c r="K58" i="5"/>
  <c r="M60" i="5"/>
  <c r="J63" i="5"/>
  <c r="L65" i="5"/>
  <c r="N67" i="5"/>
  <c r="K70" i="5"/>
  <c r="M72" i="5"/>
  <c r="J75" i="5"/>
  <c r="L77" i="5"/>
  <c r="N79" i="5"/>
  <c r="K82" i="5"/>
  <c r="M84" i="5"/>
  <c r="O84" i="5" s="1"/>
  <c r="J87" i="5"/>
  <c r="L89" i="5"/>
  <c r="N91" i="5"/>
  <c r="K94" i="5"/>
  <c r="M96" i="5"/>
  <c r="J99" i="5"/>
  <c r="L101" i="5"/>
  <c r="N103" i="5"/>
  <c r="K106" i="5"/>
  <c r="M108" i="5"/>
  <c r="J111" i="5"/>
  <c r="L113" i="5"/>
  <c r="N115" i="5"/>
  <c r="K118" i="5"/>
  <c r="M120" i="5"/>
  <c r="J123" i="5"/>
  <c r="L125" i="5"/>
  <c r="N127" i="5"/>
  <c r="K130" i="5"/>
  <c r="M132" i="5"/>
  <c r="O132" i="5" s="1"/>
  <c r="J135" i="5"/>
  <c r="L137" i="5"/>
  <c r="N139" i="5"/>
  <c r="K142" i="5"/>
  <c r="M144" i="5"/>
  <c r="J147" i="5"/>
  <c r="L149" i="5"/>
  <c r="N151" i="5"/>
  <c r="K154" i="5"/>
  <c r="M156" i="5"/>
  <c r="J159" i="5"/>
  <c r="L161" i="5"/>
  <c r="N163" i="5"/>
  <c r="K166" i="5"/>
  <c r="M168" i="5"/>
  <c r="J171" i="5"/>
  <c r="L173" i="5"/>
  <c r="N175" i="5"/>
  <c r="K178" i="5"/>
  <c r="M180" i="5"/>
  <c r="J183" i="5"/>
  <c r="L185" i="5"/>
  <c r="N187" i="5"/>
  <c r="K190" i="5"/>
  <c r="M192" i="5"/>
  <c r="J195" i="5"/>
  <c r="L197" i="5"/>
  <c r="N199" i="5"/>
  <c r="K202" i="5"/>
  <c r="M204" i="5"/>
  <c r="J207" i="5"/>
  <c r="L209" i="5"/>
  <c r="N211" i="5"/>
  <c r="K214" i="5"/>
  <c r="M216" i="5"/>
  <c r="K23" i="5"/>
  <c r="M25" i="5"/>
  <c r="J28" i="5"/>
  <c r="L30" i="5"/>
  <c r="N32" i="5"/>
  <c r="K35" i="5"/>
  <c r="M37" i="5"/>
  <c r="J40" i="5"/>
  <c r="L42" i="5"/>
  <c r="N44" i="5"/>
  <c r="K47" i="5"/>
  <c r="M49" i="5"/>
  <c r="J52" i="5"/>
  <c r="L54" i="5"/>
  <c r="N56" i="5"/>
  <c r="K59" i="5"/>
  <c r="M61" i="5"/>
  <c r="J64" i="5"/>
  <c r="L66" i="5"/>
  <c r="N68" i="5"/>
  <c r="K71" i="5"/>
  <c r="M73" i="5"/>
  <c r="J76" i="5"/>
  <c r="L78" i="5"/>
  <c r="N80" i="5"/>
  <c r="K83" i="5"/>
  <c r="M85" i="5"/>
  <c r="J88" i="5"/>
  <c r="L90" i="5"/>
  <c r="N92" i="5"/>
  <c r="K95" i="5"/>
  <c r="M97" i="5"/>
  <c r="J100" i="5"/>
  <c r="L102" i="5"/>
  <c r="N104" i="5"/>
  <c r="K107" i="5"/>
  <c r="M109" i="5"/>
  <c r="O109" i="5" s="1"/>
  <c r="J112" i="5"/>
  <c r="L114" i="5"/>
  <c r="N116" i="5"/>
  <c r="K119" i="5"/>
  <c r="K25" i="5"/>
  <c r="M29" i="5"/>
  <c r="K33" i="5"/>
  <c r="L37" i="5"/>
  <c r="N41" i="5"/>
  <c r="N45" i="5"/>
  <c r="N49" i="5"/>
  <c r="J54" i="5"/>
  <c r="L58" i="5"/>
  <c r="J62" i="5"/>
  <c r="K66" i="5"/>
  <c r="M70" i="5"/>
  <c r="M74" i="5"/>
  <c r="M78" i="5"/>
  <c r="N82" i="5"/>
  <c r="K87" i="5"/>
  <c r="N90" i="5"/>
  <c r="J95" i="5"/>
  <c r="L99" i="5"/>
  <c r="L103" i="5"/>
  <c r="L107" i="5"/>
  <c r="M111" i="5"/>
  <c r="J116" i="5"/>
  <c r="M119" i="5"/>
  <c r="O119" i="5" s="1"/>
  <c r="M123" i="5"/>
  <c r="N126" i="5"/>
  <c r="N130" i="5"/>
  <c r="J134" i="5"/>
  <c r="J138" i="5"/>
  <c r="K141" i="5"/>
  <c r="K145" i="5"/>
  <c r="L148" i="5"/>
  <c r="L152" i="5"/>
  <c r="M155" i="5"/>
  <c r="M159" i="5"/>
  <c r="O159" i="5" s="1"/>
  <c r="N162" i="5"/>
  <c r="N166" i="5"/>
  <c r="J170" i="5"/>
  <c r="J174" i="5"/>
  <c r="K177" i="5"/>
  <c r="K181" i="5"/>
  <c r="K184" i="5"/>
  <c r="L187" i="5"/>
  <c r="N190" i="5"/>
  <c r="N193" i="5"/>
  <c r="J197" i="5"/>
  <c r="L200" i="5"/>
  <c r="L203" i="5"/>
  <c r="M206" i="5"/>
  <c r="J210" i="5"/>
  <c r="J213" i="5"/>
  <c r="K216" i="5"/>
  <c r="N218" i="5"/>
  <c r="K221" i="5"/>
  <c r="M223" i="5"/>
  <c r="O223" i="5" s="1"/>
  <c r="J226" i="5"/>
  <c r="L228" i="5"/>
  <c r="N230" i="5"/>
  <c r="K233" i="5"/>
  <c r="M235" i="5"/>
  <c r="J238" i="5"/>
  <c r="L240" i="5"/>
  <c r="N242" i="5"/>
  <c r="K245" i="5"/>
  <c r="M247" i="5"/>
  <c r="J250" i="5"/>
  <c r="L252" i="5"/>
  <c r="N254" i="5"/>
  <c r="K257" i="5"/>
  <c r="M259" i="5"/>
  <c r="J262" i="5"/>
  <c r="L264" i="5"/>
  <c r="N266" i="5"/>
  <c r="K269" i="5"/>
  <c r="M271" i="5"/>
  <c r="J274" i="5"/>
  <c r="L276" i="5"/>
  <c r="N278" i="5"/>
  <c r="K281" i="5"/>
  <c r="M283" i="5"/>
  <c r="J286" i="5"/>
  <c r="L288" i="5"/>
  <c r="N290" i="5"/>
  <c r="L25" i="5"/>
  <c r="N29" i="5"/>
  <c r="N33" i="5"/>
  <c r="N37" i="5"/>
  <c r="J42" i="5"/>
  <c r="L46" i="5"/>
  <c r="J50" i="5"/>
  <c r="K54" i="5"/>
  <c r="M58" i="5"/>
  <c r="O58" i="5" s="1"/>
  <c r="M62" i="5"/>
  <c r="O62" i="5" s="1"/>
  <c r="M66" i="5"/>
  <c r="N70" i="5"/>
  <c r="K75" i="5"/>
  <c r="N78" i="5"/>
  <c r="J83" i="5"/>
  <c r="L87" i="5"/>
  <c r="L91" i="5"/>
  <c r="L95" i="5"/>
  <c r="M99" i="5"/>
  <c r="J104" i="5"/>
  <c r="M107" i="5"/>
  <c r="N111" i="5"/>
  <c r="K116" i="5"/>
  <c r="K120" i="5"/>
  <c r="N123" i="5"/>
  <c r="L127" i="5"/>
  <c r="J131" i="5"/>
  <c r="M134" i="5"/>
  <c r="K138" i="5"/>
  <c r="N141" i="5"/>
  <c r="L145" i="5"/>
  <c r="J149" i="5"/>
  <c r="M152" i="5"/>
  <c r="O152" i="5" s="1"/>
  <c r="K156" i="5"/>
  <c r="N159" i="5"/>
  <c r="L163" i="5"/>
  <c r="J167" i="5"/>
  <c r="M170" i="5"/>
  <c r="O170" i="5" s="1"/>
  <c r="K174" i="5"/>
  <c r="N177" i="5"/>
  <c r="L181" i="5"/>
  <c r="L184" i="5"/>
  <c r="J188" i="5"/>
  <c r="J191" i="5"/>
  <c r="J194" i="5"/>
  <c r="M197" i="5"/>
  <c r="M200" i="5"/>
  <c r="M203" i="5"/>
  <c r="O203" i="5" s="1"/>
  <c r="K207" i="5"/>
  <c r="K210" i="5"/>
  <c r="K213" i="5"/>
  <c r="L216" i="5"/>
  <c r="J219" i="5"/>
  <c r="L221" i="5"/>
  <c r="N223" i="5"/>
  <c r="K226" i="5"/>
  <c r="M228" i="5"/>
  <c r="O228" i="5" s="1"/>
  <c r="J231" i="5"/>
  <c r="L233" i="5"/>
  <c r="N235" i="5"/>
  <c r="K238" i="5"/>
  <c r="M240" i="5"/>
  <c r="J243" i="5"/>
  <c r="L245" i="5"/>
  <c r="N247" i="5"/>
  <c r="K250" i="5"/>
  <c r="M252" i="5"/>
  <c r="J255" i="5"/>
  <c r="L257" i="5"/>
  <c r="N259" i="5"/>
  <c r="K262" i="5"/>
  <c r="M264" i="5"/>
  <c r="J267" i="5"/>
  <c r="L269" i="5"/>
  <c r="N271" i="5"/>
  <c r="K274" i="5"/>
  <c r="M276" i="5"/>
  <c r="J279" i="5"/>
  <c r="L281" i="5"/>
  <c r="N283" i="5"/>
  <c r="K286" i="5"/>
  <c r="M288" i="5"/>
  <c r="N25" i="5"/>
  <c r="J30" i="5"/>
  <c r="L34" i="5"/>
  <c r="J38" i="5"/>
  <c r="K42" i="5"/>
  <c r="M46" i="5"/>
  <c r="M50" i="5"/>
  <c r="M54" i="5"/>
  <c r="N58" i="5"/>
  <c r="K63" i="5"/>
  <c r="N66" i="5"/>
  <c r="J71" i="5"/>
  <c r="L75" i="5"/>
  <c r="L79" i="5"/>
  <c r="L83" i="5"/>
  <c r="M87" i="5"/>
  <c r="J92" i="5"/>
  <c r="M95" i="5"/>
  <c r="O95" i="5" s="1"/>
  <c r="N99" i="5"/>
  <c r="K104" i="5"/>
  <c r="K108" i="5"/>
  <c r="K112" i="5"/>
  <c r="L116" i="5"/>
  <c r="N120" i="5"/>
  <c r="J124" i="5"/>
  <c r="J128" i="5"/>
  <c r="K131" i="5"/>
  <c r="K135" i="5"/>
  <c r="L138" i="5"/>
  <c r="L142" i="5"/>
  <c r="M145" i="5"/>
  <c r="M149" i="5"/>
  <c r="N152" i="5"/>
  <c r="N156" i="5"/>
  <c r="J160" i="5"/>
  <c r="J164" i="5"/>
  <c r="K167" i="5"/>
  <c r="K171" i="5"/>
  <c r="L174" i="5"/>
  <c r="L178" i="5"/>
  <c r="M181" i="5"/>
  <c r="N184" i="5"/>
  <c r="K188" i="5"/>
  <c r="K191" i="5"/>
  <c r="L194" i="5"/>
  <c r="N197" i="5"/>
  <c r="N200" i="5"/>
  <c r="J204" i="5"/>
  <c r="L207" i="5"/>
  <c r="L210" i="5"/>
  <c r="M213" i="5"/>
  <c r="N216" i="5"/>
  <c r="K219" i="5"/>
  <c r="M221" i="5"/>
  <c r="J224" i="5"/>
  <c r="L226" i="5"/>
  <c r="N228" i="5"/>
  <c r="K231" i="5"/>
  <c r="M233" i="5"/>
  <c r="J236" i="5"/>
  <c r="L238" i="5"/>
  <c r="N240" i="5"/>
  <c r="K243" i="5"/>
  <c r="M245" i="5"/>
  <c r="J248" i="5"/>
  <c r="L250" i="5"/>
  <c r="N252" i="5"/>
  <c r="K255" i="5"/>
  <c r="M257" i="5"/>
  <c r="J260" i="5"/>
  <c r="L262" i="5"/>
  <c r="N264" i="5"/>
  <c r="K267" i="5"/>
  <c r="M269" i="5"/>
  <c r="J272" i="5"/>
  <c r="L274" i="5"/>
  <c r="N276" i="5"/>
  <c r="K279" i="5"/>
  <c r="M281" i="5"/>
  <c r="J284" i="5"/>
  <c r="L286" i="5"/>
  <c r="N288" i="5"/>
  <c r="K291" i="5"/>
  <c r="L22" i="5"/>
  <c r="J26" i="5"/>
  <c r="K30" i="5"/>
  <c r="M34" i="5"/>
  <c r="M38" i="5"/>
  <c r="M42" i="5"/>
  <c r="N46" i="5"/>
  <c r="K51" i="5"/>
  <c r="N54" i="5"/>
  <c r="J59" i="5"/>
  <c r="L63" i="5"/>
  <c r="L67" i="5"/>
  <c r="L71" i="5"/>
  <c r="M75" i="5"/>
  <c r="J80" i="5"/>
  <c r="M83" i="5"/>
  <c r="N87" i="5"/>
  <c r="K92" i="5"/>
  <c r="K96" i="5"/>
  <c r="K100" i="5"/>
  <c r="L104" i="5"/>
  <c r="N108" i="5"/>
  <c r="L112" i="5"/>
  <c r="M116" i="5"/>
  <c r="J121" i="5"/>
  <c r="K124" i="5"/>
  <c r="K128" i="5"/>
  <c r="L131" i="5"/>
  <c r="L135" i="5"/>
  <c r="M138" i="5"/>
  <c r="M142" i="5"/>
  <c r="N145" i="5"/>
  <c r="N149" i="5"/>
  <c r="J153" i="5"/>
  <c r="J157" i="5"/>
  <c r="K160" i="5"/>
  <c r="K164" i="5"/>
  <c r="L167" i="5"/>
  <c r="L171" i="5"/>
  <c r="M174" i="5"/>
  <c r="M178" i="5"/>
  <c r="N181" i="5"/>
  <c r="J185" i="5"/>
  <c r="L188" i="5"/>
  <c r="L191" i="5"/>
  <c r="M194" i="5"/>
  <c r="J198" i="5"/>
  <c r="J201" i="5"/>
  <c r="K204" i="5"/>
  <c r="M207" i="5"/>
  <c r="M210" i="5"/>
  <c r="N213" i="5"/>
  <c r="J217" i="5"/>
  <c r="L219" i="5"/>
  <c r="N221" i="5"/>
  <c r="K224" i="5"/>
  <c r="M226" i="5"/>
  <c r="J229" i="5"/>
  <c r="L231" i="5"/>
  <c r="N233" i="5"/>
  <c r="K236" i="5"/>
  <c r="M238" i="5"/>
  <c r="J241" i="5"/>
  <c r="L243" i="5"/>
  <c r="N245" i="5"/>
  <c r="K248" i="5"/>
  <c r="M250" i="5"/>
  <c r="J253" i="5"/>
  <c r="L255" i="5"/>
  <c r="N257" i="5"/>
  <c r="K260" i="5"/>
  <c r="M262" i="5"/>
  <c r="J265" i="5"/>
  <c r="L267" i="5"/>
  <c r="N269" i="5"/>
  <c r="K272" i="5"/>
  <c r="M274" i="5"/>
  <c r="J277" i="5"/>
  <c r="L279" i="5"/>
  <c r="N281" i="5"/>
  <c r="K284" i="5"/>
  <c r="M286" i="5"/>
  <c r="J289" i="5"/>
  <c r="L291" i="5"/>
  <c r="M22" i="5"/>
  <c r="M26" i="5"/>
  <c r="O26" i="5" s="1"/>
  <c r="M30" i="5"/>
  <c r="O30" i="5" s="1"/>
  <c r="N34" i="5"/>
  <c r="K39" i="5"/>
  <c r="N42" i="5"/>
  <c r="J47" i="5"/>
  <c r="L51" i="5"/>
  <c r="L55" i="5"/>
  <c r="L59" i="5"/>
  <c r="M63" i="5"/>
  <c r="J68" i="5"/>
  <c r="M71" i="5"/>
  <c r="O71" i="5" s="1"/>
  <c r="N75" i="5"/>
  <c r="K80" i="5"/>
  <c r="K84" i="5"/>
  <c r="K88" i="5"/>
  <c r="L92" i="5"/>
  <c r="N96" i="5"/>
  <c r="L100" i="5"/>
  <c r="M104" i="5"/>
  <c r="J109" i="5"/>
  <c r="J113" i="5"/>
  <c r="J117" i="5"/>
  <c r="K121" i="5"/>
  <c r="L124" i="5"/>
  <c r="L128" i="5"/>
  <c r="M131" i="5"/>
  <c r="O131" i="5" s="1"/>
  <c r="M135" i="5"/>
  <c r="N138" i="5"/>
  <c r="N142" i="5"/>
  <c r="J146" i="5"/>
  <c r="J150" i="5"/>
  <c r="K153" i="5"/>
  <c r="K157" i="5"/>
  <c r="L160" i="5"/>
  <c r="L164" i="5"/>
  <c r="M167" i="5"/>
  <c r="M171" i="5"/>
  <c r="N174" i="5"/>
  <c r="N178" i="5"/>
  <c r="J182" i="5"/>
  <c r="M185" i="5"/>
  <c r="M188" i="5"/>
  <c r="M191" i="5"/>
  <c r="K195" i="5"/>
  <c r="K198" i="5"/>
  <c r="K201" i="5"/>
  <c r="N204" i="5"/>
  <c r="N207" i="5"/>
  <c r="N210" i="5"/>
  <c r="L214" i="5"/>
  <c r="K217" i="5"/>
  <c r="M219" i="5"/>
  <c r="J222" i="5"/>
  <c r="L224" i="5"/>
  <c r="N226" i="5"/>
  <c r="K229" i="5"/>
  <c r="M231" i="5"/>
  <c r="J234" i="5"/>
  <c r="L236" i="5"/>
  <c r="N238" i="5"/>
  <c r="K241" i="5"/>
  <c r="M243" i="5"/>
  <c r="J246" i="5"/>
  <c r="L248" i="5"/>
  <c r="N250" i="5"/>
  <c r="K253" i="5"/>
  <c r="M255" i="5"/>
  <c r="J258" i="5"/>
  <c r="L260" i="5"/>
  <c r="N262" i="5"/>
  <c r="K265" i="5"/>
  <c r="M267" i="5"/>
  <c r="K24" i="5"/>
  <c r="K28" i="5"/>
  <c r="L32" i="5"/>
  <c r="N36" i="5"/>
  <c r="L40" i="5"/>
  <c r="M44" i="5"/>
  <c r="O44" i="5" s="1"/>
  <c r="J49" i="5"/>
  <c r="J53" i="5"/>
  <c r="J57" i="5"/>
  <c r="K61" i="5"/>
  <c r="M65" i="5"/>
  <c r="K69" i="5"/>
  <c r="L73" i="5"/>
  <c r="N77" i="5"/>
  <c r="N81" i="5"/>
  <c r="N85" i="5"/>
  <c r="J90" i="5"/>
  <c r="L94" i="5"/>
  <c r="J98" i="5"/>
  <c r="K102" i="5"/>
  <c r="M106" i="5"/>
  <c r="M110" i="5"/>
  <c r="O110" i="5" s="1"/>
  <c r="M114" i="5"/>
  <c r="N118" i="5"/>
  <c r="M122" i="5"/>
  <c r="K126" i="5"/>
  <c r="N129" i="5"/>
  <c r="L133" i="5"/>
  <c r="J137" i="5"/>
  <c r="M140" i="5"/>
  <c r="K144" i="5"/>
  <c r="N147" i="5"/>
  <c r="L151" i="5"/>
  <c r="J155" i="5"/>
  <c r="M158" i="5"/>
  <c r="K162" i="5"/>
  <c r="N165" i="5"/>
  <c r="L169" i="5"/>
  <c r="J173" i="5"/>
  <c r="M176" i="5"/>
  <c r="K180" i="5"/>
  <c r="J29" i="5"/>
  <c r="K37" i="5"/>
  <c r="K45" i="5"/>
  <c r="N53" i="5"/>
  <c r="N61" i="5"/>
  <c r="L70" i="5"/>
  <c r="K78" i="5"/>
  <c r="M86" i="5"/>
  <c r="O86" i="5" s="1"/>
  <c r="N94" i="5"/>
  <c r="N102" i="5"/>
  <c r="L111" i="5"/>
  <c r="L119" i="5"/>
  <c r="M126" i="5"/>
  <c r="O126" i="5" s="1"/>
  <c r="N133" i="5"/>
  <c r="J141" i="5"/>
  <c r="K148" i="5"/>
  <c r="L155" i="5"/>
  <c r="M162" i="5"/>
  <c r="N169" i="5"/>
  <c r="J177" i="5"/>
  <c r="N183" i="5"/>
  <c r="M189" i="5"/>
  <c r="M195" i="5"/>
  <c r="K200" i="5"/>
  <c r="N205" i="5"/>
  <c r="J212" i="5"/>
  <c r="L217" i="5"/>
  <c r="N220" i="5"/>
  <c r="K225" i="5"/>
  <c r="M229" i="5"/>
  <c r="J233" i="5"/>
  <c r="L237" i="5"/>
  <c r="N241" i="5"/>
  <c r="K246" i="5"/>
  <c r="M249" i="5"/>
  <c r="J254" i="5"/>
  <c r="L258" i="5"/>
  <c r="N261" i="5"/>
  <c r="K266" i="5"/>
  <c r="L270" i="5"/>
  <c r="M273" i="5"/>
  <c r="M277" i="5"/>
  <c r="N280" i="5"/>
  <c r="N284" i="5"/>
  <c r="J288" i="5"/>
  <c r="N291" i="5"/>
  <c r="K294" i="5"/>
  <c r="M296" i="5"/>
  <c r="J299" i="5"/>
  <c r="L301" i="5"/>
  <c r="N303" i="5"/>
  <c r="K306" i="5"/>
  <c r="M308" i="5"/>
  <c r="J311" i="5"/>
  <c r="L313" i="5"/>
  <c r="N315" i="5"/>
  <c r="K318" i="5"/>
  <c r="M320" i="5"/>
  <c r="J323" i="5"/>
  <c r="L325" i="5"/>
  <c r="N327" i="5"/>
  <c r="K330" i="5"/>
  <c r="M332" i="5"/>
  <c r="J335" i="5"/>
  <c r="L337" i="5"/>
  <c r="N339" i="5"/>
  <c r="K342" i="5"/>
  <c r="M344" i="5"/>
  <c r="J347" i="5"/>
  <c r="L349" i="5"/>
  <c r="N351" i="5"/>
  <c r="K354" i="5"/>
  <c r="M356" i="5"/>
  <c r="J359" i="5"/>
  <c r="L361" i="5"/>
  <c r="N363" i="5"/>
  <c r="K366" i="5"/>
  <c r="M368" i="5"/>
  <c r="J371" i="5"/>
  <c r="L373" i="5"/>
  <c r="N375" i="5"/>
  <c r="K378" i="5"/>
  <c r="M380" i="5"/>
  <c r="J383" i="5"/>
  <c r="N22" i="5"/>
  <c r="N30" i="5"/>
  <c r="L39" i="5"/>
  <c r="L47" i="5"/>
  <c r="J56" i="5"/>
  <c r="N63" i="5"/>
  <c r="K72" i="5"/>
  <c r="L80" i="5"/>
  <c r="L88" i="5"/>
  <c r="J97" i="5"/>
  <c r="J105" i="5"/>
  <c r="M113" i="5"/>
  <c r="L121" i="5"/>
  <c r="M128" i="5"/>
  <c r="N135" i="5"/>
  <c r="J143" i="5"/>
  <c r="K150" i="5"/>
  <c r="L157" i="5"/>
  <c r="M164" i="5"/>
  <c r="N171" i="5"/>
  <c r="J179" i="5"/>
  <c r="J184" i="5"/>
  <c r="N189" i="5"/>
  <c r="N195" i="5"/>
  <c r="M201" i="5"/>
  <c r="J206" i="5"/>
  <c r="K212" i="5"/>
  <c r="M217" i="5"/>
  <c r="J221" i="5"/>
  <c r="L225" i="5"/>
  <c r="N229" i="5"/>
  <c r="K234" i="5"/>
  <c r="M237" i="5"/>
  <c r="J242" i="5"/>
  <c r="L246" i="5"/>
  <c r="N249" i="5"/>
  <c r="K254" i="5"/>
  <c r="M258" i="5"/>
  <c r="J263" i="5"/>
  <c r="L266" i="5"/>
  <c r="M270" i="5"/>
  <c r="N273" i="5"/>
  <c r="N277" i="5"/>
  <c r="J281" i="5"/>
  <c r="J285" i="5"/>
  <c r="K288" i="5"/>
  <c r="J292" i="5"/>
  <c r="L294" i="5"/>
  <c r="N296" i="5"/>
  <c r="K299" i="5"/>
  <c r="M301" i="5"/>
  <c r="J304" i="5"/>
  <c r="L306" i="5"/>
  <c r="N308" i="5"/>
  <c r="K311" i="5"/>
  <c r="M313" i="5"/>
  <c r="J316" i="5"/>
  <c r="L318" i="5"/>
  <c r="N320" i="5"/>
  <c r="K323" i="5"/>
  <c r="M325" i="5"/>
  <c r="J328" i="5"/>
  <c r="L330" i="5"/>
  <c r="N332" i="5"/>
  <c r="K335" i="5"/>
  <c r="M337" i="5"/>
  <c r="J340" i="5"/>
  <c r="L342" i="5"/>
  <c r="N344" i="5"/>
  <c r="K347" i="5"/>
  <c r="M349" i="5"/>
  <c r="J352" i="5"/>
  <c r="L354" i="5"/>
  <c r="N356" i="5"/>
  <c r="K359" i="5"/>
  <c r="M361" i="5"/>
  <c r="J364" i="5"/>
  <c r="L366" i="5"/>
  <c r="N368" i="5"/>
  <c r="K371" i="5"/>
  <c r="M373" i="5"/>
  <c r="J376" i="5"/>
  <c r="L378" i="5"/>
  <c r="N380" i="5"/>
  <c r="K383" i="5"/>
  <c r="J23" i="5"/>
  <c r="L31" i="5"/>
  <c r="M39" i="5"/>
  <c r="M47" i="5"/>
  <c r="O47" i="5" s="1"/>
  <c r="K56" i="5"/>
  <c r="K64" i="5"/>
  <c r="N72" i="5"/>
  <c r="M80" i="5"/>
  <c r="J89" i="5"/>
  <c r="K97" i="5"/>
  <c r="K105" i="5"/>
  <c r="N113" i="5"/>
  <c r="M121" i="5"/>
  <c r="N128" i="5"/>
  <c r="J136" i="5"/>
  <c r="K143" i="5"/>
  <c r="L150" i="5"/>
  <c r="M157" i="5"/>
  <c r="N164" i="5"/>
  <c r="J172" i="5"/>
  <c r="K179" i="5"/>
  <c r="N185" i="5"/>
  <c r="L190" i="5"/>
  <c r="J196" i="5"/>
  <c r="N201" i="5"/>
  <c r="L206" i="5"/>
  <c r="L212" i="5"/>
  <c r="N217" i="5"/>
  <c r="K222" i="5"/>
  <c r="M225" i="5"/>
  <c r="J230" i="5"/>
  <c r="L234" i="5"/>
  <c r="N237" i="5"/>
  <c r="K242" i="5"/>
  <c r="M246" i="5"/>
  <c r="J251" i="5"/>
  <c r="L254" i="5"/>
  <c r="N258" i="5"/>
  <c r="K263" i="5"/>
  <c r="M266" i="5"/>
  <c r="N270" i="5"/>
  <c r="N274" i="5"/>
  <c r="J278" i="5"/>
  <c r="J282" i="5"/>
  <c r="K285" i="5"/>
  <c r="K289" i="5"/>
  <c r="K292" i="5"/>
  <c r="M294" i="5"/>
  <c r="J297" i="5"/>
  <c r="L299" i="5"/>
  <c r="N301" i="5"/>
  <c r="K304" i="5"/>
  <c r="M306" i="5"/>
  <c r="J309" i="5"/>
  <c r="L311" i="5"/>
  <c r="N313" i="5"/>
  <c r="K316" i="5"/>
  <c r="M318" i="5"/>
  <c r="J321" i="5"/>
  <c r="L323" i="5"/>
  <c r="N325" i="5"/>
  <c r="K328" i="5"/>
  <c r="M330" i="5"/>
  <c r="J333" i="5"/>
  <c r="L335" i="5"/>
  <c r="N337" i="5"/>
  <c r="K340" i="5"/>
  <c r="M342" i="5"/>
  <c r="J345" i="5"/>
  <c r="L347" i="5"/>
  <c r="N349" i="5"/>
  <c r="K352" i="5"/>
  <c r="M354" i="5"/>
  <c r="J357" i="5"/>
  <c r="L359" i="5"/>
  <c r="N361" i="5"/>
  <c r="K364" i="5"/>
  <c r="M366" i="5"/>
  <c r="J369" i="5"/>
  <c r="L371" i="5"/>
  <c r="N373" i="5"/>
  <c r="K376" i="5"/>
  <c r="M378" i="5"/>
  <c r="J381" i="5"/>
  <c r="L23" i="5"/>
  <c r="J32" i="5"/>
  <c r="N39" i="5"/>
  <c r="K48" i="5"/>
  <c r="L56" i="5"/>
  <c r="L64" i="5"/>
  <c r="J73" i="5"/>
  <c r="J81" i="5"/>
  <c r="M89" i="5"/>
  <c r="L97" i="5"/>
  <c r="N105" i="5"/>
  <c r="J114" i="5"/>
  <c r="N121" i="5"/>
  <c r="J129" i="5"/>
  <c r="K136" i="5"/>
  <c r="L143" i="5"/>
  <c r="M150" i="5"/>
  <c r="N157" i="5"/>
  <c r="J165" i="5"/>
  <c r="K172" i="5"/>
  <c r="L179" i="5"/>
  <c r="J186" i="5"/>
  <c r="M190" i="5"/>
  <c r="K196" i="5"/>
  <c r="L202" i="5"/>
  <c r="J208" i="5"/>
  <c r="M212" i="5"/>
  <c r="J218" i="5"/>
  <c r="L222" i="5"/>
  <c r="N225" i="5"/>
  <c r="K230" i="5"/>
  <c r="M234" i="5"/>
  <c r="J239" i="5"/>
  <c r="L242" i="5"/>
  <c r="N246" i="5"/>
  <c r="K251" i="5"/>
  <c r="M254" i="5"/>
  <c r="J259" i="5"/>
  <c r="L263" i="5"/>
  <c r="N267" i="5"/>
  <c r="J271" i="5"/>
  <c r="J275" i="5"/>
  <c r="K278" i="5"/>
  <c r="K282" i="5"/>
  <c r="L285" i="5"/>
  <c r="L289" i="5"/>
  <c r="L292" i="5"/>
  <c r="N294" i="5"/>
  <c r="K297" i="5"/>
  <c r="M299" i="5"/>
  <c r="J302" i="5"/>
  <c r="L304" i="5"/>
  <c r="N306" i="5"/>
  <c r="K309" i="5"/>
  <c r="M311" i="5"/>
  <c r="J314" i="5"/>
  <c r="L316" i="5"/>
  <c r="N318" i="5"/>
  <c r="K321" i="5"/>
  <c r="M323" i="5"/>
  <c r="J326" i="5"/>
  <c r="L328" i="5"/>
  <c r="N330" i="5"/>
  <c r="K333" i="5"/>
  <c r="M335" i="5"/>
  <c r="J338" i="5"/>
  <c r="L340" i="5"/>
  <c r="N342" i="5"/>
  <c r="K345" i="5"/>
  <c r="M347" i="5"/>
  <c r="J350" i="5"/>
  <c r="L352" i="5"/>
  <c r="N354" i="5"/>
  <c r="K357" i="5"/>
  <c r="M359" i="5"/>
  <c r="J362" i="5"/>
  <c r="L364" i="5"/>
  <c r="N366" i="5"/>
  <c r="K369" i="5"/>
  <c r="M371" i="5"/>
  <c r="J374" i="5"/>
  <c r="L376" i="5"/>
  <c r="N378" i="5"/>
  <c r="K381" i="5"/>
  <c r="M383" i="5"/>
  <c r="M23" i="5"/>
  <c r="K32" i="5"/>
  <c r="K40" i="5"/>
  <c r="N48" i="5"/>
  <c r="M56" i="5"/>
  <c r="O56" i="5" s="1"/>
  <c r="J65" i="5"/>
  <c r="K73" i="5"/>
  <c r="K81" i="5"/>
  <c r="N89" i="5"/>
  <c r="N97" i="5"/>
  <c r="L106" i="5"/>
  <c r="K114" i="5"/>
  <c r="J122" i="5"/>
  <c r="K129" i="5"/>
  <c r="L136" i="5"/>
  <c r="M143" i="5"/>
  <c r="N150" i="5"/>
  <c r="J158" i="5"/>
  <c r="K165" i="5"/>
  <c r="L172" i="5"/>
  <c r="M179" i="5"/>
  <c r="O179" i="5" s="1"/>
  <c r="K186" i="5"/>
  <c r="J192" i="5"/>
  <c r="L196" i="5"/>
  <c r="M202" i="5"/>
  <c r="K208" i="5"/>
  <c r="N212" i="5"/>
  <c r="K218" i="5"/>
  <c r="M222" i="5"/>
  <c r="J227" i="5"/>
  <c r="L230" i="5"/>
  <c r="N234" i="5"/>
  <c r="K239" i="5"/>
  <c r="M242" i="5"/>
  <c r="O242" i="5" s="1"/>
  <c r="J247" i="5"/>
  <c r="L251" i="5"/>
  <c r="N255" i="5"/>
  <c r="K259" i="5"/>
  <c r="M263" i="5"/>
  <c r="J268" i="5"/>
  <c r="K271" i="5"/>
  <c r="K275" i="5"/>
  <c r="L278" i="5"/>
  <c r="L282" i="5"/>
  <c r="M285" i="5"/>
  <c r="M289" i="5"/>
  <c r="M292" i="5"/>
  <c r="J295" i="5"/>
  <c r="L297" i="5"/>
  <c r="N299" i="5"/>
  <c r="K302" i="5"/>
  <c r="M304" i="5"/>
  <c r="J307" i="5"/>
  <c r="L309" i="5"/>
  <c r="N311" i="5"/>
  <c r="K314" i="5"/>
  <c r="M316" i="5"/>
  <c r="J319" i="5"/>
  <c r="L321" i="5"/>
  <c r="N323" i="5"/>
  <c r="K326" i="5"/>
  <c r="M328" i="5"/>
  <c r="J331" i="5"/>
  <c r="L333" i="5"/>
  <c r="N335" i="5"/>
  <c r="K338" i="5"/>
  <c r="M340" i="5"/>
  <c r="O340" i="5" s="1"/>
  <c r="J343" i="5"/>
  <c r="L345" i="5"/>
  <c r="N347" i="5"/>
  <c r="K350" i="5"/>
  <c r="M352" i="5"/>
  <c r="J355" i="5"/>
  <c r="L357" i="5"/>
  <c r="N359" i="5"/>
  <c r="K362" i="5"/>
  <c r="M364" i="5"/>
  <c r="J367" i="5"/>
  <c r="L369" i="5"/>
  <c r="N371" i="5"/>
  <c r="K374" i="5"/>
  <c r="M376" i="5"/>
  <c r="J379" i="5"/>
  <c r="L381" i="5"/>
  <c r="N383" i="5"/>
  <c r="M27" i="5"/>
  <c r="M35" i="5"/>
  <c r="O35" i="5" s="1"/>
  <c r="K44" i="5"/>
  <c r="K52" i="5"/>
  <c r="N60" i="5"/>
  <c r="M68" i="5"/>
  <c r="O68" i="5" s="1"/>
  <c r="J77" i="5"/>
  <c r="K85" i="5"/>
  <c r="K93" i="5"/>
  <c r="N101" i="5"/>
  <c r="N109" i="5"/>
  <c r="L118" i="5"/>
  <c r="N125" i="5"/>
  <c r="J133" i="5"/>
  <c r="K140" i="5"/>
  <c r="L147" i="5"/>
  <c r="M154" i="5"/>
  <c r="O154" i="5" s="1"/>
  <c r="N161" i="5"/>
  <c r="J169" i="5"/>
  <c r="K176" i="5"/>
  <c r="K183" i="5"/>
  <c r="N188" i="5"/>
  <c r="L193" i="5"/>
  <c r="K199" i="5"/>
  <c r="K205" i="5"/>
  <c r="N209" i="5"/>
  <c r="L215" i="5"/>
  <c r="K220" i="5"/>
  <c r="M224" i="5"/>
  <c r="J228" i="5"/>
  <c r="L232" i="5"/>
  <c r="N236" i="5"/>
  <c r="K240" i="5"/>
  <c r="M244" i="5"/>
  <c r="J249" i="5"/>
  <c r="L253" i="5"/>
  <c r="N256" i="5"/>
  <c r="K261" i="5"/>
  <c r="M265" i="5"/>
  <c r="J269" i="5"/>
  <c r="J273" i="5"/>
  <c r="K276" i="5"/>
  <c r="K280" i="5"/>
  <c r="L283" i="5"/>
  <c r="L287" i="5"/>
  <c r="M290" i="5"/>
  <c r="M293" i="5"/>
  <c r="J296" i="5"/>
  <c r="L298" i="5"/>
  <c r="N300" i="5"/>
  <c r="K303" i="5"/>
  <c r="M305" i="5"/>
  <c r="J308" i="5"/>
  <c r="L310" i="5"/>
  <c r="N312" i="5"/>
  <c r="K315" i="5"/>
  <c r="M317" i="5"/>
  <c r="J320" i="5"/>
  <c r="L322" i="5"/>
  <c r="N324" i="5"/>
  <c r="K327" i="5"/>
  <c r="L28" i="5"/>
  <c r="J45" i="5"/>
  <c r="L61" i="5"/>
  <c r="J78" i="5"/>
  <c r="M94" i="5"/>
  <c r="O94" i="5" s="1"/>
  <c r="K111" i="5"/>
  <c r="L126" i="5"/>
  <c r="N140" i="5"/>
  <c r="K155" i="5"/>
  <c r="M169" i="5"/>
  <c r="M183" i="5"/>
  <c r="L195" i="5"/>
  <c r="M205" i="5"/>
  <c r="O205" i="5" s="1"/>
  <c r="J216" i="5"/>
  <c r="J225" i="5"/>
  <c r="N232" i="5"/>
  <c r="M241" i="5"/>
  <c r="O241" i="5" s="1"/>
  <c r="L249" i="5"/>
  <c r="K258" i="5"/>
  <c r="J266" i="5"/>
  <c r="L273" i="5"/>
  <c r="M280" i="5"/>
  <c r="N287" i="5"/>
  <c r="J294" i="5"/>
  <c r="N298" i="5"/>
  <c r="M303" i="5"/>
  <c r="O303" i="5" s="1"/>
  <c r="L308" i="5"/>
  <c r="K313" i="5"/>
  <c r="J318" i="5"/>
  <c r="N322" i="5"/>
  <c r="M327" i="5"/>
  <c r="O327" i="5" s="1"/>
  <c r="J332" i="5"/>
  <c r="L336" i="5"/>
  <c r="N340" i="5"/>
  <c r="K344" i="5"/>
  <c r="M348" i="5"/>
  <c r="O348" i="5" s="1"/>
  <c r="J353" i="5"/>
  <c r="L356" i="5"/>
  <c r="N360" i="5"/>
  <c r="K365" i="5"/>
  <c r="M369" i="5"/>
  <c r="J373" i="5"/>
  <c r="L377" i="5"/>
  <c r="N381" i="5"/>
  <c r="J385" i="5"/>
  <c r="L387" i="5"/>
  <c r="N389" i="5"/>
  <c r="K392" i="5"/>
  <c r="M394" i="5"/>
  <c r="O394" i="5" s="1"/>
  <c r="J397" i="5"/>
  <c r="L399" i="5"/>
  <c r="N401" i="5"/>
  <c r="K404" i="5"/>
  <c r="M406" i="5"/>
  <c r="J409" i="5"/>
  <c r="L411" i="5"/>
  <c r="N413" i="5"/>
  <c r="K416" i="5"/>
  <c r="M418" i="5"/>
  <c r="J421" i="5"/>
  <c r="L423" i="5"/>
  <c r="N425" i="5"/>
  <c r="K428" i="5"/>
  <c r="M430" i="5"/>
  <c r="J433" i="5"/>
  <c r="L435" i="5"/>
  <c r="N437" i="5"/>
  <c r="K440" i="5"/>
  <c r="M442" i="5"/>
  <c r="J445" i="5"/>
  <c r="L447" i="5"/>
  <c r="N449" i="5"/>
  <c r="K452" i="5"/>
  <c r="M454" i="5"/>
  <c r="J457" i="5"/>
  <c r="L459" i="5"/>
  <c r="N461" i="5"/>
  <c r="K464" i="5"/>
  <c r="M466" i="5"/>
  <c r="J469" i="5"/>
  <c r="L471" i="5"/>
  <c r="N473" i="5"/>
  <c r="M32" i="5"/>
  <c r="K49" i="5"/>
  <c r="N65" i="5"/>
  <c r="L82" i="5"/>
  <c r="M98" i="5"/>
  <c r="N114" i="5"/>
  <c r="L130" i="5"/>
  <c r="N144" i="5"/>
  <c r="K159" i="5"/>
  <c r="M173" i="5"/>
  <c r="L186" i="5"/>
  <c r="N196" i="5"/>
  <c r="L208" i="5"/>
  <c r="L218" i="5"/>
  <c r="K227" i="5"/>
  <c r="J235" i="5"/>
  <c r="N243" i="5"/>
  <c r="M251" i="5"/>
  <c r="L259" i="5"/>
  <c r="K268" i="5"/>
  <c r="L275" i="5"/>
  <c r="M282" i="5"/>
  <c r="N289" i="5"/>
  <c r="K295" i="5"/>
  <c r="J300" i="5"/>
  <c r="N304" i="5"/>
  <c r="M309" i="5"/>
  <c r="O309" i="5" s="1"/>
  <c r="L314" i="5"/>
  <c r="K319" i="5"/>
  <c r="J324" i="5"/>
  <c r="N328" i="5"/>
  <c r="K332" i="5"/>
  <c r="M336" i="5"/>
  <c r="J341" i="5"/>
  <c r="L344" i="5"/>
  <c r="N348" i="5"/>
  <c r="K353" i="5"/>
  <c r="M357" i="5"/>
  <c r="O357" i="5" s="1"/>
  <c r="J361" i="5"/>
  <c r="L365" i="5"/>
  <c r="N369" i="5"/>
  <c r="K373" i="5"/>
  <c r="M377" i="5"/>
  <c r="J382" i="5"/>
  <c r="K385" i="5"/>
  <c r="M387" i="5"/>
  <c r="J390" i="5"/>
  <c r="L392" i="5"/>
  <c r="N394" i="5"/>
  <c r="K397" i="5"/>
  <c r="M399" i="5"/>
  <c r="O399" i="5" s="1"/>
  <c r="J402" i="5"/>
  <c r="L404" i="5"/>
  <c r="N406" i="5"/>
  <c r="K409" i="5"/>
  <c r="M411" i="5"/>
  <c r="J414" i="5"/>
  <c r="L416" i="5"/>
  <c r="N418" i="5"/>
  <c r="K421" i="5"/>
  <c r="M423" i="5"/>
  <c r="J426" i="5"/>
  <c r="L428" i="5"/>
  <c r="N430" i="5"/>
  <c r="K433" i="5"/>
  <c r="M435" i="5"/>
  <c r="J438" i="5"/>
  <c r="L440" i="5"/>
  <c r="N442" i="5"/>
  <c r="K445" i="5"/>
  <c r="M447" i="5"/>
  <c r="J450" i="5"/>
  <c r="L452" i="5"/>
  <c r="N454" i="5"/>
  <c r="K457" i="5"/>
  <c r="M459" i="5"/>
  <c r="J462" i="5"/>
  <c r="L464" i="5"/>
  <c r="N466" i="5"/>
  <c r="K469" i="5"/>
  <c r="M471" i="5"/>
  <c r="J474" i="5"/>
  <c r="J33" i="5"/>
  <c r="L49" i="5"/>
  <c r="J66" i="5"/>
  <c r="M82" i="5"/>
  <c r="O82" i="5" s="1"/>
  <c r="K99" i="5"/>
  <c r="L115" i="5"/>
  <c r="M130" i="5"/>
  <c r="O130" i="5" s="1"/>
  <c r="J145" i="5"/>
  <c r="L159" i="5"/>
  <c r="N173" i="5"/>
  <c r="M186" i="5"/>
  <c r="L198" i="5"/>
  <c r="N208" i="5"/>
  <c r="M218" i="5"/>
  <c r="O218" i="5" s="1"/>
  <c r="L227" i="5"/>
  <c r="K235" i="5"/>
  <c r="J244" i="5"/>
  <c r="N251" i="5"/>
  <c r="M260" i="5"/>
  <c r="L268" i="5"/>
  <c r="M275" i="5"/>
  <c r="N282" i="5"/>
  <c r="J290" i="5"/>
  <c r="L295" i="5"/>
  <c r="K300" i="5"/>
  <c r="J305" i="5"/>
  <c r="N309" i="5"/>
  <c r="M314" i="5"/>
  <c r="O314" i="5" s="1"/>
  <c r="L319" i="5"/>
  <c r="K324" i="5"/>
  <c r="J329" i="5"/>
  <c r="L332" i="5"/>
  <c r="N336" i="5"/>
  <c r="K341" i="5"/>
  <c r="M345" i="5"/>
  <c r="J349" i="5"/>
  <c r="L353" i="5"/>
  <c r="N357" i="5"/>
  <c r="K361" i="5"/>
  <c r="M365" i="5"/>
  <c r="O365" i="5" s="1"/>
  <c r="J370" i="5"/>
  <c r="L374" i="5"/>
  <c r="N377" i="5"/>
  <c r="K382" i="5"/>
  <c r="L385" i="5"/>
  <c r="N387" i="5"/>
  <c r="K390" i="5"/>
  <c r="M392" i="5"/>
  <c r="J395" i="5"/>
  <c r="L397" i="5"/>
  <c r="N399" i="5"/>
  <c r="K402" i="5"/>
  <c r="M404" i="5"/>
  <c r="O404" i="5" s="1"/>
  <c r="J407" i="5"/>
  <c r="L409" i="5"/>
  <c r="N411" i="5"/>
  <c r="K414" i="5"/>
  <c r="M416" i="5"/>
  <c r="J419" i="5"/>
  <c r="L421" i="5"/>
  <c r="N423" i="5"/>
  <c r="K426" i="5"/>
  <c r="M428" i="5"/>
  <c r="J431" i="5"/>
  <c r="L433" i="5"/>
  <c r="N435" i="5"/>
  <c r="K438" i="5"/>
  <c r="M440" i="5"/>
  <c r="J443" i="5"/>
  <c r="L445" i="5"/>
  <c r="N447" i="5"/>
  <c r="K450" i="5"/>
  <c r="M452" i="5"/>
  <c r="J455" i="5"/>
  <c r="L457" i="5"/>
  <c r="N459" i="5"/>
  <c r="K462" i="5"/>
  <c r="M464" i="5"/>
  <c r="J467" i="5"/>
  <c r="L469" i="5"/>
  <c r="N471" i="5"/>
  <c r="K474" i="5"/>
  <c r="J35" i="5"/>
  <c r="M51" i="5"/>
  <c r="K68" i="5"/>
  <c r="N84" i="5"/>
  <c r="J101" i="5"/>
  <c r="K117" i="5"/>
  <c r="K132" i="5"/>
  <c r="M146" i="5"/>
  <c r="O146" i="5" s="1"/>
  <c r="J161" i="5"/>
  <c r="L175" i="5"/>
  <c r="N186" i="5"/>
  <c r="M198" i="5"/>
  <c r="J209" i="5"/>
  <c r="N219" i="5"/>
  <c r="M227" i="5"/>
  <c r="L235" i="5"/>
  <c r="K244" i="5"/>
  <c r="J252" i="5"/>
  <c r="N260" i="5"/>
  <c r="M268" i="5"/>
  <c r="N275" i="5"/>
  <c r="J283" i="5"/>
  <c r="K290" i="5"/>
  <c r="M295" i="5"/>
  <c r="L300" i="5"/>
  <c r="K305" i="5"/>
  <c r="J310" i="5"/>
  <c r="N314" i="5"/>
  <c r="M319" i="5"/>
  <c r="L324" i="5"/>
  <c r="K329" i="5"/>
  <c r="M333" i="5"/>
  <c r="J337" i="5"/>
  <c r="L341" i="5"/>
  <c r="N345" i="5"/>
  <c r="K349" i="5"/>
  <c r="M353" i="5"/>
  <c r="J358" i="5"/>
  <c r="L362" i="5"/>
  <c r="N365" i="5"/>
  <c r="K370" i="5"/>
  <c r="M374" i="5"/>
  <c r="O374" i="5" s="1"/>
  <c r="J378" i="5"/>
  <c r="L382" i="5"/>
  <c r="M385" i="5"/>
  <c r="J388" i="5"/>
  <c r="L390" i="5"/>
  <c r="N392" i="5"/>
  <c r="K395" i="5"/>
  <c r="M397" i="5"/>
  <c r="J400" i="5"/>
  <c r="L402" i="5"/>
  <c r="N404" i="5"/>
  <c r="K407" i="5"/>
  <c r="M409" i="5"/>
  <c r="O409" i="5" s="1"/>
  <c r="J412" i="5"/>
  <c r="L414" i="5"/>
  <c r="N416" i="5"/>
  <c r="K419" i="5"/>
  <c r="M421" i="5"/>
  <c r="J424" i="5"/>
  <c r="L426" i="5"/>
  <c r="N428" i="5"/>
  <c r="K431" i="5"/>
  <c r="M433" i="5"/>
  <c r="J436" i="5"/>
  <c r="L438" i="5"/>
  <c r="N440" i="5"/>
  <c r="K443" i="5"/>
  <c r="M445" i="5"/>
  <c r="J448" i="5"/>
  <c r="L450" i="5"/>
  <c r="N452" i="5"/>
  <c r="K455" i="5"/>
  <c r="M457" i="5"/>
  <c r="J460" i="5"/>
  <c r="L462" i="5"/>
  <c r="N464" i="5"/>
  <c r="K467" i="5"/>
  <c r="M469" i="5"/>
  <c r="J472" i="5"/>
  <c r="L474" i="5"/>
  <c r="L35" i="5"/>
  <c r="N51" i="5"/>
  <c r="L68" i="5"/>
  <c r="J85" i="5"/>
  <c r="M101" i="5"/>
  <c r="O101" i="5" s="1"/>
  <c r="N117" i="5"/>
  <c r="N132" i="5"/>
  <c r="K147" i="5"/>
  <c r="M161" i="5"/>
  <c r="J176" i="5"/>
  <c r="K187" i="5"/>
  <c r="N198" i="5"/>
  <c r="M209" i="5"/>
  <c r="J220" i="5"/>
  <c r="N227" i="5"/>
  <c r="M236" i="5"/>
  <c r="O236" i="5" s="1"/>
  <c r="L244" i="5"/>
  <c r="K252" i="5"/>
  <c r="J261" i="5"/>
  <c r="N268" i="5"/>
  <c r="J276" i="5"/>
  <c r="K283" i="5"/>
  <c r="L290" i="5"/>
  <c r="N295" i="5"/>
  <c r="M300" i="5"/>
  <c r="L305" i="5"/>
  <c r="K310" i="5"/>
  <c r="J315" i="5"/>
  <c r="N319" i="5"/>
  <c r="M324" i="5"/>
  <c r="L329" i="5"/>
  <c r="N333" i="5"/>
  <c r="K337" i="5"/>
  <c r="M341" i="5"/>
  <c r="J346" i="5"/>
  <c r="L350" i="5"/>
  <c r="N353" i="5"/>
  <c r="K358" i="5"/>
  <c r="M362" i="5"/>
  <c r="J366" i="5"/>
  <c r="L370" i="5"/>
  <c r="N374" i="5"/>
  <c r="K379" i="5"/>
  <c r="M382" i="5"/>
  <c r="O382" i="5" s="1"/>
  <c r="N385" i="5"/>
  <c r="K388" i="5"/>
  <c r="M390" i="5"/>
  <c r="J393" i="5"/>
  <c r="L395" i="5"/>
  <c r="N397" i="5"/>
  <c r="K400" i="5"/>
  <c r="M402" i="5"/>
  <c r="J405" i="5"/>
  <c r="L407" i="5"/>
  <c r="N409" i="5"/>
  <c r="K412" i="5"/>
  <c r="M414" i="5"/>
  <c r="O414" i="5" s="1"/>
  <c r="J417" i="5"/>
  <c r="L419" i="5"/>
  <c r="N421" i="5"/>
  <c r="K424" i="5"/>
  <c r="M426" i="5"/>
  <c r="J429" i="5"/>
  <c r="L431" i="5"/>
  <c r="N433" i="5"/>
  <c r="K436" i="5"/>
  <c r="M438" i="5"/>
  <c r="J441" i="5"/>
  <c r="L443" i="5"/>
  <c r="N445" i="5"/>
  <c r="K448" i="5"/>
  <c r="M450" i="5"/>
  <c r="O450" i="5" s="1"/>
  <c r="J453" i="5"/>
  <c r="L455" i="5"/>
  <c r="N457" i="5"/>
  <c r="K460" i="5"/>
  <c r="M462" i="5"/>
  <c r="J465" i="5"/>
  <c r="L467" i="5"/>
  <c r="N469" i="5"/>
  <c r="K472" i="5"/>
  <c r="M474" i="5"/>
  <c r="K27" i="5"/>
  <c r="L43" i="5"/>
  <c r="M59" i="5"/>
  <c r="K76" i="5"/>
  <c r="M92" i="5"/>
  <c r="K109" i="5"/>
  <c r="J125" i="5"/>
  <c r="L139" i="5"/>
  <c r="N153" i="5"/>
  <c r="K168" i="5"/>
  <c r="L182" i="5"/>
  <c r="J193" i="5"/>
  <c r="K203" i="5"/>
  <c r="J215" i="5"/>
  <c r="K223" i="5"/>
  <c r="J232" i="5"/>
  <c r="N239" i="5"/>
  <c r="M248" i="5"/>
  <c r="L256" i="5"/>
  <c r="K264" i="5"/>
  <c r="M272" i="5"/>
  <c r="N279" i="5"/>
  <c r="J287" i="5"/>
  <c r="K293" i="5"/>
  <c r="J298" i="5"/>
  <c r="N302" i="5"/>
  <c r="M307" i="5"/>
  <c r="L312" i="5"/>
  <c r="K317" i="5"/>
  <c r="J322" i="5"/>
  <c r="N326" i="5"/>
  <c r="L331" i="5"/>
  <c r="N334" i="5"/>
  <c r="K339" i="5"/>
  <c r="M343" i="5"/>
  <c r="O343" i="5" s="1"/>
  <c r="J348" i="5"/>
  <c r="L351" i="5"/>
  <c r="N355" i="5"/>
  <c r="K360" i="5"/>
  <c r="M363" i="5"/>
  <c r="J368" i="5"/>
  <c r="L372" i="5"/>
  <c r="N376" i="5"/>
  <c r="K380" i="5"/>
  <c r="L384" i="5"/>
  <c r="N386" i="5"/>
  <c r="K389" i="5"/>
  <c r="M391" i="5"/>
  <c r="J394" i="5"/>
  <c r="L396" i="5"/>
  <c r="N398" i="5"/>
  <c r="K401" i="5"/>
  <c r="M403" i="5"/>
  <c r="J406" i="5"/>
  <c r="L408" i="5"/>
  <c r="N410" i="5"/>
  <c r="K413" i="5"/>
  <c r="M415" i="5"/>
  <c r="J418" i="5"/>
  <c r="L420" i="5"/>
  <c r="N422" i="5"/>
  <c r="K425" i="5"/>
  <c r="M427" i="5"/>
  <c r="J430" i="5"/>
  <c r="L432" i="5"/>
  <c r="N434" i="5"/>
  <c r="K437" i="5"/>
  <c r="M439" i="5"/>
  <c r="J442" i="5"/>
  <c r="L444" i="5"/>
  <c r="N446" i="5"/>
  <c r="K449" i="5"/>
  <c r="M451" i="5"/>
  <c r="J454" i="5"/>
  <c r="L456" i="5"/>
  <c r="N458" i="5"/>
  <c r="K461" i="5"/>
  <c r="M463" i="5"/>
  <c r="J466" i="5"/>
  <c r="L468" i="5"/>
  <c r="N470" i="5"/>
  <c r="K473" i="5"/>
  <c r="J44" i="5"/>
  <c r="L76" i="5"/>
  <c r="L109" i="5"/>
  <c r="J140" i="5"/>
  <c r="N168" i="5"/>
  <c r="K193" i="5"/>
  <c r="K215" i="5"/>
  <c r="K232" i="5"/>
  <c r="N248" i="5"/>
  <c r="L265" i="5"/>
  <c r="J280" i="5"/>
  <c r="L293" i="5"/>
  <c r="J303" i="5"/>
  <c r="M312" i="5"/>
  <c r="K322" i="5"/>
  <c r="M331" i="5"/>
  <c r="O331" i="5" s="1"/>
  <c r="L339" i="5"/>
  <c r="K348" i="5"/>
  <c r="J356" i="5"/>
  <c r="N364" i="5"/>
  <c r="M372" i="5"/>
  <c r="L380" i="5"/>
  <c r="J387" i="5"/>
  <c r="N391" i="5"/>
  <c r="M396" i="5"/>
  <c r="L401" i="5"/>
  <c r="K406" i="5"/>
  <c r="J411" i="5"/>
  <c r="N415" i="5"/>
  <c r="M420" i="5"/>
  <c r="L425" i="5"/>
  <c r="K430" i="5"/>
  <c r="J435" i="5"/>
  <c r="N439" i="5"/>
  <c r="M444" i="5"/>
  <c r="L449" i="5"/>
  <c r="K454" i="5"/>
  <c r="J459" i="5"/>
  <c r="N463" i="5"/>
  <c r="M468" i="5"/>
  <c r="O468" i="5" s="1"/>
  <c r="L473" i="5"/>
  <c r="L44" i="5"/>
  <c r="M77" i="5"/>
  <c r="J110" i="5"/>
  <c r="L140" i="5"/>
  <c r="K169" i="5"/>
  <c r="M193" i="5"/>
  <c r="M215" i="5"/>
  <c r="O215" i="5" s="1"/>
  <c r="M232" i="5"/>
  <c r="K249" i="5"/>
  <c r="N265" i="5"/>
  <c r="L280" i="5"/>
  <c r="N293" i="5"/>
  <c r="L303" i="5"/>
  <c r="J313" i="5"/>
  <c r="M322" i="5"/>
  <c r="N331" i="5"/>
  <c r="M339" i="5"/>
  <c r="L348" i="5"/>
  <c r="K356" i="5"/>
  <c r="J365" i="5"/>
  <c r="N372" i="5"/>
  <c r="M381" i="5"/>
  <c r="K387" i="5"/>
  <c r="J392" i="5"/>
  <c r="N396" i="5"/>
  <c r="M401" i="5"/>
  <c r="L406" i="5"/>
  <c r="K411" i="5"/>
  <c r="J416" i="5"/>
  <c r="N420" i="5"/>
  <c r="M425" i="5"/>
  <c r="L430" i="5"/>
  <c r="K435" i="5"/>
  <c r="J440" i="5"/>
  <c r="N444" i="5"/>
  <c r="M449" i="5"/>
  <c r="O449" i="5" s="1"/>
  <c r="L454" i="5"/>
  <c r="K459" i="5"/>
  <c r="J464" i="5"/>
  <c r="N468" i="5"/>
  <c r="M473" i="5"/>
  <c r="O473" i="5" s="1"/>
  <c r="L52" i="5"/>
  <c r="L85" i="5"/>
  <c r="M118" i="5"/>
  <c r="M147" i="5"/>
  <c r="O147" i="5" s="1"/>
  <c r="L176" i="5"/>
  <c r="L199" i="5"/>
  <c r="L220" i="5"/>
  <c r="J237" i="5"/>
  <c r="M253" i="5"/>
  <c r="J270" i="5"/>
  <c r="L284" i="5"/>
  <c r="K296" i="5"/>
  <c r="N305" i="5"/>
  <c r="L315" i="5"/>
  <c r="J325" i="5"/>
  <c r="J334" i="5"/>
  <c r="N341" i="5"/>
  <c r="M350" i="5"/>
  <c r="O350" i="5" s="1"/>
  <c r="L358" i="5"/>
  <c r="K367" i="5"/>
  <c r="J375" i="5"/>
  <c r="N382" i="5"/>
  <c r="L388" i="5"/>
  <c r="K393" i="5"/>
  <c r="J398" i="5"/>
  <c r="N402" i="5"/>
  <c r="M407" i="5"/>
  <c r="L412" i="5"/>
  <c r="K417" i="5"/>
  <c r="J422" i="5"/>
  <c r="N426" i="5"/>
  <c r="M431" i="5"/>
  <c r="L436" i="5"/>
  <c r="K441" i="5"/>
  <c r="J446" i="5"/>
  <c r="N450" i="5"/>
  <c r="M455" i="5"/>
  <c r="L460" i="5"/>
  <c r="K465" i="5"/>
  <c r="J470" i="5"/>
  <c r="N474" i="5"/>
  <c r="M53" i="5"/>
  <c r="J86" i="5"/>
  <c r="J119" i="5"/>
  <c r="J148" i="5"/>
  <c r="N176" i="5"/>
  <c r="J200" i="5"/>
  <c r="M220" i="5"/>
  <c r="K237" i="5"/>
  <c r="N253" i="5"/>
  <c r="K270" i="5"/>
  <c r="M284" i="5"/>
  <c r="L296" i="5"/>
  <c r="J306" i="5"/>
  <c r="M315" i="5"/>
  <c r="K325" i="5"/>
  <c r="K334" i="5"/>
  <c r="J342" i="5"/>
  <c r="N350" i="5"/>
  <c r="M358" i="5"/>
  <c r="L367" i="5"/>
  <c r="K375" i="5"/>
  <c r="L383" i="5"/>
  <c r="M388" i="5"/>
  <c r="O388" i="5" s="1"/>
  <c r="L393" i="5"/>
  <c r="K398" i="5"/>
  <c r="J403" i="5"/>
  <c r="N407" i="5"/>
  <c r="M412" i="5"/>
  <c r="L417" i="5"/>
  <c r="K422" i="5"/>
  <c r="J427" i="5"/>
  <c r="N431" i="5"/>
  <c r="M436" i="5"/>
  <c r="L441" i="5"/>
  <c r="K446" i="5"/>
  <c r="J451" i="5"/>
  <c r="N455" i="5"/>
  <c r="M460" i="5"/>
  <c r="O460" i="5" s="1"/>
  <c r="L465" i="5"/>
  <c r="K470" i="5"/>
  <c r="N24" i="5"/>
  <c r="K57" i="5"/>
  <c r="K90" i="5"/>
  <c r="K123" i="5"/>
  <c r="J152" i="5"/>
  <c r="N180" i="5"/>
  <c r="N202" i="5"/>
  <c r="N222" i="5"/>
  <c r="L239" i="5"/>
  <c r="J256" i="5"/>
  <c r="L271" i="5"/>
  <c r="N285" i="5"/>
  <c r="M297" i="5"/>
  <c r="K307" i="5"/>
  <c r="N316" i="5"/>
  <c r="L326" i="5"/>
  <c r="L334" i="5"/>
  <c r="K343" i="5"/>
  <c r="J351" i="5"/>
  <c r="N358" i="5"/>
  <c r="M367" i="5"/>
  <c r="L375" i="5"/>
  <c r="J384" i="5"/>
  <c r="N388" i="5"/>
  <c r="M393" i="5"/>
  <c r="L398" i="5"/>
  <c r="K403" i="5"/>
  <c r="J408" i="5"/>
  <c r="N412" i="5"/>
  <c r="M417" i="5"/>
  <c r="L422" i="5"/>
  <c r="K427" i="5"/>
  <c r="J432" i="5"/>
  <c r="N436" i="5"/>
  <c r="M441" i="5"/>
  <c r="L446" i="5"/>
  <c r="K451" i="5"/>
  <c r="J456" i="5"/>
  <c r="N460" i="5"/>
  <c r="M465" i="5"/>
  <c r="L470" i="5"/>
  <c r="J37" i="5"/>
  <c r="N69" i="5"/>
  <c r="M102" i="5"/>
  <c r="M133" i="5"/>
  <c r="O133" i="5" s="1"/>
  <c r="L162" i="5"/>
  <c r="K189" i="5"/>
  <c r="L211" i="5"/>
  <c r="L229" i="5"/>
  <c r="J245" i="5"/>
  <c r="M261" i="5"/>
  <c r="O261" i="5" s="1"/>
  <c r="L277" i="5"/>
  <c r="M291" i="5"/>
  <c r="K301" i="5"/>
  <c r="N310" i="5"/>
  <c r="L320" i="5"/>
  <c r="N329" i="5"/>
  <c r="M338" i="5"/>
  <c r="L346" i="5"/>
  <c r="K355" i="5"/>
  <c r="J363" i="5"/>
  <c r="N370" i="5"/>
  <c r="M379" i="5"/>
  <c r="K386" i="5"/>
  <c r="J391" i="5"/>
  <c r="N395" i="5"/>
  <c r="M400" i="5"/>
  <c r="L405" i="5"/>
  <c r="K410" i="5"/>
  <c r="J415" i="5"/>
  <c r="N419" i="5"/>
  <c r="M424" i="5"/>
  <c r="L429" i="5"/>
  <c r="K434" i="5"/>
  <c r="J439" i="5"/>
  <c r="N443" i="5"/>
  <c r="M448" i="5"/>
  <c r="O448" i="5" s="1"/>
  <c r="L453" i="5"/>
  <c r="K458" i="5"/>
  <c r="J463" i="5"/>
  <c r="N467" i="5"/>
  <c r="M472" i="5"/>
  <c r="J69" i="5"/>
  <c r="K133" i="5"/>
  <c r="J189" i="5"/>
  <c r="K228" i="5"/>
  <c r="L261" i="5"/>
  <c r="J291" i="5"/>
  <c r="M310" i="5"/>
  <c r="M329" i="5"/>
  <c r="K346" i="5"/>
  <c r="N362" i="5"/>
  <c r="L379" i="5"/>
  <c r="N390" i="5"/>
  <c r="L400" i="5"/>
  <c r="J410" i="5"/>
  <c r="M419" i="5"/>
  <c r="K429" i="5"/>
  <c r="N438" i="5"/>
  <c r="L448" i="5"/>
  <c r="J458" i="5"/>
  <c r="M467" i="5"/>
  <c r="N73" i="5"/>
  <c r="M137" i="5"/>
  <c r="K192" i="5"/>
  <c r="M230" i="5"/>
  <c r="N263" i="5"/>
  <c r="N292" i="5"/>
  <c r="J312" i="5"/>
  <c r="J330" i="5"/>
  <c r="M346" i="5"/>
  <c r="K363" i="5"/>
  <c r="N379" i="5"/>
  <c r="K391" i="5"/>
  <c r="N400" i="5"/>
  <c r="L410" i="5"/>
  <c r="J420" i="5"/>
  <c r="M429" i="5"/>
  <c r="K439" i="5"/>
  <c r="N448" i="5"/>
  <c r="L458" i="5"/>
  <c r="J468" i="5"/>
  <c r="J74" i="5"/>
  <c r="N137" i="5"/>
  <c r="N192" i="5"/>
  <c r="N231" i="5"/>
  <c r="J264" i="5"/>
  <c r="J293" i="5"/>
  <c r="K312" i="5"/>
  <c r="K331" i="5"/>
  <c r="N346" i="5"/>
  <c r="L363" i="5"/>
  <c r="J380" i="5"/>
  <c r="L391" i="5"/>
  <c r="J401" i="5"/>
  <c r="M410" i="5"/>
  <c r="O410" i="5" s="1"/>
  <c r="K420" i="5"/>
  <c r="N429" i="5"/>
  <c r="L439" i="5"/>
  <c r="J449" i="5"/>
  <c r="M458" i="5"/>
  <c r="O458" i="5" s="1"/>
  <c r="K468" i="5"/>
  <c r="J25" i="5"/>
  <c r="M90" i="5"/>
  <c r="O90" i="5" s="1"/>
  <c r="K152" i="5"/>
  <c r="J203" i="5"/>
  <c r="M239" i="5"/>
  <c r="O239" i="5" s="1"/>
  <c r="L272" i="5"/>
  <c r="N297" i="5"/>
  <c r="J317" i="5"/>
  <c r="M334" i="5"/>
  <c r="O334" i="5" s="1"/>
  <c r="K351" i="5"/>
  <c r="N367" i="5"/>
  <c r="K384" i="5"/>
  <c r="N393" i="5"/>
  <c r="L403" i="5"/>
  <c r="J413" i="5"/>
  <c r="M422" i="5"/>
  <c r="K432" i="5"/>
  <c r="N441" i="5"/>
  <c r="L451" i="5"/>
  <c r="J461" i="5"/>
  <c r="M470" i="5"/>
  <c r="O470" i="5" s="1"/>
  <c r="L27" i="5"/>
  <c r="J93" i="5"/>
  <c r="L154" i="5"/>
  <c r="J205" i="5"/>
  <c r="J240" i="5"/>
  <c r="N272" i="5"/>
  <c r="K298" i="5"/>
  <c r="L317" i="5"/>
  <c r="J336" i="5"/>
  <c r="M351" i="5"/>
  <c r="O351" i="5" s="1"/>
  <c r="K368" i="5"/>
  <c r="M384" i="5"/>
  <c r="K394" i="5"/>
  <c r="N403" i="5"/>
  <c r="L413" i="5"/>
  <c r="J423" i="5"/>
  <c r="M432" i="5"/>
  <c r="K442" i="5"/>
  <c r="N451" i="5"/>
  <c r="L461" i="5"/>
  <c r="J471" i="5"/>
  <c r="N57" i="5"/>
  <c r="L123" i="5"/>
  <c r="J181" i="5"/>
  <c r="J223" i="5"/>
  <c r="K256" i="5"/>
  <c r="N286" i="5"/>
  <c r="L307" i="5"/>
  <c r="M326" i="5"/>
  <c r="O326" i="5" s="1"/>
  <c r="L343" i="5"/>
  <c r="J360" i="5"/>
  <c r="M375" i="5"/>
  <c r="J389" i="5"/>
  <c r="M398" i="5"/>
  <c r="K408" i="5"/>
  <c r="N417" i="5"/>
  <c r="L427" i="5"/>
  <c r="J437" i="5"/>
  <c r="M446" i="5"/>
  <c r="K456" i="5"/>
  <c r="N465" i="5"/>
  <c r="J107" i="5"/>
  <c r="N214" i="5"/>
  <c r="M279" i="5"/>
  <c r="N321" i="5"/>
  <c r="M355" i="5"/>
  <c r="M386" i="5"/>
  <c r="O386" i="5" s="1"/>
  <c r="N405" i="5"/>
  <c r="J425" i="5"/>
  <c r="K444" i="5"/>
  <c r="L463" i="5"/>
  <c r="M125" i="5"/>
  <c r="L223" i="5"/>
  <c r="K287" i="5"/>
  <c r="J327" i="5"/>
  <c r="L360" i="5"/>
  <c r="L389" i="5"/>
  <c r="M408" i="5"/>
  <c r="O408" i="5" s="1"/>
  <c r="N427" i="5"/>
  <c r="J447" i="5"/>
  <c r="K466" i="5"/>
  <c r="J126" i="5"/>
  <c r="N224" i="5"/>
  <c r="M287" i="5"/>
  <c r="L327" i="5"/>
  <c r="M360" i="5"/>
  <c r="M389" i="5"/>
  <c r="N408" i="5"/>
  <c r="J428" i="5"/>
  <c r="K447" i="5"/>
  <c r="L466" i="5"/>
  <c r="N27" i="5"/>
  <c r="N154" i="5"/>
  <c r="L241" i="5"/>
  <c r="M298" i="5"/>
  <c r="K336" i="5"/>
  <c r="L368" i="5"/>
  <c r="L394" i="5"/>
  <c r="M413" i="5"/>
  <c r="O413" i="5" s="1"/>
  <c r="N432" i="5"/>
  <c r="J452" i="5"/>
  <c r="K471" i="5"/>
  <c r="K36" i="5"/>
  <c r="J162" i="5"/>
  <c r="N244" i="5"/>
  <c r="J301" i="5"/>
  <c r="L338" i="5"/>
  <c r="M370" i="5"/>
  <c r="M395" i="5"/>
  <c r="N414" i="5"/>
  <c r="J434" i="5"/>
  <c r="K453" i="5"/>
  <c r="L472" i="5"/>
  <c r="N93" i="5"/>
  <c r="L205" i="5"/>
  <c r="K273" i="5"/>
  <c r="N317" i="5"/>
  <c r="N352" i="5"/>
  <c r="N384" i="5"/>
  <c r="J404" i="5"/>
  <c r="K423" i="5"/>
  <c r="L442" i="5"/>
  <c r="M461" i="5"/>
  <c r="L183" i="5"/>
  <c r="K308" i="5"/>
  <c r="K377" i="5"/>
  <c r="L418" i="5"/>
  <c r="N456" i="5"/>
  <c r="K211" i="5"/>
  <c r="K320" i="5"/>
  <c r="J386" i="5"/>
  <c r="L424" i="5"/>
  <c r="N462" i="5"/>
  <c r="M214" i="5"/>
  <c r="O214" i="5" s="1"/>
  <c r="M321" i="5"/>
  <c r="L386" i="5"/>
  <c r="N424" i="5"/>
  <c r="K463" i="5"/>
  <c r="J41" i="5"/>
  <c r="K247" i="5"/>
  <c r="N338" i="5"/>
  <c r="J396" i="5"/>
  <c r="L434" i="5"/>
  <c r="N472" i="5"/>
  <c r="M41" i="5"/>
  <c r="O41" i="5" s="1"/>
  <c r="L247" i="5"/>
  <c r="J339" i="5"/>
  <c r="K396" i="5"/>
  <c r="M434" i="5"/>
  <c r="O434" i="5" s="1"/>
  <c r="J473" i="5"/>
  <c r="L166" i="5"/>
  <c r="L302" i="5"/>
  <c r="J372" i="5"/>
  <c r="K415" i="5"/>
  <c r="M453" i="5"/>
  <c r="O453" i="5" s="1"/>
  <c r="M278" i="5"/>
  <c r="M405" i="5"/>
  <c r="M443" i="5"/>
  <c r="N453" i="5"/>
  <c r="M182" i="5"/>
  <c r="M302" i="5"/>
  <c r="L415" i="5"/>
  <c r="J102" i="5"/>
  <c r="N106" i="5"/>
  <c r="M456" i="5"/>
  <c r="N307" i="5"/>
  <c r="K418" i="5"/>
  <c r="J354" i="5"/>
  <c r="L355" i="5"/>
  <c r="K60" i="5"/>
  <c r="N343" i="5"/>
  <c r="L437" i="5"/>
  <c r="J444" i="5"/>
  <c r="K372" i="5"/>
  <c r="J61" i="5"/>
  <c r="J344" i="5"/>
  <c r="M437" i="5"/>
  <c r="O437" i="5" s="1"/>
  <c r="M166" i="5"/>
  <c r="O166" i="5" s="1"/>
  <c r="J377" i="5"/>
  <c r="M256" i="5"/>
  <c r="J399" i="5"/>
  <c r="J257" i="5"/>
  <c r="K399" i="5"/>
  <c r="K277" i="5"/>
  <c r="K405" i="5"/>
  <c r="C7" i="8"/>
  <c r="D7" i="8"/>
  <c r="C8" i="8"/>
  <c r="D8" i="8"/>
  <c r="C9" i="8"/>
  <c r="D9" i="8"/>
  <c r="J22" i="1"/>
  <c r="D15" i="1"/>
  <c r="G9" i="1"/>
  <c r="C25" i="1"/>
  <c r="J24" i="1"/>
  <c r="E18" i="1"/>
  <c r="K12" i="1"/>
  <c r="C29" i="1"/>
  <c r="G17" i="1"/>
  <c r="B17" i="1"/>
  <c r="E16" i="1"/>
  <c r="C26" i="1"/>
  <c r="C14" i="1"/>
  <c r="B23" i="1"/>
  <c r="D20" i="1"/>
  <c r="G26" i="1"/>
  <c r="J28" i="1"/>
  <c r="I17" i="1"/>
  <c r="C13" i="1"/>
  <c r="F14" i="1"/>
  <c r="K13" i="1"/>
  <c r="G22" i="1"/>
  <c r="C16" i="1"/>
  <c r="A16" i="1"/>
  <c r="H27" i="1"/>
  <c r="H17" i="1"/>
  <c r="D29" i="1"/>
  <c r="F16" i="1"/>
  <c r="C17" i="1"/>
  <c r="F23" i="1"/>
  <c r="B25" i="1"/>
  <c r="C19" i="1"/>
  <c r="B20" i="1"/>
  <c r="E28" i="1"/>
  <c r="J18" i="1"/>
  <c r="I27" i="1"/>
  <c r="J13" i="1"/>
  <c r="E11" i="1"/>
  <c r="I18" i="1"/>
  <c r="D23" i="1"/>
  <c r="K10" i="1"/>
  <c r="B18" i="1"/>
  <c r="B27" i="1"/>
  <c r="F20" i="1"/>
  <c r="D12" i="1"/>
  <c r="J29" i="1"/>
  <c r="K18" i="1"/>
  <c r="I28" i="1"/>
  <c r="H25" i="1"/>
  <c r="E27" i="1"/>
  <c r="K26" i="1"/>
  <c r="B11" i="1"/>
  <c r="A15" i="1"/>
  <c r="G18" i="1"/>
  <c r="I19" i="1"/>
  <c r="A17" i="1"/>
  <c r="K28" i="1"/>
  <c r="K21" i="1"/>
  <c r="I8" i="1"/>
  <c r="H14" i="1"/>
  <c r="J15" i="1"/>
  <c r="D10" i="1"/>
  <c r="K8" i="1"/>
  <c r="C22" i="1"/>
  <c r="F11" i="1"/>
  <c r="C18" i="1"/>
  <c r="J27" i="1"/>
  <c r="H20" i="1"/>
  <c r="F19" i="1"/>
  <c r="I16" i="1"/>
  <c r="C10" i="1"/>
  <c r="C28" i="1"/>
  <c r="D22" i="1"/>
  <c r="H9" i="1"/>
  <c r="A27" i="1"/>
  <c r="I11" i="1"/>
  <c r="G20" i="1"/>
  <c r="G8" i="1"/>
  <c r="G15" i="1"/>
  <c r="G25" i="1"/>
  <c r="G24" i="1"/>
  <c r="E26" i="1"/>
  <c r="J12" i="1"/>
  <c r="B29" i="1"/>
  <c r="D13" i="1"/>
  <c r="J14" i="1"/>
  <c r="K25" i="1"/>
  <c r="G16" i="1"/>
  <c r="I10" i="1"/>
  <c r="F26" i="1"/>
  <c r="E17" i="1"/>
  <c r="C9" i="1"/>
  <c r="G29" i="1"/>
  <c r="A20" i="1"/>
  <c r="G11" i="1"/>
  <c r="F18" i="1"/>
  <c r="K27" i="1"/>
  <c r="K9" i="1"/>
  <c r="K17" i="1"/>
  <c r="F21" i="1"/>
  <c r="B21" i="1"/>
  <c r="J11" i="1"/>
  <c r="J19" i="1"/>
  <c r="A18" i="1"/>
  <c r="B16" i="1"/>
  <c r="F25" i="1"/>
  <c r="I15" i="1"/>
  <c r="E21" i="1"/>
  <c r="I21" i="1"/>
  <c r="G27" i="1"/>
  <c r="G10" i="1"/>
  <c r="I26" i="1"/>
  <c r="H29" i="1"/>
  <c r="G12" i="1"/>
  <c r="G23" i="1"/>
  <c r="C11" i="1"/>
  <c r="I12" i="1"/>
  <c r="G28" i="1"/>
  <c r="E19" i="1"/>
  <c r="B8" i="1"/>
  <c r="F28" i="1"/>
  <c r="D11" i="1"/>
  <c r="A13" i="1"/>
  <c r="H19" i="1"/>
  <c r="B28" i="1"/>
  <c r="D24" i="1"/>
  <c r="K11" i="1"/>
  <c r="D26" i="1"/>
  <c r="E29" i="1"/>
  <c r="G19" i="1"/>
  <c r="J16" i="1"/>
  <c r="E8" i="1"/>
  <c r="I23" i="1"/>
  <c r="B9" i="1"/>
  <c r="E10" i="1"/>
  <c r="D21" i="1"/>
  <c r="F13" i="1"/>
  <c r="I14" i="1"/>
  <c r="F15" i="1"/>
  <c r="K22" i="1"/>
  <c r="E25" i="1"/>
  <c r="A23" i="1"/>
  <c r="A8" i="1"/>
  <c r="B13" i="1"/>
  <c r="C20" i="1"/>
  <c r="K29" i="1"/>
  <c r="F7" i="5"/>
  <c r="F42" i="5"/>
  <c r="C29" i="2"/>
  <c r="F40" i="2"/>
  <c r="F63" i="2"/>
  <c r="D6" i="2" a="1"/>
  <c r="B6" i="2" a="1"/>
  <c r="C50" i="2"/>
  <c r="M56" i="1" a="1"/>
  <c r="C37" i="5"/>
  <c r="F29" i="2"/>
  <c r="H16" i="8" a="1"/>
  <c r="D31" i="1"/>
  <c r="L37" i="1" a="1"/>
  <c r="G50" i="10" l="1"/>
  <c r="O46" i="1"/>
  <c r="L44" i="1"/>
  <c r="N42" i="1"/>
  <c r="N44" i="1"/>
  <c r="L41" i="1"/>
  <c r="O44" i="1"/>
  <c r="O43" i="1"/>
  <c r="M44" i="1"/>
  <c r="L38" i="1"/>
  <c r="M43" i="1"/>
  <c r="M40" i="1"/>
  <c r="O42" i="1"/>
  <c r="N45" i="1"/>
  <c r="N46" i="1"/>
  <c r="O40" i="1"/>
  <c r="O37" i="1"/>
  <c r="O38" i="1"/>
  <c r="L37" i="1"/>
  <c r="N40" i="1"/>
  <c r="M45" i="1"/>
  <c r="N39" i="1"/>
  <c r="N43" i="1"/>
  <c r="L40" i="1"/>
  <c r="M42" i="1"/>
  <c r="N37" i="1"/>
  <c r="M37" i="1"/>
  <c r="M46" i="1"/>
  <c r="L42" i="1"/>
  <c r="M41" i="1"/>
  <c r="M39" i="1"/>
  <c r="L45" i="1"/>
  <c r="N41" i="1"/>
  <c r="O39" i="1"/>
  <c r="L39" i="1"/>
  <c r="O45" i="1"/>
  <c r="N38" i="1"/>
  <c r="M38" i="1"/>
  <c r="L43" i="1"/>
  <c r="L46" i="1"/>
  <c r="O41" i="1"/>
  <c r="H17" i="8"/>
  <c r="H18" i="8"/>
  <c r="H23" i="8"/>
  <c r="H19" i="8"/>
  <c r="H20" i="8"/>
  <c r="H24" i="8"/>
  <c r="H16" i="8"/>
  <c r="H21" i="8"/>
  <c r="H22" i="8"/>
  <c r="C61" i="2"/>
  <c r="C72" i="2"/>
  <c r="C80" i="2"/>
  <c r="C57" i="2"/>
  <c r="F72" i="2"/>
  <c r="B9" i="2"/>
  <c r="N24" i="1" s="1"/>
  <c r="C11" i="2"/>
  <c r="C9" i="2"/>
  <c r="B10" i="2"/>
  <c r="C10" i="2"/>
  <c r="C6" i="2"/>
  <c r="C7" i="2"/>
  <c r="B8" i="2"/>
  <c r="C8" i="2"/>
  <c r="B11" i="2"/>
  <c r="B6" i="2"/>
  <c r="B7" i="2"/>
  <c r="D8" i="2"/>
  <c r="E6" i="2"/>
  <c r="D7" i="2"/>
  <c r="D9" i="2"/>
  <c r="E8" i="2"/>
  <c r="D6" i="2"/>
  <c r="E9" i="2"/>
  <c r="E7" i="2"/>
  <c r="C63" i="2"/>
  <c r="O230" i="5"/>
  <c r="O472" i="5"/>
  <c r="O338" i="5"/>
  <c r="O315" i="5"/>
  <c r="O307" i="5"/>
  <c r="O59" i="5"/>
  <c r="O275" i="5"/>
  <c r="O377" i="5"/>
  <c r="O369" i="5"/>
  <c r="O371" i="5"/>
  <c r="O234" i="5"/>
  <c r="O373" i="5"/>
  <c r="O237" i="5"/>
  <c r="O243" i="5"/>
  <c r="O83" i="5"/>
  <c r="O235" i="5"/>
  <c r="O70" i="5"/>
  <c r="O102" i="5"/>
  <c r="O167" i="5"/>
  <c r="O407" i="5"/>
  <c r="O396" i="5"/>
  <c r="O263" i="5"/>
  <c r="O266" i="5"/>
  <c r="O283" i="5"/>
  <c r="O216" i="5"/>
  <c r="O81" i="5"/>
  <c r="O291" i="5"/>
  <c r="O312" i="5"/>
  <c r="O391" i="5"/>
  <c r="O469" i="5"/>
  <c r="O333" i="5"/>
  <c r="O268" i="5"/>
  <c r="O464" i="5"/>
  <c r="O459" i="5"/>
  <c r="O454" i="5"/>
  <c r="O304" i="5"/>
  <c r="O65" i="5"/>
  <c r="O288" i="5"/>
  <c r="O197" i="5"/>
  <c r="O192" i="5"/>
  <c r="O127" i="5"/>
  <c r="O57" i="5"/>
  <c r="O136" i="5"/>
  <c r="O465" i="5"/>
  <c r="O272" i="5"/>
  <c r="O438" i="5"/>
  <c r="O433" i="5"/>
  <c r="O319" i="5"/>
  <c r="O428" i="5"/>
  <c r="O423" i="5"/>
  <c r="O418" i="5"/>
  <c r="O194" i="5"/>
  <c r="O252" i="5"/>
  <c r="O99" i="5"/>
  <c r="O91" i="5"/>
  <c r="O100" i="5"/>
  <c r="O346" i="5"/>
  <c r="O50" i="5"/>
  <c r="O419" i="5"/>
  <c r="O322" i="5"/>
  <c r="O92" i="5"/>
  <c r="O265" i="5"/>
  <c r="O368" i="5"/>
  <c r="O162" i="5"/>
  <c r="O355" i="5"/>
  <c r="O165" i="5"/>
  <c r="O358" i="5"/>
  <c r="O280" i="5"/>
  <c r="O169" i="5"/>
  <c r="O143" i="5"/>
  <c r="O118" i="5"/>
  <c r="O116" i="5"/>
  <c r="O23" i="5"/>
  <c r="O422" i="5"/>
  <c r="O284" i="5"/>
  <c r="O341" i="5"/>
  <c r="O337" i="5"/>
  <c r="O229" i="5"/>
  <c r="O455" i="5"/>
  <c r="O360" i="5"/>
  <c r="O463" i="5"/>
  <c r="O474" i="5"/>
  <c r="O335" i="5"/>
  <c r="O277" i="5"/>
  <c r="O114" i="5"/>
  <c r="O329" i="5"/>
  <c r="O72" i="5"/>
  <c r="O444" i="5"/>
  <c r="O362" i="5"/>
  <c r="D32" i="1"/>
  <c r="O384" i="5"/>
  <c r="O150" i="5"/>
  <c r="O158" i="5"/>
  <c r="O25" i="5"/>
  <c r="O467" i="5"/>
  <c r="O232" i="5"/>
  <c r="O161" i="5"/>
  <c r="O302" i="5"/>
  <c r="O370" i="5"/>
  <c r="O274" i="5"/>
  <c r="O79" i="5"/>
  <c r="O88" i="5"/>
  <c r="P58" i="1"/>
  <c r="M57" i="1"/>
  <c r="M56" i="1"/>
  <c r="N56" i="1"/>
  <c r="N59" i="1"/>
  <c r="P59" i="1"/>
  <c r="N57" i="1"/>
  <c r="O57" i="1"/>
  <c r="M59" i="1"/>
  <c r="P57" i="1"/>
  <c r="O56" i="1"/>
  <c r="P56" i="1"/>
  <c r="O59" i="1"/>
  <c r="N58" i="1"/>
  <c r="O58" i="1"/>
  <c r="M58" i="1"/>
  <c r="O298" i="5"/>
  <c r="O446" i="5"/>
  <c r="O429" i="5"/>
  <c r="O427" i="5"/>
  <c r="O300" i="5"/>
  <c r="O209" i="5"/>
  <c r="O342" i="5"/>
  <c r="O80" i="5"/>
  <c r="O174" i="5"/>
  <c r="O34" i="5"/>
  <c r="O213" i="5"/>
  <c r="O61" i="5"/>
  <c r="O163" i="5"/>
  <c r="O93" i="5"/>
  <c r="O172" i="5"/>
  <c r="O28" i="5"/>
  <c r="O367" i="5"/>
  <c r="O53" i="5"/>
  <c r="O445" i="5"/>
  <c r="O440" i="5"/>
  <c r="O435" i="5"/>
  <c r="O251" i="5"/>
  <c r="O430" i="5"/>
  <c r="O224" i="5"/>
  <c r="O311" i="5"/>
  <c r="O313" i="5"/>
  <c r="O344" i="5"/>
  <c r="O122" i="5"/>
  <c r="O171" i="5"/>
  <c r="O210" i="5"/>
  <c r="O269" i="5"/>
  <c r="O264" i="5"/>
  <c r="O168" i="5"/>
  <c r="O103" i="5"/>
  <c r="O112" i="5"/>
  <c r="O456" i="5"/>
  <c r="O137" i="5"/>
  <c r="O381" i="5"/>
  <c r="O451" i="5"/>
  <c r="O390" i="5"/>
  <c r="O385" i="5"/>
  <c r="O260" i="5"/>
  <c r="O98" i="5"/>
  <c r="O305" i="5"/>
  <c r="O364" i="5"/>
  <c r="O222" i="5"/>
  <c r="O366" i="5"/>
  <c r="O225" i="5"/>
  <c r="O157" i="5"/>
  <c r="O164" i="5"/>
  <c r="O267" i="5"/>
  <c r="O238" i="5"/>
  <c r="O207" i="5"/>
  <c r="O75" i="5"/>
  <c r="O200" i="5"/>
  <c r="O66" i="5"/>
  <c r="O259" i="5"/>
  <c r="O155" i="5"/>
  <c r="O111" i="5"/>
  <c r="O85" i="5"/>
  <c r="O108" i="5"/>
  <c r="O187" i="5"/>
  <c r="O43" i="5"/>
  <c r="O117" i="5"/>
  <c r="O196" i="5"/>
  <c r="O52" i="5"/>
  <c r="O308" i="5"/>
  <c r="O310" i="5"/>
  <c r="O436" i="5"/>
  <c r="O425" i="5"/>
  <c r="O361" i="5"/>
  <c r="O231" i="5"/>
  <c r="O63" i="5"/>
  <c r="O193" i="5"/>
  <c r="O202" i="5"/>
  <c r="O182" i="5"/>
  <c r="O279" i="5"/>
  <c r="O375" i="5"/>
  <c r="O379" i="5"/>
  <c r="O220" i="5"/>
  <c r="O339" i="5"/>
  <c r="O439" i="5"/>
  <c r="O324" i="5"/>
  <c r="O293" i="5"/>
  <c r="O352" i="5"/>
  <c r="O383" i="5"/>
  <c r="O254" i="5"/>
  <c r="O354" i="5"/>
  <c r="O121" i="5"/>
  <c r="O258" i="5"/>
  <c r="O128" i="5"/>
  <c r="O255" i="5"/>
  <c r="O191" i="5"/>
  <c r="O104" i="5"/>
  <c r="O226" i="5"/>
  <c r="O149" i="5"/>
  <c r="O54" i="5"/>
  <c r="O247" i="5"/>
  <c r="O73" i="5"/>
  <c r="O96" i="5"/>
  <c r="O175" i="5"/>
  <c r="O31" i="5"/>
  <c r="O105" i="5"/>
  <c r="O184" i="5"/>
  <c r="O40" i="5"/>
  <c r="O270" i="5"/>
  <c r="O328" i="5"/>
  <c r="O359" i="5"/>
  <c r="O32" i="5"/>
  <c r="O299" i="5"/>
  <c r="O332" i="5"/>
  <c r="O286" i="5"/>
  <c r="O321" i="5"/>
  <c r="O461" i="5"/>
  <c r="O389" i="5"/>
  <c r="O372" i="5"/>
  <c r="O462" i="5"/>
  <c r="O457" i="5"/>
  <c r="O227" i="5"/>
  <c r="O452" i="5"/>
  <c r="O447" i="5"/>
  <c r="O442" i="5"/>
  <c r="O290" i="5"/>
  <c r="O244" i="5"/>
  <c r="O292" i="5"/>
  <c r="O323" i="5"/>
  <c r="O294" i="5"/>
  <c r="O325" i="5"/>
  <c r="O201" i="5"/>
  <c r="O356" i="5"/>
  <c r="O140" i="5"/>
  <c r="O188" i="5"/>
  <c r="O281" i="5"/>
  <c r="O145" i="5"/>
  <c r="O276" i="5"/>
  <c r="O180" i="5"/>
  <c r="O36" i="5"/>
  <c r="O115" i="5"/>
  <c r="O45" i="5"/>
  <c r="O124" i="5"/>
  <c r="H56" i="1" a="1"/>
  <c r="O400" i="5"/>
  <c r="O417" i="5"/>
  <c r="O273" i="5"/>
  <c r="O107" i="5"/>
  <c r="O398" i="5"/>
  <c r="O212" i="5"/>
  <c r="O217" i="5"/>
  <c r="O301" i="5"/>
  <c r="O443" i="5"/>
  <c r="O393" i="5"/>
  <c r="O297" i="5"/>
  <c r="O248" i="5"/>
  <c r="O402" i="5"/>
  <c r="O397" i="5"/>
  <c r="O51" i="5"/>
  <c r="O392" i="5"/>
  <c r="O387" i="5"/>
  <c r="O282" i="5"/>
  <c r="O173" i="5"/>
  <c r="O317" i="5"/>
  <c r="O376" i="5"/>
  <c r="O289" i="5"/>
  <c r="O190" i="5"/>
  <c r="O378" i="5"/>
  <c r="O246" i="5"/>
  <c r="O113" i="5"/>
  <c r="O296" i="5"/>
  <c r="O185" i="5"/>
  <c r="O250" i="5"/>
  <c r="O142" i="5"/>
  <c r="O221" i="5"/>
  <c r="O46" i="5"/>
  <c r="O134" i="5"/>
  <c r="O271" i="5"/>
  <c r="O97" i="5"/>
  <c r="O120" i="5"/>
  <c r="O199" i="5"/>
  <c r="O55" i="5"/>
  <c r="O129" i="5"/>
  <c r="O208" i="5"/>
  <c r="O64" i="5"/>
  <c r="C76" i="2"/>
  <c r="F76" i="2"/>
  <c r="O262" i="5"/>
  <c r="O233" i="5"/>
  <c r="O415" i="5"/>
  <c r="O27" i="5"/>
  <c r="O330" i="5"/>
  <c r="O106" i="5"/>
  <c r="O49" i="5"/>
  <c r="O183" i="5"/>
  <c r="O405" i="5"/>
  <c r="O395" i="5"/>
  <c r="O432" i="5"/>
  <c r="O424" i="5"/>
  <c r="O412" i="5"/>
  <c r="O253" i="5"/>
  <c r="O401" i="5"/>
  <c r="O77" i="5"/>
  <c r="O403" i="5"/>
  <c r="O353" i="5"/>
  <c r="O345" i="5"/>
  <c r="O186" i="5"/>
  <c r="O471" i="5"/>
  <c r="O336" i="5"/>
  <c r="O466" i="5"/>
  <c r="O316" i="5"/>
  <c r="O285" i="5"/>
  <c r="O347" i="5"/>
  <c r="O318" i="5"/>
  <c r="O349" i="5"/>
  <c r="O380" i="5"/>
  <c r="O249" i="5"/>
  <c r="O195" i="5"/>
  <c r="O176" i="5"/>
  <c r="O219" i="5"/>
  <c r="O138" i="5"/>
  <c r="O42" i="5"/>
  <c r="O181" i="5"/>
  <c r="O78" i="5"/>
  <c r="O29" i="5"/>
  <c r="O37" i="5"/>
  <c r="O204" i="5"/>
  <c r="O60" i="5"/>
  <c r="O139" i="5"/>
  <c r="O69" i="5"/>
  <c r="O148" i="5"/>
  <c r="O306" i="5"/>
  <c r="O48" i="5"/>
  <c r="F74" i="2"/>
  <c r="C33" i="2"/>
  <c r="C14" i="2"/>
  <c r="C74" i="2"/>
  <c r="O39" i="5"/>
  <c r="O257" i="5"/>
  <c r="O156" i="5"/>
  <c r="O256" i="5"/>
  <c r="O278" i="5"/>
  <c r="O287" i="5"/>
  <c r="O125" i="5"/>
  <c r="O441" i="5"/>
  <c r="O431" i="5"/>
  <c r="O420" i="5"/>
  <c r="O363" i="5"/>
  <c r="O426" i="5"/>
  <c r="O421" i="5"/>
  <c r="O295" i="5"/>
  <c r="O198" i="5"/>
  <c r="O416" i="5"/>
  <c r="O411" i="5"/>
  <c r="O406" i="5"/>
  <c r="O89" i="5"/>
  <c r="O320" i="5"/>
  <c r="O189" i="5"/>
  <c r="O135" i="5"/>
  <c r="O178" i="5"/>
  <c r="O38" i="5"/>
  <c r="O245" i="5"/>
  <c r="O87" i="5"/>
  <c r="O240" i="5"/>
  <c r="O206" i="5"/>
  <c r="O123" i="5"/>
  <c r="O74" i="5"/>
  <c r="O144" i="5"/>
  <c r="O153" i="5"/>
  <c r="C66" i="2"/>
  <c r="F77" i="2"/>
  <c r="C81" i="2" a="1"/>
  <c r="J38" i="2" a="1"/>
  <c r="J3" i="2" a="1"/>
  <c r="N28" i="1"/>
  <c r="G51" i="10" l="1"/>
  <c r="J16" i="2"/>
  <c r="J10" i="2"/>
  <c r="J26" i="2"/>
  <c r="L21" i="2"/>
  <c r="J27" i="2"/>
  <c r="L3" i="2"/>
  <c r="K29" i="2"/>
  <c r="K24" i="2"/>
  <c r="J20" i="2"/>
  <c r="L15" i="2"/>
  <c r="L30" i="2"/>
  <c r="L26" i="2"/>
  <c r="K31" i="2"/>
  <c r="J9" i="2"/>
  <c r="L33" i="2"/>
  <c r="J33" i="2"/>
  <c r="J24" i="2"/>
  <c r="J21" i="2"/>
  <c r="J7" i="2"/>
  <c r="J31" i="2"/>
  <c r="L17" i="2"/>
  <c r="J14" i="2"/>
  <c r="L4" i="2"/>
  <c r="J3" i="2"/>
  <c r="K6" i="2"/>
  <c r="L25" i="2"/>
  <c r="J23" i="2"/>
  <c r="L12" i="2"/>
  <c r="J13" i="2"/>
  <c r="L19" i="2"/>
  <c r="L9" i="2"/>
  <c r="L8" i="2"/>
  <c r="K3" i="2"/>
  <c r="K10" i="2"/>
  <c r="J30" i="2"/>
  <c r="J32" i="2"/>
  <c r="L27" i="2"/>
  <c r="K13" i="2"/>
  <c r="L24" i="2"/>
  <c r="J15" i="2"/>
  <c r="K15" i="2"/>
  <c r="K22" i="2"/>
  <c r="L23" i="2"/>
  <c r="L18" i="2"/>
  <c r="K28" i="2"/>
  <c r="K17" i="2"/>
  <c r="K4" i="2"/>
  <c r="L29" i="2"/>
  <c r="K7" i="2"/>
  <c r="L34" i="2"/>
  <c r="K32" i="2"/>
  <c r="J29" i="2"/>
  <c r="K11" i="2"/>
  <c r="J18" i="2"/>
  <c r="K8" i="2"/>
  <c r="K33" i="2"/>
  <c r="K19" i="2"/>
  <c r="K5" i="2"/>
  <c r="J6" i="2"/>
  <c r="K9" i="2"/>
  <c r="J4" i="2"/>
  <c r="L10" i="2"/>
  <c r="L11" i="2"/>
  <c r="L14" i="2"/>
  <c r="J8" i="2"/>
  <c r="K16" i="2"/>
  <c r="J17" i="2"/>
  <c r="K20" i="2"/>
  <c r="K18" i="2"/>
  <c r="J28" i="2"/>
  <c r="K12" i="2"/>
  <c r="K25" i="2"/>
  <c r="K30" i="2"/>
  <c r="K27" i="2"/>
  <c r="K34" i="2"/>
  <c r="L31" i="2"/>
  <c r="J5" i="2"/>
  <c r="K23" i="2"/>
  <c r="K21" i="2"/>
  <c r="J25" i="2"/>
  <c r="L7" i="2"/>
  <c r="L20" i="2"/>
  <c r="J11" i="2"/>
  <c r="L28" i="2"/>
  <c r="L5" i="2"/>
  <c r="L16" i="2"/>
  <c r="J22" i="2"/>
  <c r="L6" i="2"/>
  <c r="J34" i="2"/>
  <c r="L22" i="2"/>
  <c r="J19" i="2"/>
  <c r="J12" i="2"/>
  <c r="K14" i="2"/>
  <c r="K26" i="2"/>
  <c r="L32" i="2"/>
  <c r="L13" i="2"/>
  <c r="M41" i="2"/>
  <c r="L70" i="2"/>
  <c r="K99" i="2"/>
  <c r="J128" i="2"/>
  <c r="J61" i="2"/>
  <c r="N89" i="2"/>
  <c r="M118" i="2"/>
  <c r="M51" i="2"/>
  <c r="O51" i="2" s="1"/>
  <c r="L80" i="2"/>
  <c r="K109" i="2"/>
  <c r="K42" i="2"/>
  <c r="J71" i="2"/>
  <c r="N99" i="2"/>
  <c r="L54" i="2"/>
  <c r="K83" i="2"/>
  <c r="J112" i="2"/>
  <c r="L43" i="2"/>
  <c r="K72" i="2"/>
  <c r="J101" i="2"/>
  <c r="N129" i="2"/>
  <c r="M158" i="2"/>
  <c r="K79" i="2"/>
  <c r="N133" i="2"/>
  <c r="K165" i="2"/>
  <c r="K194" i="2"/>
  <c r="J223" i="2"/>
  <c r="N251" i="2"/>
  <c r="M280" i="2"/>
  <c r="L309" i="2"/>
  <c r="K338" i="2"/>
  <c r="M55" i="2"/>
  <c r="K113" i="2"/>
  <c r="L152" i="2"/>
  <c r="L182" i="2"/>
  <c r="J44" i="2"/>
  <c r="N72" i="2"/>
  <c r="M101" i="2"/>
  <c r="L130" i="2"/>
  <c r="L63" i="2"/>
  <c r="K92" i="2"/>
  <c r="J121" i="2"/>
  <c r="J54" i="2"/>
  <c r="N82" i="2"/>
  <c r="M111" i="2"/>
  <c r="M44" i="2"/>
  <c r="O44" i="2" s="1"/>
  <c r="L73" i="2"/>
  <c r="K102" i="2"/>
  <c r="N56" i="2"/>
  <c r="M85" i="2"/>
  <c r="L114" i="2"/>
  <c r="N45" i="2"/>
  <c r="M74" i="2"/>
  <c r="L103" i="2"/>
  <c r="K132" i="2"/>
  <c r="J161" i="2"/>
  <c r="J84" i="2"/>
  <c r="L136" i="2"/>
  <c r="N167" i="2"/>
  <c r="M196" i="2"/>
  <c r="O196" i="2" s="1"/>
  <c r="L225" i="2"/>
  <c r="K254" i="2"/>
  <c r="J283" i="2"/>
  <c r="N311" i="2"/>
  <c r="M340" i="2"/>
  <c r="L60" i="2"/>
  <c r="L117" i="2"/>
  <c r="J155" i="2"/>
  <c r="N184" i="2"/>
  <c r="L46" i="2"/>
  <c r="K75" i="2"/>
  <c r="J104" i="2"/>
  <c r="N132" i="2"/>
  <c r="N65" i="2"/>
  <c r="M94" i="2"/>
  <c r="L123" i="2"/>
  <c r="L56" i="2"/>
  <c r="K85" i="2"/>
  <c r="J114" i="2"/>
  <c r="J47" i="2"/>
  <c r="N75" i="2"/>
  <c r="M104" i="2"/>
  <c r="O104" i="2" s="1"/>
  <c r="K59" i="2"/>
  <c r="J88" i="2"/>
  <c r="N116" i="2"/>
  <c r="K48" i="2"/>
  <c r="J77" i="2"/>
  <c r="N105" i="2"/>
  <c r="M134" i="2"/>
  <c r="L163" i="2"/>
  <c r="N88" i="2"/>
  <c r="J139" i="2"/>
  <c r="K170" i="2"/>
  <c r="J199" i="2"/>
  <c r="N227" i="2"/>
  <c r="M256" i="2"/>
  <c r="O256" i="2" s="1"/>
  <c r="L285" i="2"/>
  <c r="K314" i="2"/>
  <c r="J343" i="2"/>
  <c r="K65" i="2"/>
  <c r="N121" i="2"/>
  <c r="M157" i="2"/>
  <c r="N48" i="2"/>
  <c r="M77" i="2"/>
  <c r="O77" i="2" s="1"/>
  <c r="L106" i="2"/>
  <c r="L39" i="2"/>
  <c r="K68" i="2"/>
  <c r="J97" i="2"/>
  <c r="N125" i="2"/>
  <c r="N58" i="2"/>
  <c r="M87" i="2"/>
  <c r="L116" i="2"/>
  <c r="L49" i="2"/>
  <c r="K78" i="2"/>
  <c r="J107" i="2"/>
  <c r="M61" i="2"/>
  <c r="O61" i="2" s="1"/>
  <c r="L90" i="2"/>
  <c r="K119" i="2"/>
  <c r="M50" i="2"/>
  <c r="L79" i="2"/>
  <c r="K108" i="2"/>
  <c r="J137" i="2"/>
  <c r="N165" i="2"/>
  <c r="M93" i="2"/>
  <c r="M141" i="2"/>
  <c r="M172" i="2"/>
  <c r="L201" i="2"/>
  <c r="K230" i="2"/>
  <c r="J259" i="2"/>
  <c r="N287" i="2"/>
  <c r="M316" i="2"/>
  <c r="O316" i="2" s="1"/>
  <c r="L345" i="2"/>
  <c r="J70" i="2"/>
  <c r="L125" i="2"/>
  <c r="K160" i="2"/>
  <c r="K51" i="2"/>
  <c r="J80" i="2"/>
  <c r="N108" i="2"/>
  <c r="N41" i="2"/>
  <c r="M70" i="2"/>
  <c r="L99" i="2"/>
  <c r="K128" i="2"/>
  <c r="K61" i="2"/>
  <c r="J90" i="2"/>
  <c r="N118" i="2"/>
  <c r="N51" i="2"/>
  <c r="M80" i="2"/>
  <c r="L109" i="2"/>
  <c r="J64" i="2"/>
  <c r="N92" i="2"/>
  <c r="M121" i="2"/>
  <c r="O121" i="2" s="1"/>
  <c r="J53" i="2"/>
  <c r="N81" i="2"/>
  <c r="M110" i="2"/>
  <c r="O110" i="2" s="1"/>
  <c r="L139" i="2"/>
  <c r="N40" i="2"/>
  <c r="L98" i="2"/>
  <c r="L144" i="2"/>
  <c r="J175" i="2"/>
  <c r="N203" i="2"/>
  <c r="M232" i="2"/>
  <c r="L261" i="2"/>
  <c r="K290" i="2"/>
  <c r="J319" i="2"/>
  <c r="N347" i="2"/>
  <c r="N74" i="2"/>
  <c r="M129" i="2"/>
  <c r="O129" i="2" s="1"/>
  <c r="N162" i="2"/>
  <c r="J192" i="2"/>
  <c r="L58" i="2"/>
  <c r="K87" i="2"/>
  <c r="J116" i="2"/>
  <c r="J49" i="2"/>
  <c r="N77" i="2"/>
  <c r="M106" i="2"/>
  <c r="O106" i="2" s="1"/>
  <c r="M39" i="2"/>
  <c r="O39" i="2" s="1"/>
  <c r="L68" i="2"/>
  <c r="K97" i="2"/>
  <c r="J126" i="2"/>
  <c r="J59" i="2"/>
  <c r="N87" i="2"/>
  <c r="L42" i="2"/>
  <c r="K71" i="2"/>
  <c r="J100" i="2"/>
  <c r="N128" i="2"/>
  <c r="K60" i="2"/>
  <c r="J89" i="2"/>
  <c r="N117" i="2"/>
  <c r="M146" i="2"/>
  <c r="K55" i="2"/>
  <c r="N112" i="2"/>
  <c r="K152" i="2"/>
  <c r="K182" i="2"/>
  <c r="J211" i="2"/>
  <c r="N239" i="2"/>
  <c r="M268" i="2"/>
  <c r="L297" i="2"/>
  <c r="K326" i="2"/>
  <c r="J355" i="2"/>
  <c r="K89" i="2"/>
  <c r="K139" i="2"/>
  <c r="L170" i="2"/>
  <c r="J92" i="2"/>
  <c r="N53" i="2"/>
  <c r="L111" i="2"/>
  <c r="K73" i="2"/>
  <c r="N130" i="2"/>
  <c r="M92" i="2"/>
  <c r="J76" i="2"/>
  <c r="M133" i="2"/>
  <c r="N93" i="2"/>
  <c r="L151" i="2"/>
  <c r="L121" i="2"/>
  <c r="J187" i="2"/>
  <c r="M244" i="2"/>
  <c r="K302" i="2"/>
  <c r="K41" i="2"/>
  <c r="M144" i="2"/>
  <c r="N196" i="2"/>
  <c r="M225" i="2"/>
  <c r="L254" i="2"/>
  <c r="K283" i="2"/>
  <c r="J312" i="2"/>
  <c r="N340" i="2"/>
  <c r="L65" i="2"/>
  <c r="J122" i="2"/>
  <c r="N157" i="2"/>
  <c r="L187" i="2"/>
  <c r="K216" i="2"/>
  <c r="J245" i="2"/>
  <c r="N273" i="2"/>
  <c r="M302" i="2"/>
  <c r="L331" i="2"/>
  <c r="M42" i="2"/>
  <c r="O42" i="2" s="1"/>
  <c r="K100" i="2"/>
  <c r="J145" i="2"/>
  <c r="M175" i="2"/>
  <c r="L204" i="2"/>
  <c r="K233" i="2"/>
  <c r="J262" i="2"/>
  <c r="N290" i="2"/>
  <c r="M319" i="2"/>
  <c r="L348" i="2"/>
  <c r="L76" i="2"/>
  <c r="J131" i="2"/>
  <c r="M163" i="2"/>
  <c r="O163" i="2" s="1"/>
  <c r="M192" i="2"/>
  <c r="L221" i="2"/>
  <c r="K250" i="2"/>
  <c r="J279" i="2"/>
  <c r="N307" i="2"/>
  <c r="M336" i="2"/>
  <c r="O336" i="2" s="1"/>
  <c r="M54" i="2"/>
  <c r="O54" i="2" s="1"/>
  <c r="K112" i="2"/>
  <c r="M151" i="2"/>
  <c r="M181" i="2"/>
  <c r="L210" i="2"/>
  <c r="K239" i="2"/>
  <c r="J268" i="2"/>
  <c r="N296" i="2"/>
  <c r="M325" i="2"/>
  <c r="L94" i="2"/>
  <c r="K56" i="2"/>
  <c r="N113" i="2"/>
  <c r="M75" i="2"/>
  <c r="O75" i="2" s="1"/>
  <c r="K133" i="2"/>
  <c r="J95" i="2"/>
  <c r="L78" i="2"/>
  <c r="M38" i="2"/>
  <c r="K96" i="2"/>
  <c r="N153" i="2"/>
  <c r="K125" i="2"/>
  <c r="L189" i="2"/>
  <c r="J247" i="2"/>
  <c r="M304" i="2"/>
  <c r="O304" i="2" s="1"/>
  <c r="J46" i="2"/>
  <c r="K147" i="2"/>
  <c r="K199" i="2"/>
  <c r="J228" i="2"/>
  <c r="N256" i="2"/>
  <c r="M285" i="2"/>
  <c r="L314" i="2"/>
  <c r="K343" i="2"/>
  <c r="K70" i="2"/>
  <c r="K126" i="2"/>
  <c r="L160" i="2"/>
  <c r="N189" i="2"/>
  <c r="M218" i="2"/>
  <c r="O218" i="2" s="1"/>
  <c r="L247" i="2"/>
  <c r="K276" i="2"/>
  <c r="J305" i="2"/>
  <c r="N333" i="2"/>
  <c r="L47" i="2"/>
  <c r="J105" i="2"/>
  <c r="M147" i="2"/>
  <c r="O147" i="2" s="1"/>
  <c r="J178" i="2"/>
  <c r="N206" i="2"/>
  <c r="M235" i="2"/>
  <c r="O235" i="2" s="1"/>
  <c r="L264" i="2"/>
  <c r="K293" i="2"/>
  <c r="J322" i="2"/>
  <c r="N350" i="2"/>
  <c r="K81" i="2"/>
  <c r="N134" i="2"/>
  <c r="K166" i="2"/>
  <c r="J195" i="2"/>
  <c r="N223" i="2"/>
  <c r="M252" i="2"/>
  <c r="O252" i="2" s="1"/>
  <c r="L281" i="2"/>
  <c r="K310" i="2"/>
  <c r="J339" i="2"/>
  <c r="L59" i="2"/>
  <c r="N115" i="2"/>
  <c r="K154" i="2"/>
  <c r="J184" i="2"/>
  <c r="N212" i="2"/>
  <c r="M241" i="2"/>
  <c r="L270" i="2"/>
  <c r="K299" i="2"/>
  <c r="J328" i="2"/>
  <c r="K39" i="2"/>
  <c r="N96" i="2"/>
  <c r="M58" i="2"/>
  <c r="O58" i="2" s="1"/>
  <c r="K116" i="2"/>
  <c r="J78" i="2"/>
  <c r="N39" i="2"/>
  <c r="L97" i="2"/>
  <c r="N80" i="2"/>
  <c r="J41" i="2"/>
  <c r="M98" i="2"/>
  <c r="K156" i="2"/>
  <c r="L129" i="2"/>
  <c r="N191" i="2"/>
  <c r="L249" i="2"/>
  <c r="J307" i="2"/>
  <c r="N50" i="2"/>
  <c r="N149" i="2"/>
  <c r="M201" i="2"/>
  <c r="L230" i="2"/>
  <c r="K259" i="2"/>
  <c r="J288" i="2"/>
  <c r="N316" i="2"/>
  <c r="M345" i="2"/>
  <c r="O345" i="2" s="1"/>
  <c r="J75" i="2"/>
  <c r="J130" i="2"/>
  <c r="J163" i="2"/>
  <c r="K192" i="2"/>
  <c r="J221" i="2"/>
  <c r="N249" i="2"/>
  <c r="M278" i="2"/>
  <c r="L307" i="2"/>
  <c r="K336" i="2"/>
  <c r="K52" i="2"/>
  <c r="N109" i="2"/>
  <c r="K150" i="2"/>
  <c r="L180" i="2"/>
  <c r="K209" i="2"/>
  <c r="J238" i="2"/>
  <c r="N266" i="2"/>
  <c r="M295" i="2"/>
  <c r="O295" i="2" s="1"/>
  <c r="L324" i="2"/>
  <c r="K353" i="2"/>
  <c r="J86" i="2"/>
  <c r="L137" i="2"/>
  <c r="M168" i="2"/>
  <c r="L197" i="2"/>
  <c r="K226" i="2"/>
  <c r="J255" i="2"/>
  <c r="N283" i="2"/>
  <c r="M312" i="2"/>
  <c r="O312" i="2" s="1"/>
  <c r="L341" i="2"/>
  <c r="K64" i="2"/>
  <c r="J120" i="2"/>
  <c r="N156" i="2"/>
  <c r="L186" i="2"/>
  <c r="K215" i="2"/>
  <c r="J244" i="2"/>
  <c r="N272" i="2"/>
  <c r="M301" i="2"/>
  <c r="O301" i="2" s="1"/>
  <c r="L330" i="2"/>
  <c r="M53" i="2"/>
  <c r="K111" i="2"/>
  <c r="J73" i="2"/>
  <c r="M130" i="2"/>
  <c r="O130" i="2" s="1"/>
  <c r="L92" i="2"/>
  <c r="K54" i="2"/>
  <c r="N111" i="2"/>
  <c r="K95" i="2"/>
  <c r="L55" i="2"/>
  <c r="J113" i="2"/>
  <c r="M45" i="2"/>
  <c r="O45" i="2" s="1"/>
  <c r="J147" i="2"/>
  <c r="K206" i="2"/>
  <c r="N263" i="2"/>
  <c r="L321" i="2"/>
  <c r="M79" i="2"/>
  <c r="O79" i="2" s="1"/>
  <c r="L165" i="2"/>
  <c r="J204" i="2"/>
  <c r="N232" i="2"/>
  <c r="M261" i="2"/>
  <c r="L290" i="2"/>
  <c r="K319" i="2"/>
  <c r="J348" i="2"/>
  <c r="N79" i="2"/>
  <c r="K134" i="2"/>
  <c r="M165" i="2"/>
  <c r="O165" i="2" s="1"/>
  <c r="M194" i="2"/>
  <c r="O194" i="2" s="1"/>
  <c r="L223" i="2"/>
  <c r="K252" i="2"/>
  <c r="J281" i="2"/>
  <c r="N309" i="2"/>
  <c r="M338" i="2"/>
  <c r="J57" i="2"/>
  <c r="K114" i="2"/>
  <c r="N152" i="2"/>
  <c r="N182" i="2"/>
  <c r="M211" i="2"/>
  <c r="L240" i="2"/>
  <c r="K269" i="2"/>
  <c r="J298" i="2"/>
  <c r="N326" i="2"/>
  <c r="M355" i="2"/>
  <c r="N90" i="2"/>
  <c r="J140" i="2"/>
  <c r="J171" i="2"/>
  <c r="N199" i="2"/>
  <c r="M228" i="2"/>
  <c r="O228" i="2" s="1"/>
  <c r="L257" i="2"/>
  <c r="K286" i="2"/>
  <c r="J315" i="2"/>
  <c r="N343" i="2"/>
  <c r="J69" i="2"/>
  <c r="L124" i="2"/>
  <c r="L159" i="2"/>
  <c r="N188" i="2"/>
  <c r="M217" i="2"/>
  <c r="L246" i="2"/>
  <c r="K275" i="2"/>
  <c r="J304" i="2"/>
  <c r="N332" i="2"/>
  <c r="J56" i="2"/>
  <c r="M113" i="2"/>
  <c r="L75" i="2"/>
  <c r="J133" i="2"/>
  <c r="N94" i="2"/>
  <c r="M56" i="2"/>
  <c r="J40" i="2"/>
  <c r="M97" i="2"/>
  <c r="N57" i="2"/>
  <c r="L115" i="2"/>
  <c r="L50" i="2"/>
  <c r="M149" i="2"/>
  <c r="M208" i="2"/>
  <c r="O208" i="2" s="1"/>
  <c r="K266" i="2"/>
  <c r="N323" i="2"/>
  <c r="L84" i="2"/>
  <c r="J168" i="2"/>
  <c r="L206" i="2"/>
  <c r="K235" i="2"/>
  <c r="J264" i="2"/>
  <c r="N292" i="2"/>
  <c r="M321" i="2"/>
  <c r="O321" i="2" s="1"/>
  <c r="L350" i="2"/>
  <c r="M84" i="2"/>
  <c r="O84" i="2" s="1"/>
  <c r="N136" i="2"/>
  <c r="K168" i="2"/>
  <c r="J197" i="2"/>
  <c r="N225" i="2"/>
  <c r="M254" i="2"/>
  <c r="O254" i="2" s="1"/>
  <c r="L283" i="2"/>
  <c r="K312" i="2"/>
  <c r="J341" i="2"/>
  <c r="N61" i="2"/>
  <c r="J118" i="2"/>
  <c r="L155" i="2"/>
  <c r="K185" i="2"/>
  <c r="J214" i="2"/>
  <c r="N242" i="2"/>
  <c r="M271" i="2"/>
  <c r="O271" i="2" s="1"/>
  <c r="L300" i="2"/>
  <c r="K329" i="2"/>
  <c r="J38" i="2"/>
  <c r="M95" i="2"/>
  <c r="M142" i="2"/>
  <c r="L173" i="2"/>
  <c r="K202" i="2"/>
  <c r="J231" i="2"/>
  <c r="N259" i="2"/>
  <c r="M288" i="2"/>
  <c r="L317" i="2"/>
  <c r="K346" i="2"/>
  <c r="N73" i="2"/>
  <c r="M128" i="2"/>
  <c r="O128" i="2" s="1"/>
  <c r="J162" i="2"/>
  <c r="K191" i="2"/>
  <c r="J220" i="2"/>
  <c r="N248" i="2"/>
  <c r="M277" i="2"/>
  <c r="L306" i="2"/>
  <c r="M65" i="2"/>
  <c r="O65" i="2" s="1"/>
  <c r="K123" i="2"/>
  <c r="J85" i="2"/>
  <c r="N46" i="2"/>
  <c r="L104" i="2"/>
  <c r="K66" i="2"/>
  <c r="M49" i="2"/>
  <c r="K107" i="2"/>
  <c r="L67" i="2"/>
  <c r="J125" i="2"/>
  <c r="M69" i="2"/>
  <c r="O69" i="2" s="1"/>
  <c r="J160" i="2"/>
  <c r="K218" i="2"/>
  <c r="N275" i="2"/>
  <c r="L333" i="2"/>
  <c r="M103" i="2"/>
  <c r="O103" i="2" s="1"/>
  <c r="M177" i="2"/>
  <c r="O177" i="2" s="1"/>
  <c r="M213" i="2"/>
  <c r="O213" i="2" s="1"/>
  <c r="L242" i="2"/>
  <c r="K271" i="2"/>
  <c r="J300" i="2"/>
  <c r="N328" i="2"/>
  <c r="L41" i="2"/>
  <c r="J99" i="2"/>
  <c r="N144" i="2"/>
  <c r="L175" i="2"/>
  <c r="K204" i="2"/>
  <c r="J233" i="2"/>
  <c r="N261" i="2"/>
  <c r="M290" i="2"/>
  <c r="O290" i="2" s="1"/>
  <c r="L319" i="2"/>
  <c r="K348" i="2"/>
  <c r="K76" i="2"/>
  <c r="K130" i="2"/>
  <c r="K163" i="2"/>
  <c r="L192" i="2"/>
  <c r="K221" i="2"/>
  <c r="J250" i="2"/>
  <c r="N278" i="2"/>
  <c r="M307" i="2"/>
  <c r="O307" i="2" s="1"/>
  <c r="L336" i="2"/>
  <c r="L52" i="2"/>
  <c r="J110" i="2"/>
  <c r="L150" i="2"/>
  <c r="M180" i="2"/>
  <c r="L209" i="2"/>
  <c r="K238" i="2"/>
  <c r="M89" i="2"/>
  <c r="O89" i="2" s="1"/>
  <c r="J109" i="2"/>
  <c r="L128" i="2"/>
  <c r="M73" i="2"/>
  <c r="L91" i="2"/>
  <c r="K117" i="2"/>
  <c r="K242" i="2"/>
  <c r="L357" i="2"/>
  <c r="L194" i="2"/>
  <c r="J252" i="2"/>
  <c r="M309" i="2"/>
  <c r="O309" i="2" s="1"/>
  <c r="M60" i="2"/>
  <c r="O60" i="2" s="1"/>
  <c r="K155" i="2"/>
  <c r="N213" i="2"/>
  <c r="L271" i="2"/>
  <c r="J329" i="2"/>
  <c r="L95" i="2"/>
  <c r="K173" i="2"/>
  <c r="N230" i="2"/>
  <c r="L288" i="2"/>
  <c r="J346" i="2"/>
  <c r="N126" i="2"/>
  <c r="K190" i="2"/>
  <c r="N247" i="2"/>
  <c r="M300" i="2"/>
  <c r="O300" i="2" s="1"/>
  <c r="L353" i="2"/>
  <c r="L132" i="2"/>
  <c r="N176" i="2"/>
  <c r="M229" i="2"/>
  <c r="L282" i="2"/>
  <c r="K323" i="2"/>
  <c r="M361" i="2"/>
  <c r="L390" i="2"/>
  <c r="K419" i="2"/>
  <c r="J448" i="2"/>
  <c r="N476" i="2"/>
  <c r="N100" i="2"/>
  <c r="K176" i="2"/>
  <c r="N233" i="2"/>
  <c r="L291" i="2"/>
  <c r="J349" i="2"/>
  <c r="K384" i="2"/>
  <c r="M415" i="2"/>
  <c r="O415" i="2" s="1"/>
  <c r="J447" i="2"/>
  <c r="L478" i="2"/>
  <c r="N110" i="2"/>
  <c r="K181" i="2"/>
  <c r="N238" i="2"/>
  <c r="L296" i="2"/>
  <c r="J354" i="2"/>
  <c r="J387" i="2"/>
  <c r="L418" i="2"/>
  <c r="N449" i="2"/>
  <c r="K481" i="2"/>
  <c r="N119" i="2"/>
  <c r="K186" i="2"/>
  <c r="N243" i="2"/>
  <c r="L301" i="2"/>
  <c r="L358" i="2"/>
  <c r="N389" i="2"/>
  <c r="K421" i="2"/>
  <c r="M452" i="2"/>
  <c r="O452" i="2" s="1"/>
  <c r="K484" i="2"/>
  <c r="J129" i="2"/>
  <c r="L191" i="2"/>
  <c r="J249" i="2"/>
  <c r="M306" i="2"/>
  <c r="O306" i="2" s="1"/>
  <c r="K361" i="2"/>
  <c r="M392" i="2"/>
  <c r="K424" i="2"/>
  <c r="M455" i="2"/>
  <c r="J487" i="2"/>
  <c r="L118" i="2"/>
  <c r="J42" i="2"/>
  <c r="L61" i="2"/>
  <c r="L102" i="2"/>
  <c r="K120" i="2"/>
  <c r="N154" i="2"/>
  <c r="J271" i="2"/>
  <c r="J94" i="2"/>
  <c r="N208" i="2"/>
  <c r="L266" i="2"/>
  <c r="J324" i="2"/>
  <c r="L89" i="2"/>
  <c r="M170" i="2"/>
  <c r="O170" i="2" s="1"/>
  <c r="K228" i="2"/>
  <c r="N285" i="2"/>
  <c r="L343" i="2"/>
  <c r="K122" i="2"/>
  <c r="M187" i="2"/>
  <c r="O187" i="2" s="1"/>
  <c r="K245" i="2"/>
  <c r="N302" i="2"/>
  <c r="N42" i="2"/>
  <c r="K145" i="2"/>
  <c r="M204" i="2"/>
  <c r="K262" i="2"/>
  <c r="J303" i="2"/>
  <c r="N355" i="2"/>
  <c r="N135" i="2"/>
  <c r="K179" i="2"/>
  <c r="J232" i="2"/>
  <c r="N284" i="2"/>
  <c r="K335" i="2"/>
  <c r="J364" i="2"/>
  <c r="N392" i="2"/>
  <c r="M421" i="2"/>
  <c r="L450" i="2"/>
  <c r="K479" i="2"/>
  <c r="L110" i="2"/>
  <c r="J181" i="2"/>
  <c r="M238" i="2"/>
  <c r="K296" i="2"/>
  <c r="N353" i="2"/>
  <c r="N386" i="2"/>
  <c r="K418" i="2"/>
  <c r="M449" i="2"/>
  <c r="J481" i="2"/>
  <c r="M119" i="2"/>
  <c r="J186" i="2"/>
  <c r="M243" i="2"/>
  <c r="O243" i="2" s="1"/>
  <c r="K301" i="2"/>
  <c r="K358" i="2"/>
  <c r="M389" i="2"/>
  <c r="J421" i="2"/>
  <c r="L452" i="2"/>
  <c r="N483" i="2"/>
  <c r="N127" i="2"/>
  <c r="J191" i="2"/>
  <c r="M248" i="2"/>
  <c r="O248" i="2" s="1"/>
  <c r="K306" i="2"/>
  <c r="J361" i="2"/>
  <c r="L392" i="2"/>
  <c r="N423" i="2"/>
  <c r="L455" i="2"/>
  <c r="N486" i="2"/>
  <c r="J136" i="2"/>
  <c r="K196" i="2"/>
  <c r="N253" i="2"/>
  <c r="L311" i="2"/>
  <c r="N363" i="2"/>
  <c r="L395" i="2"/>
  <c r="N426" i="2"/>
  <c r="K458" i="2"/>
  <c r="N120" i="2"/>
  <c r="L44" i="2"/>
  <c r="N63" i="2"/>
  <c r="N104" i="2"/>
  <c r="M122" i="2"/>
  <c r="L157" i="2"/>
  <c r="L273" i="2"/>
  <c r="N98" i="2"/>
  <c r="K211" i="2"/>
  <c r="N268" i="2"/>
  <c r="L326" i="2"/>
  <c r="K94" i="2"/>
  <c r="J173" i="2"/>
  <c r="M230" i="2"/>
  <c r="K288" i="2"/>
  <c r="N345" i="2"/>
  <c r="M126" i="2"/>
  <c r="O126" i="2" s="1"/>
  <c r="J190" i="2"/>
  <c r="M247" i="2"/>
  <c r="O247" i="2" s="1"/>
  <c r="K305" i="2"/>
  <c r="M47" i="2"/>
  <c r="N147" i="2"/>
  <c r="J207" i="2"/>
  <c r="M264" i="2"/>
  <c r="L305" i="2"/>
  <c r="K40" i="2"/>
  <c r="L138" i="2"/>
  <c r="M193" i="2"/>
  <c r="L234" i="2"/>
  <c r="K287" i="2"/>
  <c r="M337" i="2"/>
  <c r="L366" i="2"/>
  <c r="K395" i="2"/>
  <c r="J424" i="2"/>
  <c r="N452" i="2"/>
  <c r="M481" i="2"/>
  <c r="L119" i="2"/>
  <c r="N185" i="2"/>
  <c r="L243" i="2"/>
  <c r="J301" i="2"/>
  <c r="J358" i="2"/>
  <c r="L389" i="2"/>
  <c r="N420" i="2"/>
  <c r="K452" i="2"/>
  <c r="M483" i="2"/>
  <c r="M127" i="2"/>
  <c r="N190" i="2"/>
  <c r="L248" i="2"/>
  <c r="J306" i="2"/>
  <c r="N360" i="2"/>
  <c r="K392" i="2"/>
  <c r="M423" i="2"/>
  <c r="J455" i="2"/>
  <c r="M486" i="2"/>
  <c r="O486" i="2" s="1"/>
  <c r="M135" i="2"/>
  <c r="O135" i="2" s="1"/>
  <c r="N195" i="2"/>
  <c r="L253" i="2"/>
  <c r="J311" i="2"/>
  <c r="M363" i="2"/>
  <c r="O363" i="2" s="1"/>
  <c r="J395" i="2"/>
  <c r="M426" i="2"/>
  <c r="O426" i="2" s="1"/>
  <c r="J458" i="2"/>
  <c r="L489" i="2"/>
  <c r="K141" i="2"/>
  <c r="J201" i="2"/>
  <c r="M258" i="2"/>
  <c r="K316" i="2"/>
  <c r="M366" i="2"/>
  <c r="O366" i="2" s="1"/>
  <c r="J398" i="2"/>
  <c r="L429" i="2"/>
  <c r="N460" i="2"/>
  <c r="M125" i="2"/>
  <c r="K49" i="2"/>
  <c r="M68" i="2"/>
  <c r="O68" i="2" s="1"/>
  <c r="M109" i="2"/>
  <c r="O109" i="2" s="1"/>
  <c r="L127" i="2"/>
  <c r="M162" i="2"/>
  <c r="K278" i="2"/>
  <c r="L108" i="2"/>
  <c r="J216" i="2"/>
  <c r="M273" i="2"/>
  <c r="O273" i="2" s="1"/>
  <c r="K331" i="2"/>
  <c r="N103" i="2"/>
  <c r="N177" i="2"/>
  <c r="L235" i="2"/>
  <c r="J293" i="2"/>
  <c r="M350" i="2"/>
  <c r="O350" i="2" s="1"/>
  <c r="L134" i="2"/>
  <c r="N194" i="2"/>
  <c r="L252" i="2"/>
  <c r="J310" i="2"/>
  <c r="K57" i="2"/>
  <c r="J153" i="2"/>
  <c r="N211" i="2"/>
  <c r="J267" i="2"/>
  <c r="N319" i="2"/>
  <c r="J45" i="2"/>
  <c r="J141" i="2"/>
  <c r="J196" i="2"/>
  <c r="N236" i="2"/>
  <c r="M289" i="2"/>
  <c r="J340" i="2"/>
  <c r="N368" i="2"/>
  <c r="M397" i="2"/>
  <c r="O397" i="2" s="1"/>
  <c r="L426" i="2"/>
  <c r="K455" i="2"/>
  <c r="J484" i="2"/>
  <c r="K127" i="2"/>
  <c r="M190" i="2"/>
  <c r="O190" i="2" s="1"/>
  <c r="K248" i="2"/>
  <c r="N305" i="2"/>
  <c r="M360" i="2"/>
  <c r="J392" i="2"/>
  <c r="L423" i="2"/>
  <c r="N454" i="2"/>
  <c r="K486" i="2"/>
  <c r="L135" i="2"/>
  <c r="M195" i="2"/>
  <c r="K253" i="2"/>
  <c r="N310" i="2"/>
  <c r="L363" i="2"/>
  <c r="N394" i="2"/>
  <c r="K426" i="2"/>
  <c r="N457" i="2"/>
  <c r="K489" i="2"/>
  <c r="N140" i="2"/>
  <c r="M200" i="2"/>
  <c r="O200" i="2" s="1"/>
  <c r="K258" i="2"/>
  <c r="N315" i="2"/>
  <c r="K366" i="2"/>
  <c r="N397" i="2"/>
  <c r="K429" i="2"/>
  <c r="M460" i="2"/>
  <c r="O460" i="2" s="1"/>
  <c r="K45" i="2"/>
  <c r="L146" i="2"/>
  <c r="N205" i="2"/>
  <c r="L263" i="2"/>
  <c r="J321" i="2"/>
  <c r="K369" i="2"/>
  <c r="M400" i="2"/>
  <c r="O400" i="2" s="1"/>
  <c r="J432" i="2"/>
  <c r="K44" i="2"/>
  <c r="M63" i="2"/>
  <c r="J83" i="2"/>
  <c r="J124" i="2"/>
  <c r="N141" i="2"/>
  <c r="L177" i="2"/>
  <c r="M292" i="2"/>
  <c r="O292" i="2" s="1"/>
  <c r="J134" i="2"/>
  <c r="L218" i="2"/>
  <c r="J276" i="2"/>
  <c r="M333" i="2"/>
  <c r="O333" i="2" s="1"/>
  <c r="M108" i="2"/>
  <c r="K180" i="2"/>
  <c r="N237" i="2"/>
  <c r="L295" i="2"/>
  <c r="J353" i="2"/>
  <c r="K137" i="2"/>
  <c r="K197" i="2"/>
  <c r="N254" i="2"/>
  <c r="L312" i="2"/>
  <c r="J62" i="2"/>
  <c r="M155" i="2"/>
  <c r="O155" i="2" s="1"/>
  <c r="K214" i="2"/>
  <c r="L269" i="2"/>
  <c r="K322" i="2"/>
  <c r="N49" i="2"/>
  <c r="M143" i="2"/>
  <c r="L198" i="2"/>
  <c r="K251" i="2"/>
  <c r="J292" i="2"/>
  <c r="L342" i="2"/>
  <c r="K371" i="2"/>
  <c r="J400" i="2"/>
  <c r="N428" i="2"/>
  <c r="M457" i="2"/>
  <c r="O457" i="2" s="1"/>
  <c r="L486" i="2"/>
  <c r="K135" i="2"/>
  <c r="L195" i="2"/>
  <c r="J253" i="2"/>
  <c r="M310" i="2"/>
  <c r="O310" i="2" s="1"/>
  <c r="K363" i="2"/>
  <c r="M394" i="2"/>
  <c r="O394" i="2" s="1"/>
  <c r="J426" i="2"/>
  <c r="L457" i="2"/>
  <c r="J489" i="2"/>
  <c r="M140" i="2"/>
  <c r="O140" i="2" s="1"/>
  <c r="L200" i="2"/>
  <c r="J258" i="2"/>
  <c r="M315" i="2"/>
  <c r="O315" i="2" s="1"/>
  <c r="J366" i="2"/>
  <c r="L397" i="2"/>
  <c r="J429" i="2"/>
  <c r="L460" i="2"/>
  <c r="N43" i="2"/>
  <c r="J146" i="2"/>
  <c r="L205" i="2"/>
  <c r="J263" i="2"/>
  <c r="M320" i="2"/>
  <c r="O320" i="2" s="1"/>
  <c r="J369" i="2"/>
  <c r="L400" i="2"/>
  <c r="N431" i="2"/>
  <c r="K463" i="2"/>
  <c r="N54" i="2"/>
  <c r="N151" i="2"/>
  <c r="M210" i="2"/>
  <c r="K268" i="2"/>
  <c r="N325" i="2"/>
  <c r="N371" i="2"/>
  <c r="K403" i="2"/>
  <c r="M434" i="2"/>
  <c r="O434" i="2" s="1"/>
  <c r="J466" i="2"/>
  <c r="N60" i="2"/>
  <c r="K80" i="2"/>
  <c r="M99" i="2"/>
  <c r="O99" i="2" s="1"/>
  <c r="N44" i="2"/>
  <c r="M62" i="2"/>
  <c r="J60" i="2"/>
  <c r="L213" i="2"/>
  <c r="M328" i="2"/>
  <c r="O328" i="2" s="1"/>
  <c r="N172" i="2"/>
  <c r="M237" i="2"/>
  <c r="O237" i="2" s="1"/>
  <c r="K295" i="2"/>
  <c r="N352" i="2"/>
  <c r="M139" i="2"/>
  <c r="L199" i="2"/>
  <c r="J257" i="2"/>
  <c r="M314" i="2"/>
  <c r="M66" i="2"/>
  <c r="O66" i="2" s="1"/>
  <c r="J158" i="2"/>
  <c r="L216" i="2"/>
  <c r="J274" i="2"/>
  <c r="M331" i="2"/>
  <c r="O331" i="2" s="1"/>
  <c r="L100" i="2"/>
  <c r="N175" i="2"/>
  <c r="L233" i="2"/>
  <c r="M276" i="2"/>
  <c r="L329" i="2"/>
  <c r="K88" i="2"/>
  <c r="M164" i="2"/>
  <c r="M205" i="2"/>
  <c r="O205" i="2" s="1"/>
  <c r="L258" i="2"/>
  <c r="K311" i="2"/>
  <c r="M349" i="2"/>
  <c r="L378" i="2"/>
  <c r="K407" i="2"/>
  <c r="J436" i="2"/>
  <c r="N464" i="2"/>
  <c r="N52" i="2"/>
  <c r="N150" i="2"/>
  <c r="N209" i="2"/>
  <c r="L267" i="2"/>
  <c r="J325" i="2"/>
  <c r="J371" i="2"/>
  <c r="M402" i="2"/>
  <c r="O402" i="2" s="1"/>
  <c r="J434" i="2"/>
  <c r="L465" i="2"/>
  <c r="N62" i="2"/>
  <c r="L156" i="2"/>
  <c r="N214" i="2"/>
  <c r="L272" i="2"/>
  <c r="J330" i="2"/>
  <c r="J374" i="2"/>
  <c r="L405" i="2"/>
  <c r="N436" i="2"/>
  <c r="K468" i="2"/>
  <c r="M72" i="2"/>
  <c r="N161" i="2"/>
  <c r="N219" i="2"/>
  <c r="L277" i="2"/>
  <c r="J335" i="2"/>
  <c r="N376" i="2"/>
  <c r="K408" i="2"/>
  <c r="M439" i="2"/>
  <c r="J471" i="2"/>
  <c r="M83" i="2"/>
  <c r="L167" i="2"/>
  <c r="J225" i="2"/>
  <c r="M282" i="2"/>
  <c r="O282" i="2" s="1"/>
  <c r="K340" i="2"/>
  <c r="M379" i="2"/>
  <c r="J411" i="2"/>
  <c r="L442" i="2"/>
  <c r="N473" i="2"/>
  <c r="L93" i="2"/>
  <c r="L172" i="2"/>
  <c r="J230" i="2"/>
  <c r="M287" i="2"/>
  <c r="J66" i="2"/>
  <c r="L126" i="2"/>
  <c r="N179" i="2"/>
  <c r="M136" i="2"/>
  <c r="O136" i="2" s="1"/>
  <c r="L278" i="2"/>
  <c r="L113" i="2"/>
  <c r="K240" i="2"/>
  <c r="L355" i="2"/>
  <c r="M199" i="2"/>
  <c r="N314" i="2"/>
  <c r="K158" i="2"/>
  <c r="N271" i="2"/>
  <c r="M78" i="2"/>
  <c r="N200" i="2"/>
  <c r="L294" i="2"/>
  <c r="M373" i="2"/>
  <c r="K431" i="2"/>
  <c r="N488" i="2"/>
  <c r="K200" i="2"/>
  <c r="L315" i="2"/>
  <c r="K397" i="2"/>
  <c r="K460" i="2"/>
  <c r="N145" i="2"/>
  <c r="N262" i="2"/>
  <c r="M368" i="2"/>
  <c r="M431" i="2"/>
  <c r="O431" i="2" s="1"/>
  <c r="L53" i="2"/>
  <c r="K210" i="2"/>
  <c r="L325" i="2"/>
  <c r="J403" i="2"/>
  <c r="N465" i="2"/>
  <c r="J157" i="2"/>
  <c r="J273" i="2"/>
  <c r="L374" i="2"/>
  <c r="K437" i="2"/>
  <c r="L484" i="2"/>
  <c r="L141" i="2"/>
  <c r="J206" i="2"/>
  <c r="L268" i="2"/>
  <c r="N330" i="2"/>
  <c r="M374" i="2"/>
  <c r="J406" i="2"/>
  <c r="L437" i="2"/>
  <c r="N468" i="2"/>
  <c r="K69" i="2"/>
  <c r="M159" i="2"/>
  <c r="N217" i="2"/>
  <c r="L275" i="2"/>
  <c r="J333" i="2"/>
  <c r="M375" i="2"/>
  <c r="O375" i="2" s="1"/>
  <c r="J407" i="2"/>
  <c r="M438" i="2"/>
  <c r="J470" i="2"/>
  <c r="J96" i="2"/>
  <c r="L231" i="2"/>
  <c r="M346" i="2"/>
  <c r="O346" i="2" s="1"/>
  <c r="K414" i="2"/>
  <c r="K477" i="2"/>
  <c r="J174" i="2"/>
  <c r="K289" i="2"/>
  <c r="J383" i="2"/>
  <c r="J446" i="2"/>
  <c r="M96" i="2"/>
  <c r="O96" i="2" s="1"/>
  <c r="N231" i="2"/>
  <c r="J347" i="2"/>
  <c r="N414" i="2"/>
  <c r="M477" i="2"/>
  <c r="O477" i="2" s="1"/>
  <c r="N174" i="2"/>
  <c r="J290" i="2"/>
  <c r="N383" i="2"/>
  <c r="M446" i="2"/>
  <c r="M100" i="2"/>
  <c r="M233" i="2"/>
  <c r="O233" i="2" s="1"/>
  <c r="N348" i="2"/>
  <c r="L415" i="2"/>
  <c r="K478" i="2"/>
  <c r="M179" i="2"/>
  <c r="N294" i="2"/>
  <c r="L386" i="2"/>
  <c r="K449" i="2"/>
  <c r="L169" i="2"/>
  <c r="M380" i="2"/>
  <c r="L236" i="2"/>
  <c r="L470" i="2"/>
  <c r="J248" i="2"/>
  <c r="K423" i="2"/>
  <c r="J480" i="2"/>
  <c r="L313" i="2"/>
  <c r="N480" i="2"/>
  <c r="N192" i="2"/>
  <c r="K393" i="2"/>
  <c r="J138" i="2"/>
  <c r="K140" i="2"/>
  <c r="L105" i="2"/>
  <c r="K351" i="2"/>
  <c r="M479" i="2"/>
  <c r="L202" i="2"/>
  <c r="K236" i="2"/>
  <c r="J417" i="2"/>
  <c r="M365" i="2"/>
  <c r="J188" i="2"/>
  <c r="M390" i="2"/>
  <c r="O390" i="2" s="1"/>
  <c r="J123" i="2"/>
  <c r="L359" i="2"/>
  <c r="J485" i="2"/>
  <c r="M303" i="2"/>
  <c r="N453" i="2"/>
  <c r="N84" i="2"/>
  <c r="L237" i="2"/>
  <c r="M152" i="2"/>
  <c r="O152" i="2" s="1"/>
  <c r="N187" i="2"/>
  <c r="K227" i="2"/>
  <c r="J388" i="2"/>
  <c r="J229" i="2"/>
  <c r="M291" i="2"/>
  <c r="O291" i="2" s="1"/>
  <c r="K447" i="2"/>
  <c r="M418" i="2"/>
  <c r="J390" i="2"/>
  <c r="M167" i="2"/>
  <c r="J419" i="2"/>
  <c r="N241" i="2"/>
  <c r="M451" i="2"/>
  <c r="O451" i="2" s="1"/>
  <c r="L440" i="2"/>
  <c r="K409" i="2"/>
  <c r="J441" i="2"/>
  <c r="N472" i="2"/>
  <c r="N70" i="2"/>
  <c r="K131" i="2"/>
  <c r="M184" i="2"/>
  <c r="O184" i="2" s="1"/>
  <c r="J142" i="2"/>
  <c r="N280" i="2"/>
  <c r="M117" i="2"/>
  <c r="M242" i="2"/>
  <c r="O242" i="2" s="1"/>
  <c r="N357" i="2"/>
  <c r="J202" i="2"/>
  <c r="K317" i="2"/>
  <c r="N160" i="2"/>
  <c r="K274" i="2"/>
  <c r="L83" i="2"/>
  <c r="K203" i="2"/>
  <c r="N308" i="2"/>
  <c r="J376" i="2"/>
  <c r="M433" i="2"/>
  <c r="K43" i="2"/>
  <c r="J205" i="2"/>
  <c r="K320" i="2"/>
  <c r="N399" i="2"/>
  <c r="N462" i="2"/>
  <c r="J151" i="2"/>
  <c r="M267" i="2"/>
  <c r="O267" i="2" s="1"/>
  <c r="L371" i="2"/>
  <c r="K434" i="2"/>
  <c r="J63" i="2"/>
  <c r="J215" i="2"/>
  <c r="K330" i="2"/>
  <c r="M405" i="2"/>
  <c r="L468" i="2"/>
  <c r="K162" i="2"/>
  <c r="N277" i="2"/>
  <c r="J377" i="2"/>
  <c r="N439" i="2"/>
  <c r="M489" i="2"/>
  <c r="N146" i="2"/>
  <c r="N210" i="2"/>
  <c r="K273" i="2"/>
  <c r="M335" i="2"/>
  <c r="K377" i="2"/>
  <c r="M408" i="2"/>
  <c r="J440" i="2"/>
  <c r="L471" i="2"/>
  <c r="N78" i="2"/>
  <c r="N164" i="2"/>
  <c r="M222" i="2"/>
  <c r="O222" i="2" s="1"/>
  <c r="K280" i="2"/>
  <c r="N337" i="2"/>
  <c r="K378" i="2"/>
  <c r="N409" i="2"/>
  <c r="K441" i="2"/>
  <c r="M472" i="2"/>
  <c r="J115" i="2"/>
  <c r="J241" i="2"/>
  <c r="K356" i="2"/>
  <c r="M419" i="2"/>
  <c r="O419" i="2" s="1"/>
  <c r="L482" i="2"/>
  <c r="M183" i="2"/>
  <c r="N298" i="2"/>
  <c r="L388" i="2"/>
  <c r="K451" i="2"/>
  <c r="M115" i="2"/>
  <c r="L241" i="2"/>
  <c r="M356" i="2"/>
  <c r="J420" i="2"/>
  <c r="N482" i="2"/>
  <c r="L184" i="2"/>
  <c r="M299" i="2"/>
  <c r="J389" i="2"/>
  <c r="N451" i="2"/>
  <c r="J119" i="2"/>
  <c r="K243" i="2"/>
  <c r="M357" i="2"/>
  <c r="O357" i="2" s="1"/>
  <c r="M420" i="2"/>
  <c r="L483" i="2"/>
  <c r="K189" i="2"/>
  <c r="L304" i="2"/>
  <c r="M391" i="2"/>
  <c r="L454" i="2"/>
  <c r="M188" i="2"/>
  <c r="O188" i="2" s="1"/>
  <c r="K391" i="2"/>
  <c r="L332" i="2"/>
  <c r="N142" i="2"/>
  <c r="K267" i="2"/>
  <c r="N433" i="2"/>
  <c r="N67" i="2"/>
  <c r="M332" i="2"/>
  <c r="K38" i="2"/>
  <c r="J212" i="2"/>
  <c r="M403" i="2"/>
  <c r="N178" i="2"/>
  <c r="K219" i="2"/>
  <c r="M137" i="2"/>
  <c r="L364" i="2"/>
  <c r="J490" i="2"/>
  <c r="J260" i="2"/>
  <c r="L255" i="2"/>
  <c r="L427" i="2"/>
  <c r="M407" i="2"/>
  <c r="K207" i="2"/>
  <c r="J401" i="2"/>
  <c r="K148" i="2"/>
  <c r="N369" i="2"/>
  <c r="L48" i="2"/>
  <c r="N322" i="2"/>
  <c r="K464" i="2"/>
  <c r="M86" i="2"/>
  <c r="K307" i="2"/>
  <c r="M343" i="2"/>
  <c r="O343" i="2" s="1"/>
  <c r="L107" i="2"/>
  <c r="M445" i="2"/>
  <c r="L176" i="2"/>
  <c r="J111" i="2"/>
  <c r="N301" i="2"/>
  <c r="K297" i="2"/>
  <c r="M116" i="2"/>
  <c r="N388" i="2"/>
  <c r="J164" i="2"/>
  <c r="J222" i="2"/>
  <c r="N279" i="2"/>
  <c r="J410" i="2"/>
  <c r="K63" i="2"/>
  <c r="J102" i="2"/>
  <c r="J65" i="2"/>
  <c r="N215" i="2"/>
  <c r="K175" i="2"/>
  <c r="M297" i="2"/>
  <c r="O297" i="2" s="1"/>
  <c r="K142" i="2"/>
  <c r="L259" i="2"/>
  <c r="L71" i="2"/>
  <c r="N218" i="2"/>
  <c r="J334" i="2"/>
  <c r="K178" i="2"/>
  <c r="J291" i="2"/>
  <c r="J93" i="2"/>
  <c r="J208" i="2"/>
  <c r="M313" i="2"/>
  <c r="N380" i="2"/>
  <c r="L438" i="2"/>
  <c r="L62" i="2"/>
  <c r="M214" i="2"/>
  <c r="N329" i="2"/>
  <c r="K405" i="2"/>
  <c r="J468" i="2"/>
  <c r="M161" i="2"/>
  <c r="O161" i="2" s="1"/>
  <c r="K277" i="2"/>
  <c r="M376" i="2"/>
  <c r="L439" i="2"/>
  <c r="K82" i="2"/>
  <c r="M224" i="2"/>
  <c r="N339" i="2"/>
  <c r="N410" i="2"/>
  <c r="M473" i="2"/>
  <c r="K172" i="2"/>
  <c r="L287" i="2"/>
  <c r="K382" i="2"/>
  <c r="J445" i="2"/>
  <c r="L45" i="2"/>
  <c r="J152" i="2"/>
  <c r="M215" i="2"/>
  <c r="O215" i="2" s="1"/>
  <c r="J278" i="2"/>
  <c r="L340" i="2"/>
  <c r="N379" i="2"/>
  <c r="K411" i="2"/>
  <c r="M442" i="2"/>
  <c r="J474" i="2"/>
  <c r="L88" i="2"/>
  <c r="N169" i="2"/>
  <c r="L227" i="2"/>
  <c r="J285" i="2"/>
  <c r="M342" i="2"/>
  <c r="J381" i="2"/>
  <c r="L412" i="2"/>
  <c r="N443" i="2"/>
  <c r="K475" i="2"/>
  <c r="M131" i="2"/>
  <c r="M250" i="2"/>
  <c r="J362" i="2"/>
  <c r="N424" i="2"/>
  <c r="M487" i="2"/>
  <c r="O487" i="2" s="1"/>
  <c r="K193" i="2"/>
  <c r="L308" i="2"/>
  <c r="M393" i="2"/>
  <c r="L456" i="2"/>
  <c r="J132" i="2"/>
  <c r="J251" i="2"/>
  <c r="L362" i="2"/>
  <c r="K425" i="2"/>
  <c r="J488" i="2"/>
  <c r="J194" i="2"/>
  <c r="K309" i="2"/>
  <c r="K394" i="2"/>
  <c r="J457" i="2"/>
  <c r="J135" i="2"/>
  <c r="N252" i="2"/>
  <c r="J363" i="2"/>
  <c r="N425" i="2"/>
  <c r="M488" i="2"/>
  <c r="N198" i="2"/>
  <c r="J314" i="2"/>
  <c r="N396" i="2"/>
  <c r="M459" i="2"/>
  <c r="N207" i="2"/>
  <c r="M401" i="2"/>
  <c r="O401" i="2" s="1"/>
  <c r="N385" i="2"/>
  <c r="M317" i="2"/>
  <c r="L286" i="2"/>
  <c r="K444" i="2"/>
  <c r="K106" i="2"/>
  <c r="J365" i="2"/>
  <c r="K183" i="2"/>
  <c r="K231" i="2"/>
  <c r="J414" i="2"/>
  <c r="K217" i="2"/>
  <c r="J296" i="2"/>
  <c r="L158" i="2"/>
  <c r="N374" i="2"/>
  <c r="N274" i="2"/>
  <c r="J367" i="2"/>
  <c r="M274" i="2"/>
  <c r="O274" i="2" s="1"/>
  <c r="N437" i="2"/>
  <c r="J439" i="2"/>
  <c r="L226" i="2"/>
  <c r="L411" i="2"/>
  <c r="J169" i="2"/>
  <c r="K380" i="2"/>
  <c r="N86" i="2"/>
  <c r="J342" i="2"/>
  <c r="N474" i="2"/>
  <c r="M123" i="2"/>
  <c r="M189" i="2"/>
  <c r="L228" i="2"/>
  <c r="K298" i="2"/>
  <c r="N320" i="2"/>
  <c r="K91" i="2"/>
  <c r="N475" i="2"/>
  <c r="L384" i="2"/>
  <c r="J239" i="2"/>
  <c r="L481" i="2"/>
  <c r="J453" i="2"/>
  <c r="N234" i="2"/>
  <c r="M387" i="2"/>
  <c r="M450" i="2"/>
  <c r="K184" i="2"/>
  <c r="J357" i="2"/>
  <c r="J483" i="2"/>
  <c r="M377" i="2"/>
  <c r="O377" i="2" s="1"/>
  <c r="K337" i="2"/>
  <c r="L164" i="2"/>
  <c r="J79" i="2"/>
  <c r="J338" i="2"/>
  <c r="M281" i="2"/>
  <c r="O281" i="2" s="1"/>
  <c r="J68" i="2"/>
  <c r="N106" i="2"/>
  <c r="N69" i="2"/>
  <c r="M220" i="2"/>
  <c r="J180" i="2"/>
  <c r="L302" i="2"/>
  <c r="L147" i="2"/>
  <c r="K264" i="2"/>
  <c r="J81" i="2"/>
  <c r="M223" i="2"/>
  <c r="N338" i="2"/>
  <c r="J183" i="2"/>
  <c r="L293" i="2"/>
  <c r="N97" i="2"/>
  <c r="L222" i="2"/>
  <c r="J316" i="2"/>
  <c r="K383" i="2"/>
  <c r="N440" i="2"/>
  <c r="J72" i="2"/>
  <c r="L219" i="2"/>
  <c r="M334" i="2"/>
  <c r="N407" i="2"/>
  <c r="M470" i="2"/>
  <c r="O470" i="2" s="1"/>
  <c r="N166" i="2"/>
  <c r="J282" i="2"/>
  <c r="K379" i="2"/>
  <c r="J442" i="2"/>
  <c r="N91" i="2"/>
  <c r="L229" i="2"/>
  <c r="M344" i="2"/>
  <c r="O344" i="2" s="1"/>
  <c r="L413" i="2"/>
  <c r="K476" i="2"/>
  <c r="J177" i="2"/>
  <c r="K292" i="2"/>
  <c r="N384" i="2"/>
  <c r="M447" i="2"/>
  <c r="O447" i="2" s="1"/>
  <c r="J55" i="2"/>
  <c r="K157" i="2"/>
  <c r="L220" i="2"/>
  <c r="N282" i="2"/>
  <c r="K345" i="2"/>
  <c r="L382" i="2"/>
  <c r="N413" i="2"/>
  <c r="K445" i="2"/>
  <c r="M476" i="2"/>
  <c r="J98" i="2"/>
  <c r="M174" i="2"/>
  <c r="K232" i="2"/>
  <c r="N289" i="2"/>
  <c r="L347" i="2"/>
  <c r="M383" i="2"/>
  <c r="O383" i="2" s="1"/>
  <c r="J415" i="2"/>
  <c r="L446" i="2"/>
  <c r="N477" i="2"/>
  <c r="J143" i="2"/>
  <c r="K260" i="2"/>
  <c r="K367" i="2"/>
  <c r="J430" i="2"/>
  <c r="N38" i="2"/>
  <c r="N202" i="2"/>
  <c r="J318" i="2"/>
  <c r="N398" i="2"/>
  <c r="M461" i="2"/>
  <c r="L143" i="2"/>
  <c r="M260" i="2"/>
  <c r="M367" i="2"/>
  <c r="O367" i="2" s="1"/>
  <c r="L430" i="2"/>
  <c r="M40" i="2"/>
  <c r="O40" i="2" s="1"/>
  <c r="M203" i="2"/>
  <c r="O203" i="2" s="1"/>
  <c r="N318" i="2"/>
  <c r="L399" i="2"/>
  <c r="K462" i="2"/>
  <c r="L145" i="2"/>
  <c r="L262" i="2"/>
  <c r="K368" i="2"/>
  <c r="J431" i="2"/>
  <c r="K50" i="2"/>
  <c r="L208" i="2"/>
  <c r="M323" i="2"/>
  <c r="O323" i="2" s="1"/>
  <c r="J402" i="2"/>
  <c r="J465" i="2"/>
  <c r="J227" i="2"/>
  <c r="K412" i="2"/>
  <c r="M427" i="2"/>
  <c r="O427" i="2" s="1"/>
  <c r="L419" i="2"/>
  <c r="M305" i="2"/>
  <c r="M454" i="2"/>
  <c r="K138" i="2"/>
  <c r="L375" i="2"/>
  <c r="N240" i="2"/>
  <c r="L250" i="2"/>
  <c r="M424" i="2"/>
  <c r="O424" i="2" s="1"/>
  <c r="M255" i="2"/>
  <c r="K376" i="2"/>
  <c r="L178" i="2"/>
  <c r="K385" i="2"/>
  <c r="K396" i="2"/>
  <c r="N408" i="2"/>
  <c r="N293" i="2"/>
  <c r="L448" i="2"/>
  <c r="N114" i="2"/>
  <c r="M245" i="2"/>
  <c r="J422" i="2"/>
  <c r="K188" i="2"/>
  <c r="N390" i="2"/>
  <c r="N123" i="2"/>
  <c r="M359" i="2"/>
  <c r="K485" i="2"/>
  <c r="M90" i="2"/>
  <c r="O90" i="2" s="1"/>
  <c r="K344" i="2"/>
  <c r="K354" i="2"/>
  <c r="K74" i="2"/>
  <c r="J482" i="2"/>
  <c r="K420" i="2"/>
  <c r="K77" i="2"/>
  <c r="J378" i="2"/>
  <c r="L82" i="2"/>
  <c r="K121" i="2"/>
  <c r="K84" i="2"/>
  <c r="J235" i="2"/>
  <c r="K187" i="2"/>
  <c r="N304" i="2"/>
  <c r="J150" i="2"/>
  <c r="M266" i="2"/>
  <c r="N85" i="2"/>
  <c r="J226" i="2"/>
  <c r="K341" i="2"/>
  <c r="L185" i="2"/>
  <c r="N295" i="2"/>
  <c r="M102" i="2"/>
  <c r="O102" i="2" s="1"/>
  <c r="N224" i="2"/>
  <c r="L318" i="2"/>
  <c r="M385" i="2"/>
  <c r="O385" i="2" s="1"/>
  <c r="K443" i="2"/>
  <c r="M81" i="2"/>
  <c r="O81" i="2" s="1"/>
  <c r="K224" i="2"/>
  <c r="L339" i="2"/>
  <c r="L410" i="2"/>
  <c r="K473" i="2"/>
  <c r="M171" i="2"/>
  <c r="O171" i="2" s="1"/>
  <c r="N286" i="2"/>
  <c r="N381" i="2"/>
  <c r="M444" i="2"/>
  <c r="L101" i="2"/>
  <c r="K234" i="2"/>
  <c r="L349" i="2"/>
  <c r="J416" i="2"/>
  <c r="N478" i="2"/>
  <c r="N181" i="2"/>
  <c r="J297" i="2"/>
  <c r="L387" i="2"/>
  <c r="K450" i="2"/>
  <c r="M64" i="2"/>
  <c r="L162" i="2"/>
  <c r="K225" i="2"/>
  <c r="L292" i="2"/>
  <c r="J350" i="2"/>
  <c r="J385" i="2"/>
  <c r="L416" i="2"/>
  <c r="N447" i="2"/>
  <c r="L479" i="2"/>
  <c r="M107" i="2"/>
  <c r="L179" i="2"/>
  <c r="J237" i="2"/>
  <c r="M294" i="2"/>
  <c r="K352" i="2"/>
  <c r="K386" i="2"/>
  <c r="M417" i="2"/>
  <c r="O417" i="2" s="1"/>
  <c r="J449" i="2"/>
  <c r="L480" i="2"/>
  <c r="L153" i="2"/>
  <c r="N269" i="2"/>
  <c r="L372" i="2"/>
  <c r="K435" i="2"/>
  <c r="J58" i="2"/>
  <c r="L212" i="2"/>
  <c r="M327" i="2"/>
  <c r="J404" i="2"/>
  <c r="N466" i="2"/>
  <c r="J154" i="2"/>
  <c r="K270" i="2"/>
  <c r="N372" i="2"/>
  <c r="M435" i="2"/>
  <c r="N59" i="2"/>
  <c r="K213" i="2"/>
  <c r="L328" i="2"/>
  <c r="M404" i="2"/>
  <c r="O404" i="2" s="1"/>
  <c r="M467" i="2"/>
  <c r="O467" i="2" s="1"/>
  <c r="N155" i="2"/>
  <c r="J272" i="2"/>
  <c r="L373" i="2"/>
  <c r="L436" i="2"/>
  <c r="L69" i="2"/>
  <c r="J218" i="2"/>
  <c r="K333" i="2"/>
  <c r="L407" i="2"/>
  <c r="K470" i="2"/>
  <c r="K246" i="2"/>
  <c r="M422" i="2"/>
  <c r="O422" i="2" s="1"/>
  <c r="J459" i="2"/>
  <c r="M52" i="2"/>
  <c r="O52" i="2" s="1"/>
  <c r="N324" i="2"/>
  <c r="K465" i="2"/>
  <c r="K159" i="2"/>
  <c r="J386" i="2"/>
  <c r="J356" i="2"/>
  <c r="M269" i="2"/>
  <c r="O269" i="2" s="1"/>
  <c r="J435" i="2"/>
  <c r="K313" i="2"/>
  <c r="J418" i="2"/>
  <c r="M197" i="2"/>
  <c r="O197" i="2" s="1"/>
  <c r="N395" i="2"/>
  <c r="L469" i="2"/>
  <c r="K461" i="2"/>
  <c r="J313" i="2"/>
  <c r="N458" i="2"/>
  <c r="M221" i="2"/>
  <c r="O221" i="2" s="1"/>
  <c r="N264" i="2"/>
  <c r="L432" i="2"/>
  <c r="L207" i="2"/>
  <c r="K401" i="2"/>
  <c r="L148" i="2"/>
  <c r="J370" i="2"/>
  <c r="K279" i="2"/>
  <c r="J269" i="2"/>
  <c r="J413" i="2"/>
  <c r="M186" i="2"/>
  <c r="N354" i="2"/>
  <c r="L299" i="2"/>
  <c r="L279" i="2"/>
  <c r="K472" i="2"/>
  <c r="N222" i="2"/>
  <c r="L51" i="2"/>
  <c r="K90" i="2"/>
  <c r="J149" i="2"/>
  <c r="N299" i="2"/>
  <c r="K223" i="2"/>
  <c r="L338" i="2"/>
  <c r="J185" i="2"/>
  <c r="K300" i="2"/>
  <c r="L142" i="2"/>
  <c r="M259" i="2"/>
  <c r="M71" i="2"/>
  <c r="O71" i="2" s="1"/>
  <c r="J219" i="2"/>
  <c r="J327" i="2"/>
  <c r="N148" i="2"/>
  <c r="J256" i="2"/>
  <c r="K347" i="2"/>
  <c r="N404" i="2"/>
  <c r="L462" i="2"/>
  <c r="M145" i="2"/>
  <c r="O145" i="2" s="1"/>
  <c r="M262" i="2"/>
  <c r="O262" i="2" s="1"/>
  <c r="L368" i="2"/>
  <c r="L431" i="2"/>
  <c r="K53" i="2"/>
  <c r="J210" i="2"/>
  <c r="K325" i="2"/>
  <c r="N402" i="2"/>
  <c r="M465" i="2"/>
  <c r="M156" i="2"/>
  <c r="O156" i="2" s="1"/>
  <c r="M272" i="2"/>
  <c r="K374" i="2"/>
  <c r="J437" i="2"/>
  <c r="J74" i="2"/>
  <c r="K220" i="2"/>
  <c r="L335" i="2"/>
  <c r="L408" i="2"/>
  <c r="M468" i="2"/>
  <c r="J103" i="2"/>
  <c r="J182" i="2"/>
  <c r="L244" i="2"/>
  <c r="N306" i="2"/>
  <c r="L361" i="2"/>
  <c r="J393" i="2"/>
  <c r="L424" i="2"/>
  <c r="N455" i="2"/>
  <c r="K487" i="2"/>
  <c r="M132" i="2"/>
  <c r="N193" i="2"/>
  <c r="L251" i="2"/>
  <c r="J309" i="2"/>
  <c r="M362" i="2"/>
  <c r="O362" i="2" s="1"/>
  <c r="J394" i="2"/>
  <c r="L425" i="2"/>
  <c r="N456" i="2"/>
  <c r="K488" i="2"/>
  <c r="L183" i="2"/>
  <c r="M298" i="2"/>
  <c r="O298" i="2" s="1"/>
  <c r="K388" i="2"/>
  <c r="J451" i="2"/>
  <c r="K115" i="2"/>
  <c r="K241" i="2"/>
  <c r="L356" i="2"/>
  <c r="N419" i="2"/>
  <c r="M482" i="2"/>
  <c r="O482" i="2" s="1"/>
  <c r="N183" i="2"/>
  <c r="J299" i="2"/>
  <c r="M388" i="2"/>
  <c r="O388" i="2" s="1"/>
  <c r="L451" i="2"/>
  <c r="J117" i="2"/>
  <c r="J242" i="2"/>
  <c r="K357" i="2"/>
  <c r="L420" i="2"/>
  <c r="K483" i="2"/>
  <c r="M185" i="2"/>
  <c r="N300" i="2"/>
  <c r="K389" i="2"/>
  <c r="J452" i="2"/>
  <c r="N124" i="2"/>
  <c r="N246" i="2"/>
  <c r="K360" i="2"/>
  <c r="J423" i="2"/>
  <c r="N485" i="2"/>
  <c r="N303" i="2"/>
  <c r="J454" i="2"/>
  <c r="N180" i="2"/>
  <c r="M150" i="2"/>
  <c r="O150" i="2" s="1"/>
  <c r="N370" i="2"/>
  <c r="J198" i="2"/>
  <c r="L217" i="2"/>
  <c r="L417" i="2"/>
  <c r="L57" i="2"/>
  <c r="K327" i="2"/>
  <c r="L466" i="2"/>
  <c r="K417" i="2"/>
  <c r="L298" i="2"/>
  <c r="K255" i="2"/>
  <c r="K427" i="2"/>
  <c r="M257" i="2"/>
  <c r="N137" i="2"/>
  <c r="M364" i="2"/>
  <c r="O364" i="2" s="1"/>
  <c r="K490" i="2"/>
  <c r="N47" i="2"/>
  <c r="L322" i="2"/>
  <c r="N463" i="2"/>
  <c r="J265" i="2"/>
  <c r="M432" i="2"/>
  <c r="O432" i="2" s="1"/>
  <c r="M207" i="2"/>
  <c r="L401" i="2"/>
  <c r="M82" i="2"/>
  <c r="K47" i="2"/>
  <c r="N64" i="2"/>
  <c r="J331" i="2"/>
  <c r="J240" i="2"/>
  <c r="K355" i="2"/>
  <c r="N201" i="2"/>
  <c r="J317" i="2"/>
  <c r="M160" i="2"/>
  <c r="O160" i="2" s="1"/>
  <c r="L276" i="2"/>
  <c r="K105" i="2"/>
  <c r="N235" i="2"/>
  <c r="N331" i="2"/>
  <c r="K167" i="2"/>
  <c r="N260" i="2"/>
  <c r="J352" i="2"/>
  <c r="M409" i="2"/>
  <c r="O409" i="2" s="1"/>
  <c r="K467" i="2"/>
  <c r="J156" i="2"/>
  <c r="K272" i="2"/>
  <c r="N373" i="2"/>
  <c r="M436" i="2"/>
  <c r="O436" i="2" s="1"/>
  <c r="L72" i="2"/>
  <c r="M219" i="2"/>
  <c r="N334" i="2"/>
  <c r="J408" i="2"/>
  <c r="N470" i="2"/>
  <c r="J167" i="2"/>
  <c r="K282" i="2"/>
  <c r="N101" i="2"/>
  <c r="K350" i="2"/>
  <c r="J209" i="2"/>
  <c r="M283" i="2"/>
  <c r="O283" i="2" s="1"/>
  <c r="M348" i="2"/>
  <c r="O348" i="2" s="1"/>
  <c r="N356" i="2"/>
  <c r="M166" i="2"/>
  <c r="N441" i="2"/>
  <c r="L344" i="2"/>
  <c r="M176" i="2"/>
  <c r="O176" i="2" s="1"/>
  <c r="K442" i="2"/>
  <c r="L239" i="2"/>
  <c r="L463" i="2"/>
  <c r="M191" i="2"/>
  <c r="O191" i="2" s="1"/>
  <c r="J326" i="2"/>
  <c r="J427" i="2"/>
  <c r="J50" i="2"/>
  <c r="M246" i="2"/>
  <c r="N367" i="2"/>
  <c r="N435" i="2"/>
  <c r="J193" i="2"/>
  <c r="N403" i="2"/>
  <c r="M231" i="2"/>
  <c r="O231" i="2" s="1"/>
  <c r="K430" i="2"/>
  <c r="K222" i="2"/>
  <c r="M456" i="2"/>
  <c r="O456" i="2" s="1"/>
  <c r="N270" i="2"/>
  <c r="J478" i="2"/>
  <c r="L310" i="2"/>
  <c r="K457" i="2"/>
  <c r="L256" i="2"/>
  <c r="K428" i="2"/>
  <c r="J323" i="2"/>
  <c r="L238" i="2"/>
  <c r="L381" i="2"/>
  <c r="M236" i="2"/>
  <c r="O236" i="2" s="1"/>
  <c r="N95" i="2"/>
  <c r="J477" i="2"/>
  <c r="L377" i="2"/>
  <c r="M437" i="2"/>
  <c r="O437" i="2" s="1"/>
  <c r="N158" i="2"/>
  <c r="N427" i="2"/>
  <c r="M341" i="2"/>
  <c r="K284" i="2"/>
  <c r="N226" i="2"/>
  <c r="N317" i="2"/>
  <c r="L365" i="2"/>
  <c r="M448" i="2"/>
  <c r="J443" i="2"/>
  <c r="N459" i="2"/>
  <c r="N335" i="2"/>
  <c r="L354" i="2"/>
  <c r="L434" i="2"/>
  <c r="K321" i="2"/>
  <c r="K433" i="2"/>
  <c r="J425" i="2"/>
  <c r="K291" i="2"/>
  <c r="K110" i="2"/>
  <c r="M416" i="2"/>
  <c r="N245" i="2"/>
  <c r="K104" i="2"/>
  <c r="M352" i="2"/>
  <c r="L211" i="2"/>
  <c r="J286" i="2"/>
  <c r="J351" i="2"/>
  <c r="K359" i="2"/>
  <c r="L171" i="2"/>
  <c r="L444" i="2"/>
  <c r="K349" i="2"/>
  <c r="L181" i="2"/>
  <c r="N444" i="2"/>
  <c r="K244" i="2"/>
  <c r="K471" i="2"/>
  <c r="L196" i="2"/>
  <c r="N358" i="2"/>
  <c r="M429" i="2"/>
  <c r="O429" i="2" s="1"/>
  <c r="M59" i="2"/>
  <c r="O59" i="2" s="1"/>
  <c r="K256" i="2"/>
  <c r="L370" i="2"/>
  <c r="K454" i="2"/>
  <c r="M202" i="2"/>
  <c r="J409" i="2"/>
  <c r="N250" i="2"/>
  <c r="L435" i="2"/>
  <c r="L289" i="2"/>
  <c r="N461" i="2"/>
  <c r="L280" i="2"/>
  <c r="L488" i="2"/>
  <c r="J320" i="2"/>
  <c r="M462" i="2"/>
  <c r="O462" i="2" s="1"/>
  <c r="J266" i="2"/>
  <c r="L433" i="2"/>
  <c r="K342" i="2"/>
  <c r="K315" i="2"/>
  <c r="N391" i="2"/>
  <c r="N255" i="2"/>
  <c r="L131" i="2"/>
  <c r="L487" i="2"/>
  <c r="K440" i="2"/>
  <c r="K448" i="2"/>
  <c r="M178" i="2"/>
  <c r="O178" i="2" s="1"/>
  <c r="N71" i="2"/>
  <c r="J359" i="2"/>
  <c r="L303" i="2"/>
  <c r="J246" i="2"/>
  <c r="N138" i="2"/>
  <c r="K169" i="2"/>
  <c r="K365" i="2"/>
  <c r="L441" i="2"/>
  <c r="N450" i="2"/>
  <c r="M471" i="2"/>
  <c r="L85" i="2"/>
  <c r="N220" i="2"/>
  <c r="N297" i="2"/>
  <c r="N66" i="2"/>
  <c r="K146" i="2"/>
  <c r="L402" i="2"/>
  <c r="N257" i="2"/>
  <c r="M43" i="2"/>
  <c r="K400" i="2"/>
  <c r="N267" i="2"/>
  <c r="L447" i="2"/>
  <c r="M330" i="2"/>
  <c r="O330" i="2" s="1"/>
  <c r="L476" i="2"/>
  <c r="K201" i="2"/>
  <c r="K364" i="2"/>
  <c r="K432" i="2"/>
  <c r="M124" i="2"/>
  <c r="O124" i="2" s="1"/>
  <c r="J261" i="2"/>
  <c r="J373" i="2"/>
  <c r="L459" i="2"/>
  <c r="K212" i="2"/>
  <c r="N445" i="2"/>
  <c r="L260" i="2"/>
  <c r="M440" i="2"/>
  <c r="O440" i="2" s="1"/>
  <c r="M308" i="2"/>
  <c r="O308" i="2" s="1"/>
  <c r="J467" i="2"/>
  <c r="M347" i="2"/>
  <c r="O347" i="2" s="1"/>
  <c r="J43" i="2"/>
  <c r="M329" i="2"/>
  <c r="N467" i="2"/>
  <c r="M275" i="2"/>
  <c r="O275" i="2" s="1"/>
  <c r="N438" i="2"/>
  <c r="N359" i="2"/>
  <c r="M386" i="2"/>
  <c r="K402" i="2"/>
  <c r="J275" i="2"/>
  <c r="K153" i="2"/>
  <c r="M67" i="2"/>
  <c r="O67" i="2" s="1"/>
  <c r="K482" i="2"/>
  <c r="M458" i="2"/>
  <c r="N197" i="2"/>
  <c r="J200" i="2"/>
  <c r="M369" i="2"/>
  <c r="M322" i="2"/>
  <c r="O322" i="2" s="1"/>
  <c r="K265" i="2"/>
  <c r="J144" i="2"/>
  <c r="J375" i="2"/>
  <c r="M412" i="2"/>
  <c r="O412" i="2" s="1"/>
  <c r="L87" i="2"/>
  <c r="M206" i="2"/>
  <c r="O206" i="2" s="1"/>
  <c r="K334" i="2"/>
  <c r="L161" i="2"/>
  <c r="K439" i="2"/>
  <c r="M234" i="2"/>
  <c r="N421" i="2"/>
  <c r="N173" i="2"/>
  <c r="K446" i="2"/>
  <c r="K237" i="2"/>
  <c r="L360" i="2"/>
  <c r="M105" i="2"/>
  <c r="O105" i="2" s="1"/>
  <c r="J52" i="2"/>
  <c r="N244" i="2"/>
  <c r="N321" i="2"/>
  <c r="M114" i="2"/>
  <c r="O114" i="2" s="1"/>
  <c r="M169" i="2"/>
  <c r="J412" i="2"/>
  <c r="J277" i="2"/>
  <c r="J82" i="2"/>
  <c r="M410" i="2"/>
  <c r="O410" i="2" s="1"/>
  <c r="J287" i="2"/>
  <c r="J450" i="2"/>
  <c r="J345" i="2"/>
  <c r="J479" i="2"/>
  <c r="M239" i="2"/>
  <c r="O239" i="2" s="1"/>
  <c r="N366" i="2"/>
  <c r="N434" i="2"/>
  <c r="M138" i="2"/>
  <c r="N265" i="2"/>
  <c r="L391" i="2"/>
  <c r="J462" i="2"/>
  <c r="N221" i="2"/>
  <c r="K456" i="2"/>
  <c r="J270" i="2"/>
  <c r="L477" i="2"/>
  <c r="K318" i="2"/>
  <c r="L472" i="2"/>
  <c r="N362" i="2"/>
  <c r="K62" i="2"/>
  <c r="K339" i="2"/>
  <c r="J473" i="2"/>
  <c r="K285" i="2"/>
  <c r="J444" i="2"/>
  <c r="K370" i="2"/>
  <c r="L428" i="2"/>
  <c r="N412" i="2"/>
  <c r="K294" i="2"/>
  <c r="M173" i="2"/>
  <c r="O173" i="2" s="1"/>
  <c r="J106" i="2"/>
  <c r="J67" i="2"/>
  <c r="J469" i="2"/>
  <c r="J217" i="2"/>
  <c r="N276" i="2"/>
  <c r="J380" i="2"/>
  <c r="N341" i="2"/>
  <c r="L284" i="2"/>
  <c r="J176" i="2"/>
  <c r="M226" i="2"/>
  <c r="O226" i="2" s="1"/>
  <c r="N171" i="2"/>
  <c r="J213" i="2"/>
  <c r="M212" i="2"/>
  <c r="O212" i="2" s="1"/>
  <c r="N417" i="2"/>
  <c r="N163" i="2"/>
  <c r="L188" i="2"/>
  <c r="L66" i="2"/>
  <c r="K247" i="2"/>
  <c r="K324" i="2"/>
  <c r="K118" i="2"/>
  <c r="J172" i="2"/>
  <c r="L414" i="2"/>
  <c r="N281" i="2"/>
  <c r="M91" i="2"/>
  <c r="O91" i="2" s="1"/>
  <c r="K413" i="2"/>
  <c r="N291" i="2"/>
  <c r="L64" i="2"/>
  <c r="N349" i="2"/>
  <c r="N481" i="2"/>
  <c r="K249" i="2"/>
  <c r="L369" i="2"/>
  <c r="K453" i="2"/>
  <c r="N143" i="2"/>
  <c r="M270" i="2"/>
  <c r="M396" i="2"/>
  <c r="O396" i="2" s="1"/>
  <c r="M464" i="2"/>
  <c r="J289" i="2"/>
  <c r="L461" i="2"/>
  <c r="M279" i="2"/>
  <c r="N487" i="2"/>
  <c r="N327" i="2"/>
  <c r="K98" i="2"/>
  <c r="J368" i="2"/>
  <c r="L81" i="2"/>
  <c r="N378" i="2"/>
  <c r="M88" i="2"/>
  <c r="N342" i="2"/>
  <c r="L475" i="2"/>
  <c r="J433" i="2"/>
  <c r="J91" i="2"/>
  <c r="M475" i="2"/>
  <c r="L396" i="2"/>
  <c r="N288" i="2"/>
  <c r="M351" i="2"/>
  <c r="O351" i="2" s="1"/>
  <c r="N216" i="2"/>
  <c r="K459" i="2"/>
  <c r="K332" i="2"/>
  <c r="N336" i="2"/>
  <c r="N442" i="2"/>
  <c r="M411" i="2"/>
  <c r="O411" i="2" s="1"/>
  <c r="L380" i="2"/>
  <c r="N68" i="2"/>
  <c r="M249" i="2"/>
  <c r="M326" i="2"/>
  <c r="L122" i="2"/>
  <c r="L174" i="2"/>
  <c r="N416" i="2"/>
  <c r="M286" i="2"/>
  <c r="O286" i="2" s="1"/>
  <c r="K101" i="2"/>
  <c r="N415" i="2"/>
  <c r="M296" i="2"/>
  <c r="K93" i="2"/>
  <c r="M354" i="2"/>
  <c r="O354" i="2" s="1"/>
  <c r="N83" i="2"/>
  <c r="J254" i="2"/>
  <c r="J372" i="2"/>
  <c r="L458" i="2"/>
  <c r="K149" i="2"/>
  <c r="K304" i="2"/>
  <c r="K399" i="2"/>
  <c r="L467" i="2"/>
  <c r="K308" i="2"/>
  <c r="M466" i="2"/>
  <c r="O466" i="2" s="1"/>
  <c r="N346" i="2"/>
  <c r="J39" i="2"/>
  <c r="L337" i="2"/>
  <c r="L133" i="2"/>
  <c r="K373" i="2"/>
  <c r="L166" i="2"/>
  <c r="J384" i="2"/>
  <c r="N107" i="2"/>
  <c r="L352" i="2"/>
  <c r="M480" i="2"/>
  <c r="M443" i="2"/>
  <c r="O443" i="2" s="1"/>
  <c r="J127" i="2"/>
  <c r="J486" i="2"/>
  <c r="N406" i="2"/>
  <c r="J308" i="2"/>
  <c r="K375" i="2"/>
  <c r="J236" i="2"/>
  <c r="K161" i="2"/>
  <c r="L351" i="2"/>
  <c r="N429" i="2"/>
  <c r="L453" i="2"/>
  <c r="K422" i="2"/>
  <c r="J391" i="2"/>
  <c r="K144" i="2"/>
  <c r="J336" i="2"/>
  <c r="N139" i="2"/>
  <c r="M216" i="2"/>
  <c r="M253" i="2"/>
  <c r="J460" i="2"/>
  <c r="N365" i="2"/>
  <c r="K205" i="2"/>
  <c r="J463" i="2"/>
  <c r="M371" i="2"/>
  <c r="O371" i="2" s="1"/>
  <c r="N102" i="2"/>
  <c r="M358" i="2"/>
  <c r="M112" i="2"/>
  <c r="O112" i="2" s="1"/>
  <c r="N258" i="2"/>
  <c r="K390" i="2"/>
  <c r="J461" i="2"/>
  <c r="L154" i="2"/>
  <c r="N313" i="2"/>
  <c r="N401" i="2"/>
  <c r="M485" i="2"/>
  <c r="N471" i="2"/>
  <c r="K362" i="2"/>
  <c r="K58" i="2"/>
  <c r="L383" i="2"/>
  <c r="M378" i="2"/>
  <c r="O378" i="2" s="1"/>
  <c r="L394" i="2"/>
  <c r="M48" i="2"/>
  <c r="O48" i="2" s="1"/>
  <c r="L464" i="2"/>
  <c r="K171" i="2"/>
  <c r="J294" i="2"/>
  <c r="K438" i="2"/>
  <c r="L346" i="2"/>
  <c r="L274" i="2"/>
  <c r="M353" i="2"/>
  <c r="O353" i="2" s="1"/>
  <c r="K86" i="2"/>
  <c r="K474" i="2"/>
  <c r="N411" i="2"/>
  <c r="K67" i="2"/>
  <c r="N186" i="2"/>
  <c r="K164" i="2"/>
  <c r="N446" i="2"/>
  <c r="K198" i="2"/>
  <c r="N479" i="2"/>
  <c r="L74" i="2"/>
  <c r="K46" i="2"/>
  <c r="J166" i="2"/>
  <c r="M240" i="2"/>
  <c r="K263" i="2"/>
  <c r="M469" i="2"/>
  <c r="O469" i="2" s="1"/>
  <c r="L376" i="2"/>
  <c r="L224" i="2"/>
  <c r="L473" i="2"/>
  <c r="L379" i="2"/>
  <c r="L112" i="2"/>
  <c r="N405" i="2"/>
  <c r="M120" i="2"/>
  <c r="O120" i="2" s="1"/>
  <c r="M263" i="2"/>
  <c r="O263" i="2" s="1"/>
  <c r="M395" i="2"/>
  <c r="O395" i="2" s="1"/>
  <c r="M463" i="2"/>
  <c r="J189" i="2"/>
  <c r="M318" i="2"/>
  <c r="O318" i="2" s="1"/>
  <c r="L404" i="2"/>
  <c r="N490" i="2"/>
  <c r="L327" i="2"/>
  <c r="L96" i="2"/>
  <c r="L367" i="2"/>
  <c r="L77" i="2"/>
  <c r="N393" i="2"/>
  <c r="M154" i="2"/>
  <c r="K415" i="2"/>
  <c r="K195" i="2"/>
  <c r="M399" i="2"/>
  <c r="L149" i="2"/>
  <c r="M370" i="2"/>
  <c r="O370" i="2" s="1"/>
  <c r="J87" i="2"/>
  <c r="J475" i="2"/>
  <c r="L190" i="2"/>
  <c r="N364" i="2"/>
  <c r="N469" i="2"/>
  <c r="N361" i="2"/>
  <c r="L490" i="2"/>
  <c r="M293" i="2"/>
  <c r="O293" i="2" s="1"/>
  <c r="J397" i="2"/>
  <c r="L385" i="2"/>
  <c r="N122" i="2"/>
  <c r="N484" i="2"/>
  <c r="M453" i="2"/>
  <c r="O453" i="2" s="1"/>
  <c r="L422" i="2"/>
  <c r="K103" i="2"/>
  <c r="J51" i="2"/>
  <c r="L168" i="2"/>
  <c r="J243" i="2"/>
  <c r="M265" i="2"/>
  <c r="O265" i="2" s="1"/>
  <c r="J472" i="2"/>
  <c r="J379" i="2"/>
  <c r="K229" i="2"/>
  <c r="J476" i="2"/>
  <c r="J382" i="2"/>
  <c r="L120" i="2"/>
  <c r="M413" i="2"/>
  <c r="K129" i="2"/>
  <c r="J302" i="2"/>
  <c r="K398" i="2"/>
  <c r="K466" i="2"/>
  <c r="M198" i="2"/>
  <c r="O198" i="2" s="1"/>
  <c r="L323" i="2"/>
  <c r="N422" i="2"/>
  <c r="L38" i="2"/>
  <c r="J337" i="2"/>
  <c r="N131" i="2"/>
  <c r="M372" i="2"/>
  <c r="O372" i="2" s="1"/>
  <c r="K174" i="2"/>
  <c r="J399" i="2"/>
  <c r="J165" i="2"/>
  <c r="M425" i="2"/>
  <c r="O425" i="2" s="1"/>
  <c r="N204" i="2"/>
  <c r="J405" i="2"/>
  <c r="N159" i="2"/>
  <c r="N375" i="2"/>
  <c r="K124" i="2"/>
  <c r="L485" i="2"/>
  <c r="M209" i="2"/>
  <c r="O209" i="2" s="1"/>
  <c r="M406" i="2"/>
  <c r="O406" i="2" s="1"/>
  <c r="M490" i="2"/>
  <c r="K372" i="2"/>
  <c r="N351" i="2"/>
  <c r="N312" i="2"/>
  <c r="L449" i="2"/>
  <c r="J396" i="2"/>
  <c r="J148" i="2"/>
  <c r="J48" i="2"/>
  <c r="J464" i="2"/>
  <c r="N432" i="2"/>
  <c r="J108" i="2"/>
  <c r="N55" i="2"/>
  <c r="N170" i="2"/>
  <c r="L245" i="2"/>
  <c r="J280" i="2"/>
  <c r="L474" i="2"/>
  <c r="M381" i="2"/>
  <c r="O381" i="2" s="1"/>
  <c r="J234" i="2"/>
  <c r="M478" i="2"/>
  <c r="O478" i="2" s="1"/>
  <c r="M384" i="2"/>
  <c r="L215" i="2"/>
  <c r="K416" i="2"/>
  <c r="K136" i="2"/>
  <c r="M311" i="2"/>
  <c r="O311" i="2" s="1"/>
  <c r="N400" i="2"/>
  <c r="M484" i="2"/>
  <c r="L203" i="2"/>
  <c r="K328" i="2"/>
  <c r="J428" i="2"/>
  <c r="M57" i="2"/>
  <c r="O57" i="2" s="1"/>
  <c r="N382" i="2"/>
  <c r="K143" i="2"/>
  <c r="N377" i="2"/>
  <c r="L193" i="2"/>
  <c r="K404" i="2"/>
  <c r="L232" i="2"/>
  <c r="N430" i="2"/>
  <c r="L214" i="2"/>
  <c r="K410" i="2"/>
  <c r="J170" i="2"/>
  <c r="K381" i="2"/>
  <c r="M148" i="2"/>
  <c r="O148" i="2" s="1"/>
  <c r="J159" i="2"/>
  <c r="N228" i="2"/>
  <c r="J438" i="2"/>
  <c r="L334" i="2"/>
  <c r="M382" i="2"/>
  <c r="O382" i="2" s="1"/>
  <c r="N448" i="2"/>
  <c r="J332" i="2"/>
  <c r="M76" i="2"/>
  <c r="O76" i="2" s="1"/>
  <c r="L406" i="2"/>
  <c r="N168" i="2"/>
  <c r="L86" i="2"/>
  <c r="M474" i="2"/>
  <c r="L443" i="2"/>
  <c r="M46" i="2"/>
  <c r="J295" i="2"/>
  <c r="M182" i="2"/>
  <c r="K257" i="2"/>
  <c r="M324" i="2"/>
  <c r="O324" i="2" s="1"/>
  <c r="N344" i="2"/>
  <c r="L140" i="2"/>
  <c r="M428" i="2"/>
  <c r="L320" i="2"/>
  <c r="K151" i="2"/>
  <c r="K387" i="2"/>
  <c r="N229" i="2"/>
  <c r="N418" i="2"/>
  <c r="K177" i="2"/>
  <c r="L316" i="2"/>
  <c r="L403" i="2"/>
  <c r="N489" i="2"/>
  <c r="K208" i="2"/>
  <c r="J360" i="2"/>
  <c r="M430" i="2"/>
  <c r="O430" i="2" s="1"/>
  <c r="N76" i="2"/>
  <c r="L393" i="2"/>
  <c r="M153" i="2"/>
  <c r="O153" i="2" s="1"/>
  <c r="M414" i="2"/>
  <c r="O414" i="2" s="1"/>
  <c r="J203" i="2"/>
  <c r="L409" i="2"/>
  <c r="M251" i="2"/>
  <c r="O251" i="2" s="1"/>
  <c r="K436" i="2"/>
  <c r="J224" i="2"/>
  <c r="M441" i="2"/>
  <c r="O441" i="2" s="1"/>
  <c r="M227" i="2"/>
  <c r="L265" i="2"/>
  <c r="K480" i="2"/>
  <c r="J344" i="2"/>
  <c r="J179" i="2"/>
  <c r="N387" i="2"/>
  <c r="L445" i="2"/>
  <c r="K406" i="2"/>
  <c r="K469" i="2"/>
  <c r="J284" i="2"/>
  <c r="L398" i="2"/>
  <c r="K281" i="2"/>
  <c r="M339" i="2"/>
  <c r="L421" i="2"/>
  <c r="L40" i="2"/>
  <c r="M398" i="2"/>
  <c r="O398" i="2" s="1"/>
  <c r="K261" i="2"/>
  <c r="M284" i="2"/>
  <c r="O284" i="2" s="1"/>
  <c r="J456" i="2"/>
  <c r="K303" i="2"/>
  <c r="C97" i="2"/>
  <c r="C169" i="2"/>
  <c r="C241" i="2"/>
  <c r="D145" i="2"/>
  <c r="D217" i="2"/>
  <c r="C92" i="2"/>
  <c r="C164" i="2"/>
  <c r="C236" i="2"/>
  <c r="D116" i="2"/>
  <c r="D188" i="2"/>
  <c r="D260" i="2"/>
  <c r="C141" i="2"/>
  <c r="C213" i="2"/>
  <c r="D83" i="2"/>
  <c r="D155" i="2"/>
  <c r="D227" i="2"/>
  <c r="D299" i="2"/>
  <c r="C202" i="2"/>
  <c r="D82" i="2"/>
  <c r="D226" i="2"/>
  <c r="C107" i="2"/>
  <c r="C251" i="2"/>
  <c r="C132" i="2"/>
  <c r="D272" i="2"/>
  <c r="D156" i="2"/>
  <c r="C288" i="2"/>
  <c r="C186" i="2"/>
  <c r="D303" i="2"/>
  <c r="C184" i="2"/>
  <c r="D267" i="2"/>
  <c r="D289" i="2"/>
  <c r="D268" i="2"/>
  <c r="C277" i="2"/>
  <c r="C160" i="2"/>
  <c r="D207" i="2"/>
  <c r="D117" i="2"/>
  <c r="D147" i="2"/>
  <c r="C196" i="2"/>
  <c r="C103" i="2"/>
  <c r="C175" i="2"/>
  <c r="C247" i="2"/>
  <c r="D151" i="2"/>
  <c r="D223" i="2"/>
  <c r="C98" i="2"/>
  <c r="C170" i="2"/>
  <c r="C242" i="2"/>
  <c r="D122" i="2"/>
  <c r="D194" i="2"/>
  <c r="D266" i="2"/>
  <c r="C147" i="2"/>
  <c r="C219" i="2"/>
  <c r="D89" i="2"/>
  <c r="D161" i="2"/>
  <c r="D233" i="2"/>
  <c r="D305" i="2"/>
  <c r="C214" i="2"/>
  <c r="D94" i="2"/>
  <c r="D238" i="2"/>
  <c r="C119" i="2"/>
  <c r="C262" i="2"/>
  <c r="C144" i="2"/>
  <c r="D280" i="2"/>
  <c r="D168" i="2"/>
  <c r="D294" i="2"/>
  <c r="C198" i="2"/>
  <c r="D100" i="2"/>
  <c r="D255" i="2"/>
  <c r="D283" i="2"/>
  <c r="D256" i="2"/>
  <c r="D284" i="2"/>
  <c r="D81" i="2"/>
  <c r="C289" i="2"/>
  <c r="D231" i="2"/>
  <c r="D141" i="2"/>
  <c r="D171" i="2"/>
  <c r="C220" i="2"/>
  <c r="C109" i="2"/>
  <c r="C181" i="2"/>
  <c r="D85" i="2"/>
  <c r="D157" i="2"/>
  <c r="D229" i="2"/>
  <c r="C104" i="2"/>
  <c r="C176" i="2"/>
  <c r="C248" i="2"/>
  <c r="D128" i="2"/>
  <c r="D200" i="2"/>
  <c r="C81" i="2"/>
  <c r="C153" i="2"/>
  <c r="C225" i="2"/>
  <c r="D95" i="2"/>
  <c r="D167" i="2"/>
  <c r="D239" i="2"/>
  <c r="C82" i="2"/>
  <c r="C226" i="2"/>
  <c r="D106" i="2"/>
  <c r="D250" i="2"/>
  <c r="C131" i="2"/>
  <c r="C271" i="2"/>
  <c r="C156" i="2"/>
  <c r="C287" i="2"/>
  <c r="D180" i="2"/>
  <c r="C301" i="2"/>
  <c r="C210" i="2"/>
  <c r="D124" i="2"/>
  <c r="C137" i="2"/>
  <c r="D296" i="2"/>
  <c r="D90" i="2"/>
  <c r="D297" i="2"/>
  <c r="D105" i="2"/>
  <c r="D302" i="2"/>
  <c r="C253" i="2"/>
  <c r="D165" i="2"/>
  <c r="D195" i="2"/>
  <c r="C244" i="2"/>
  <c r="C115" i="2"/>
  <c r="C187" i="2"/>
  <c r="D91" i="2"/>
  <c r="D163" i="2"/>
  <c r="D235" i="2"/>
  <c r="C110" i="2"/>
  <c r="C182" i="2"/>
  <c r="C254" i="2"/>
  <c r="D134" i="2"/>
  <c r="D206" i="2"/>
  <c r="C87" i="2"/>
  <c r="C159" i="2"/>
  <c r="C231" i="2"/>
  <c r="D101" i="2"/>
  <c r="D173" i="2"/>
  <c r="D245" i="2"/>
  <c r="C94" i="2"/>
  <c r="C238" i="2"/>
  <c r="D118" i="2"/>
  <c r="D261" i="2"/>
  <c r="C143" i="2"/>
  <c r="C280" i="2"/>
  <c r="C168" i="2"/>
  <c r="C294" i="2"/>
  <c r="D192" i="2"/>
  <c r="D307" i="2"/>
  <c r="C222" i="2"/>
  <c r="D148" i="2"/>
  <c r="C209" i="2"/>
  <c r="C112" i="2"/>
  <c r="D210" i="2"/>
  <c r="C136" i="2"/>
  <c r="D129" i="2"/>
  <c r="C113" i="2"/>
  <c r="C274" i="2"/>
  <c r="D189" i="2"/>
  <c r="D219" i="2"/>
  <c r="D264" i="2"/>
  <c r="C121" i="2"/>
  <c r="C193" i="2"/>
  <c r="D97" i="2"/>
  <c r="D169" i="2"/>
  <c r="D241" i="2"/>
  <c r="C116" i="2"/>
  <c r="C188" i="2"/>
  <c r="C260" i="2"/>
  <c r="D140" i="2"/>
  <c r="D212" i="2"/>
  <c r="C93" i="2"/>
  <c r="C165" i="2"/>
  <c r="C237" i="2"/>
  <c r="D107" i="2"/>
  <c r="D179" i="2"/>
  <c r="D251" i="2"/>
  <c r="C106" i="2"/>
  <c r="C250" i="2"/>
  <c r="D130" i="2"/>
  <c r="D270" i="2"/>
  <c r="C155" i="2"/>
  <c r="D286" i="2"/>
  <c r="C180" i="2"/>
  <c r="D300" i="2"/>
  <c r="D204" i="2"/>
  <c r="C90" i="2"/>
  <c r="C234" i="2"/>
  <c r="D172" i="2"/>
  <c r="C303" i="2"/>
  <c r="C208" i="2"/>
  <c r="C304" i="2"/>
  <c r="C232" i="2"/>
  <c r="D153" i="2"/>
  <c r="C233" i="2"/>
  <c r="D288" i="2"/>
  <c r="D213" i="2"/>
  <c r="D243" i="2"/>
  <c r="D282" i="2"/>
  <c r="C139" i="2"/>
  <c r="C211" i="2"/>
  <c r="D115" i="2"/>
  <c r="D187" i="2"/>
  <c r="D259" i="2"/>
  <c r="C134" i="2"/>
  <c r="C206" i="2"/>
  <c r="D86" i="2"/>
  <c r="D158" i="2"/>
  <c r="D230" i="2"/>
  <c r="C111" i="2"/>
  <c r="C183" i="2"/>
  <c r="C255" i="2"/>
  <c r="D125" i="2"/>
  <c r="D197" i="2"/>
  <c r="D269" i="2"/>
  <c r="C142" i="2"/>
  <c r="D278" i="2"/>
  <c r="D166" i="2"/>
  <c r="D292" i="2"/>
  <c r="C191" i="2"/>
  <c r="D306" i="2"/>
  <c r="C216" i="2"/>
  <c r="D96" i="2"/>
  <c r="D240" i="2"/>
  <c r="C126" i="2"/>
  <c r="C268" i="2"/>
  <c r="D244" i="2"/>
  <c r="C149" i="2"/>
  <c r="D136" i="2"/>
  <c r="D150" i="2"/>
  <c r="D232" i="2"/>
  <c r="D225" i="2"/>
  <c r="D87" i="2"/>
  <c r="C161" i="2"/>
  <c r="C278" i="2"/>
  <c r="C295" i="2"/>
  <c r="C291" i="2"/>
  <c r="C223" i="2"/>
  <c r="D199" i="2"/>
  <c r="C146" i="2"/>
  <c r="D98" i="2"/>
  <c r="D242" i="2"/>
  <c r="C195" i="2"/>
  <c r="D137" i="2"/>
  <c r="D281" i="2"/>
  <c r="C292" i="2"/>
  <c r="C306" i="2"/>
  <c r="C96" i="2"/>
  <c r="D120" i="2"/>
  <c r="C150" i="2"/>
  <c r="C283" i="2"/>
  <c r="D208" i="2"/>
  <c r="C185" i="2"/>
  <c r="D135" i="2"/>
  <c r="D304" i="2"/>
  <c r="C85" i="2"/>
  <c r="C229" i="2"/>
  <c r="D205" i="2"/>
  <c r="C152" i="2"/>
  <c r="D104" i="2"/>
  <c r="D248" i="2"/>
  <c r="C201" i="2"/>
  <c r="D143" i="2"/>
  <c r="D287" i="2"/>
  <c r="D298" i="2"/>
  <c r="C83" i="2"/>
  <c r="C108" i="2"/>
  <c r="D132" i="2"/>
  <c r="C162" i="2"/>
  <c r="C296" i="2"/>
  <c r="C256" i="2"/>
  <c r="C290" i="2"/>
  <c r="D159" i="2"/>
  <c r="D99" i="2"/>
  <c r="C91" i="2"/>
  <c r="C235" i="2"/>
  <c r="D211" i="2"/>
  <c r="C158" i="2"/>
  <c r="D110" i="2"/>
  <c r="D254" i="2"/>
  <c r="C207" i="2"/>
  <c r="D149" i="2"/>
  <c r="D293" i="2"/>
  <c r="C305" i="2"/>
  <c r="C95" i="2"/>
  <c r="C120" i="2"/>
  <c r="D144" i="2"/>
  <c r="C174" i="2"/>
  <c r="C88" i="2"/>
  <c r="C275" i="2"/>
  <c r="D162" i="2"/>
  <c r="D183" i="2"/>
  <c r="D123" i="2"/>
  <c r="C127" i="2"/>
  <c r="D103" i="2"/>
  <c r="D247" i="2"/>
  <c r="C194" i="2"/>
  <c r="D146" i="2"/>
  <c r="C99" i="2"/>
  <c r="C243" i="2"/>
  <c r="D185" i="2"/>
  <c r="C118" i="2"/>
  <c r="D142" i="2"/>
  <c r="C167" i="2"/>
  <c r="C192" i="2"/>
  <c r="D216" i="2"/>
  <c r="C246" i="2"/>
  <c r="C101" i="2"/>
  <c r="D102" i="2"/>
  <c r="D177" i="2"/>
  <c r="D301" i="2"/>
  <c r="C264" i="2"/>
  <c r="C133" i="2"/>
  <c r="D109" i="2"/>
  <c r="D253" i="2"/>
  <c r="C200" i="2"/>
  <c r="D152" i="2"/>
  <c r="C105" i="2"/>
  <c r="C249" i="2"/>
  <c r="D191" i="2"/>
  <c r="C130" i="2"/>
  <c r="D154" i="2"/>
  <c r="C179" i="2"/>
  <c r="C204" i="2"/>
  <c r="D228" i="2"/>
  <c r="C257" i="2"/>
  <c r="C125" i="2"/>
  <c r="D126" i="2"/>
  <c r="D201" i="2"/>
  <c r="D184" i="2"/>
  <c r="C282" i="2"/>
  <c r="C157" i="2"/>
  <c r="D133" i="2"/>
  <c r="D277" i="2"/>
  <c r="C224" i="2"/>
  <c r="D176" i="2"/>
  <c r="C129" i="2"/>
  <c r="C273" i="2"/>
  <c r="D215" i="2"/>
  <c r="C178" i="2"/>
  <c r="D202" i="2"/>
  <c r="C227" i="2"/>
  <c r="C252" i="2"/>
  <c r="D273" i="2"/>
  <c r="D290" i="2"/>
  <c r="C221" i="2"/>
  <c r="D222" i="2"/>
  <c r="C285" i="2"/>
  <c r="C258" i="2"/>
  <c r="C148" i="2"/>
  <c r="C151" i="2"/>
  <c r="D271" i="2"/>
  <c r="D170" i="2"/>
  <c r="C267" i="2"/>
  <c r="C166" i="2"/>
  <c r="C215" i="2"/>
  <c r="C263" i="2"/>
  <c r="C197" i="2"/>
  <c r="C269" i="2"/>
  <c r="C124" i="2"/>
  <c r="C163" i="2"/>
  <c r="C86" i="2"/>
  <c r="D182" i="2"/>
  <c r="C279" i="2"/>
  <c r="C190" i="2"/>
  <c r="C239" i="2"/>
  <c r="C281" i="2"/>
  <c r="C245" i="2"/>
  <c r="C298" i="2"/>
  <c r="C172" i="2"/>
  <c r="C199" i="2"/>
  <c r="C122" i="2"/>
  <c r="D218" i="2"/>
  <c r="D113" i="2"/>
  <c r="C259" i="2"/>
  <c r="C293" i="2"/>
  <c r="C102" i="2"/>
  <c r="D274" i="2"/>
  <c r="D138" i="2"/>
  <c r="D295" i="2"/>
  <c r="C205" i="2"/>
  <c r="C128" i="2"/>
  <c r="D224" i="2"/>
  <c r="D119" i="2"/>
  <c r="C270" i="2"/>
  <c r="C300" i="2"/>
  <c r="C114" i="2"/>
  <c r="D88" i="2"/>
  <c r="D234" i="2"/>
  <c r="D186" i="2"/>
  <c r="C217" i="2"/>
  <c r="C140" i="2"/>
  <c r="D236" i="2"/>
  <c r="D131" i="2"/>
  <c r="D285" i="2"/>
  <c r="C84" i="2"/>
  <c r="C138" i="2"/>
  <c r="D160" i="2"/>
  <c r="D111" i="2"/>
  <c r="D139" i="2"/>
  <c r="C230" i="2"/>
  <c r="C135" i="2"/>
  <c r="D221" i="2"/>
  <c r="D214" i="2"/>
  <c r="D262" i="2"/>
  <c r="C297" i="2"/>
  <c r="D246" i="2"/>
  <c r="D93" i="2"/>
  <c r="C212" i="2"/>
  <c r="D203" i="2"/>
  <c r="C228" i="2"/>
  <c r="D174" i="2"/>
  <c r="C145" i="2"/>
  <c r="D164" i="2"/>
  <c r="D252" i="2"/>
  <c r="C218" i="2"/>
  <c r="D209" i="2"/>
  <c r="C240" i="2"/>
  <c r="D198" i="2"/>
  <c r="D249" i="2"/>
  <c r="C266" i="2"/>
  <c r="D257" i="2"/>
  <c r="C307" i="2"/>
  <c r="C302" i="2"/>
  <c r="C154" i="2"/>
  <c r="C272" i="2"/>
  <c r="D263" i="2"/>
  <c r="D84" i="2"/>
  <c r="D112" i="2"/>
  <c r="D92" i="2"/>
  <c r="D275" i="2"/>
  <c r="D108" i="2"/>
  <c r="C89" i="2"/>
  <c r="D127" i="2"/>
  <c r="C123" i="2"/>
  <c r="D190" i="2"/>
  <c r="C284" i="2"/>
  <c r="D114" i="2"/>
  <c r="D175" i="2"/>
  <c r="C171" i="2"/>
  <c r="D279" i="2"/>
  <c r="D196" i="2"/>
  <c r="D237" i="2"/>
  <c r="D121" i="2"/>
  <c r="D276" i="2"/>
  <c r="C189" i="2"/>
  <c r="C299" i="2"/>
  <c r="D181" i="2"/>
  <c r="D220" i="2"/>
  <c r="D193" i="2"/>
  <c r="C265" i="2"/>
  <c r="D265" i="2"/>
  <c r="C173" i="2"/>
  <c r="C117" i="2"/>
  <c r="C276" i="2"/>
  <c r="C177" i="2"/>
  <c r="D258" i="2"/>
  <c r="D291" i="2"/>
  <c r="C203" i="2"/>
  <c r="C261" i="2"/>
  <c r="C100" i="2"/>
  <c r="D178" i="2"/>
  <c r="C286" i="2"/>
  <c r="C73" i="2"/>
  <c r="J57" i="1"/>
  <c r="K57" i="1"/>
  <c r="I59" i="1"/>
  <c r="I57" i="1"/>
  <c r="K58" i="1"/>
  <c r="K59" i="1"/>
  <c r="J58" i="1"/>
  <c r="I58" i="1"/>
  <c r="H57" i="1"/>
  <c r="K56" i="1"/>
  <c r="H59" i="1"/>
  <c r="H58" i="1"/>
  <c r="J59" i="1"/>
  <c r="H56" i="1"/>
  <c r="J56" i="1"/>
  <c r="I56" i="1"/>
  <c r="M61" i="1" a="1"/>
  <c r="C77" i="2"/>
  <c r="G52" i="10" l="1"/>
  <c r="O337" i="2"/>
  <c r="O186" i="2"/>
  <c r="O174" i="2"/>
  <c r="O229" i="2"/>
  <c r="O358" i="2"/>
  <c r="O183" i="2"/>
  <c r="O122" i="2"/>
  <c r="O113" i="2"/>
  <c r="O158" i="2"/>
  <c r="O464" i="2"/>
  <c r="O182" i="2"/>
  <c r="O296" i="2"/>
  <c r="O471" i="2"/>
  <c r="O444" i="2"/>
  <c r="O359" i="2"/>
  <c r="O86" i="2"/>
  <c r="O489" i="2"/>
  <c r="O258" i="2"/>
  <c r="O244" i="2"/>
  <c r="O50" i="2"/>
  <c r="O399" i="2"/>
  <c r="O88" i="2"/>
  <c r="O270" i="2"/>
  <c r="O352" i="2"/>
  <c r="O223" i="2"/>
  <c r="O459" i="2"/>
  <c r="O179" i="2"/>
  <c r="O374" i="2"/>
  <c r="O379" i="2"/>
  <c r="O289" i="2"/>
  <c r="O162" i="2"/>
  <c r="O73" i="2"/>
  <c r="O46" i="2"/>
  <c r="O384" i="2"/>
  <c r="O463" i="2"/>
  <c r="O240" i="2"/>
  <c r="O480" i="2"/>
  <c r="O386" i="2"/>
  <c r="O272" i="2"/>
  <c r="O327" i="2"/>
  <c r="O294" i="2"/>
  <c r="O64" i="2"/>
  <c r="O255" i="2"/>
  <c r="O476" i="2"/>
  <c r="O334" i="2"/>
  <c r="O250" i="2"/>
  <c r="O442" i="2"/>
  <c r="O473" i="2"/>
  <c r="O214" i="2"/>
  <c r="O137" i="2"/>
  <c r="O365" i="2"/>
  <c r="O438" i="2"/>
  <c r="O373" i="2"/>
  <c r="O349" i="2"/>
  <c r="O360" i="2"/>
  <c r="O423" i="2"/>
  <c r="O193" i="2"/>
  <c r="O389" i="2"/>
  <c r="O238" i="2"/>
  <c r="O288" i="2"/>
  <c r="O211" i="2"/>
  <c r="O53" i="2"/>
  <c r="O325" i="2"/>
  <c r="O175" i="2"/>
  <c r="O146" i="2"/>
  <c r="O111" i="2"/>
  <c r="O448" i="2"/>
  <c r="O299" i="2"/>
  <c r="O43" i="2"/>
  <c r="O230" i="2"/>
  <c r="O192" i="2"/>
  <c r="O485" i="2"/>
  <c r="O98" i="2"/>
  <c r="O133" i="2"/>
  <c r="O234" i="2"/>
  <c r="O202" i="2"/>
  <c r="O257" i="2"/>
  <c r="O185" i="2"/>
  <c r="O260" i="2"/>
  <c r="O313" i="2"/>
  <c r="O408" i="2"/>
  <c r="O405" i="2"/>
  <c r="O117" i="2"/>
  <c r="O479" i="2"/>
  <c r="O100" i="2"/>
  <c r="O287" i="2"/>
  <c r="O83" i="2"/>
  <c r="O164" i="2"/>
  <c r="O314" i="2"/>
  <c r="O143" i="2"/>
  <c r="O125" i="2"/>
  <c r="O481" i="2"/>
  <c r="O264" i="2"/>
  <c r="O204" i="2"/>
  <c r="O455" i="2"/>
  <c r="O168" i="2"/>
  <c r="O241" i="2"/>
  <c r="O285" i="2"/>
  <c r="O232" i="2"/>
  <c r="O141" i="2"/>
  <c r="O134" i="2"/>
  <c r="O340" i="2"/>
  <c r="O74" i="2"/>
  <c r="O280" i="2"/>
  <c r="O154" i="2"/>
  <c r="O368" i="2"/>
  <c r="O277" i="2"/>
  <c r="O157" i="2"/>
  <c r="O428" i="2"/>
  <c r="O326" i="2"/>
  <c r="O138" i="2"/>
  <c r="O169" i="2"/>
  <c r="O329" i="2"/>
  <c r="O82" i="2"/>
  <c r="O468" i="2"/>
  <c r="O266" i="2"/>
  <c r="O220" i="2"/>
  <c r="O356" i="2"/>
  <c r="O472" i="2"/>
  <c r="O433" i="2"/>
  <c r="O167" i="2"/>
  <c r="O446" i="2"/>
  <c r="O63" i="2"/>
  <c r="O119" i="2"/>
  <c r="O421" i="2"/>
  <c r="O180" i="2"/>
  <c r="O142" i="2"/>
  <c r="O97" i="2"/>
  <c r="O217" i="2"/>
  <c r="O338" i="2"/>
  <c r="O261" i="2"/>
  <c r="O181" i="2"/>
  <c r="O302" i="2"/>
  <c r="O225" i="2"/>
  <c r="O92" i="2"/>
  <c r="O268" i="2"/>
  <c r="O93" i="2"/>
  <c r="O131" i="2"/>
  <c r="O149" i="2"/>
  <c r="O416" i="2"/>
  <c r="O369" i="2"/>
  <c r="O107" i="2"/>
  <c r="O245" i="2"/>
  <c r="O488" i="2"/>
  <c r="O224" i="2"/>
  <c r="O391" i="2"/>
  <c r="O62" i="2"/>
  <c r="O172" i="2"/>
  <c r="O339" i="2"/>
  <c r="O227" i="2"/>
  <c r="O484" i="2"/>
  <c r="O253" i="2"/>
  <c r="O249" i="2"/>
  <c r="O475" i="2"/>
  <c r="O279" i="2"/>
  <c r="O458" i="2"/>
  <c r="O341" i="2"/>
  <c r="O166" i="2"/>
  <c r="O219" i="2"/>
  <c r="O435" i="2"/>
  <c r="O454" i="2"/>
  <c r="O461" i="2"/>
  <c r="O450" i="2"/>
  <c r="O189" i="2"/>
  <c r="O393" i="2"/>
  <c r="O342" i="2"/>
  <c r="O376" i="2"/>
  <c r="O445" i="2"/>
  <c r="O407" i="2"/>
  <c r="O332" i="2"/>
  <c r="O335" i="2"/>
  <c r="O303" i="2"/>
  <c r="O380" i="2"/>
  <c r="O159" i="2"/>
  <c r="O439" i="2"/>
  <c r="O195" i="2"/>
  <c r="O127" i="2"/>
  <c r="O392" i="2"/>
  <c r="O95" i="2"/>
  <c r="O151" i="2"/>
  <c r="O80" i="2"/>
  <c r="O87" i="2"/>
  <c r="O94" i="2"/>
  <c r="O116" i="2"/>
  <c r="O72" i="2"/>
  <c r="O70" i="2"/>
  <c r="O55" i="2"/>
  <c r="O118" i="2"/>
  <c r="O474" i="2"/>
  <c r="O465" i="2"/>
  <c r="O210" i="2"/>
  <c r="O403" i="2"/>
  <c r="O78" i="2"/>
  <c r="O490" i="2"/>
  <c r="O413" i="2"/>
  <c r="O216" i="2"/>
  <c r="O246" i="2"/>
  <c r="O207" i="2"/>
  <c r="O132" i="2"/>
  <c r="O259" i="2"/>
  <c r="O305" i="2"/>
  <c r="O387" i="2"/>
  <c r="O123" i="2"/>
  <c r="O317" i="2"/>
  <c r="O420" i="2"/>
  <c r="O115" i="2"/>
  <c r="O418" i="2"/>
  <c r="O199" i="2"/>
  <c r="O276" i="2"/>
  <c r="O139" i="2"/>
  <c r="O108" i="2"/>
  <c r="O483" i="2"/>
  <c r="O47" i="2"/>
  <c r="O449" i="2"/>
  <c r="O361" i="2"/>
  <c r="O49" i="2"/>
  <c r="O56" i="2"/>
  <c r="O355" i="2"/>
  <c r="O278" i="2"/>
  <c r="O201" i="2"/>
  <c r="O319" i="2"/>
  <c r="O144" i="2"/>
  <c r="O85" i="2"/>
  <c r="O101" i="2"/>
  <c r="O41" i="2"/>
  <c r="P63" i="1"/>
  <c r="N62" i="1"/>
  <c r="N64" i="1"/>
  <c r="M64" i="1"/>
  <c r="P62" i="1"/>
  <c r="M63" i="1"/>
  <c r="O61" i="1"/>
  <c r="M61" i="1"/>
  <c r="M62" i="1"/>
  <c r="N61" i="1"/>
  <c r="O62" i="1"/>
  <c r="P61" i="1"/>
  <c r="O64" i="1"/>
  <c r="O63" i="1"/>
  <c r="P64" i="1"/>
  <c r="N63" i="1"/>
  <c r="G53" i="10" l="1"/>
  <c r="M51" i="1" a="1"/>
  <c r="P52" i="1"/>
  <c r="M53" i="1"/>
  <c r="N52" i="1"/>
  <c r="N51" i="1"/>
  <c r="O54" i="1"/>
  <c r="N54" i="1"/>
  <c r="M52" i="1"/>
  <c r="M54" i="1"/>
  <c r="P53" i="1"/>
  <c r="N53" i="1"/>
  <c r="P54" i="1"/>
  <c r="P51" i="1"/>
  <c r="O53" i="1"/>
  <c r="O52" i="1"/>
  <c r="O51" i="1"/>
  <c r="M51" i="1"/>
  <c r="G54" i="10" l="1"/>
  <c r="G55" i="10" l="1"/>
  <c r="G56" i="10" l="1"/>
  <c r="L30" i="12" a="1"/>
  <c r="L33" i="12" a="1"/>
  <c r="L31" i="12" a="1"/>
  <c r="L28" i="12" a="1"/>
  <c r="L23" i="12" a="1"/>
  <c r="L36" i="12" a="1"/>
  <c r="L26" i="12" a="1"/>
  <c r="L34" i="12" a="1"/>
  <c r="L24" i="12" a="1"/>
  <c r="L35" i="12" a="1"/>
  <c r="L25" i="12" a="1"/>
  <c r="L37" i="12" a="1"/>
  <c r="L27" i="12" a="1"/>
  <c r="L22" i="12" a="1"/>
  <c r="L32" i="12" a="1"/>
  <c r="L35" i="12" l="1"/>
  <c r="N35" i="12"/>
  <c r="M35" i="12"/>
  <c r="N25" i="12"/>
  <c r="M25" i="12"/>
  <c r="L25" i="12"/>
  <c r="P25" i="12" s="1"/>
  <c r="N32" i="12"/>
  <c r="M32" i="12"/>
  <c r="L32" i="12"/>
  <c r="P32" i="12" s="1"/>
  <c r="M34" i="12"/>
  <c r="L34" i="12"/>
  <c r="N34" i="12"/>
  <c r="N28" i="12"/>
  <c r="M28" i="12"/>
  <c r="L28" i="12"/>
  <c r="P28" i="12" s="1"/>
  <c r="L23" i="12"/>
  <c r="N23" i="12"/>
  <c r="M23" i="12"/>
  <c r="L26" i="12"/>
  <c r="M26" i="12"/>
  <c r="N26" i="12"/>
  <c r="N37" i="12"/>
  <c r="L37" i="12"/>
  <c r="M37" i="12"/>
  <c r="L22" i="12"/>
  <c r="N22" i="12"/>
  <c r="M22" i="12"/>
  <c r="N36" i="12"/>
  <c r="L36" i="12"/>
  <c r="M36" i="12"/>
  <c r="N27" i="12"/>
  <c r="M27" i="12"/>
  <c r="L27" i="12"/>
  <c r="P27" i="12" s="1"/>
  <c r="N30" i="12"/>
  <c r="M30" i="12"/>
  <c r="L30" i="12"/>
  <c r="M31" i="12"/>
  <c r="L31" i="12"/>
  <c r="N31" i="12"/>
  <c r="M33" i="12"/>
  <c r="N33" i="12"/>
  <c r="L33" i="12"/>
  <c r="P33" i="12" s="1"/>
  <c r="N24" i="12"/>
  <c r="M24" i="12"/>
  <c r="L24" i="12"/>
  <c r="P24" i="12" s="1"/>
  <c r="P30" i="12" l="1"/>
  <c r="P34" i="12"/>
  <c r="P36" i="12"/>
  <c r="P23" i="12"/>
  <c r="P37" i="12"/>
  <c r="P26" i="12"/>
  <c r="P31" i="12"/>
  <c r="P22" i="12"/>
  <c r="P35" i="12"/>
  <c r="L29" i="12" l="1" a="1"/>
  <c r="N29" i="12"/>
  <c r="M29" i="12"/>
  <c r="L29" i="12"/>
  <c r="P29" i="12"/>
</calcChain>
</file>

<file path=xl/comments1.xml><?xml version="1.0" encoding="utf-8"?>
<comments xmlns="http://schemas.openxmlformats.org/spreadsheetml/2006/main">
  <authors>
    <author>hunor</author>
  </authors>
  <commentList>
    <comment ref="Q13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Normal to the plane</t>
        </r>
      </text>
    </comment>
    <comment ref="N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These point are in a plane</t>
        </r>
      </text>
    </comment>
    <comment ref="P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must be zeroes</t>
        </r>
      </text>
    </comment>
  </commentList>
</comments>
</file>

<file path=xl/sharedStrings.xml><?xml version="1.0" encoding="utf-8"?>
<sst xmlns="http://schemas.openxmlformats.org/spreadsheetml/2006/main" count="13693" uniqueCount="8752">
  <si>
    <t>Concat</t>
  </si>
  <si>
    <t>Circ</t>
  </si>
  <si>
    <t>Stats</t>
  </si>
  <si>
    <t>Spreadsheet test of xlwExample.cpp (Getting started of Excel32 C++ Wrapper)</t>
  </si>
  <si>
    <t>IsInWiz</t>
  </si>
  <si>
    <t>NbCalls</t>
  </si>
  <si>
    <t>str1</t>
  </si>
  <si>
    <t>str2</t>
  </si>
  <si>
    <t>Concat()</t>
  </si>
  <si>
    <t>Concat4()</t>
  </si>
  <si>
    <t>Concat12()</t>
  </si>
  <si>
    <t xml:space="preserve">Hello </t>
  </si>
  <si>
    <t>World!</t>
  </si>
  <si>
    <t xml:space="preserve">Ahoj </t>
  </si>
  <si>
    <t>Světe!</t>
  </si>
  <si>
    <t>abba</t>
  </si>
  <si>
    <t>ebbe</t>
  </si>
  <si>
    <t>ide</t>
  </si>
  <si>
    <t>oda</t>
  </si>
  <si>
    <t>BS=</t>
  </si>
  <si>
    <t>Filename</t>
  </si>
  <si>
    <t>Strike</t>
  </si>
  <si>
    <t>Forward</t>
  </si>
  <si>
    <t>AtmVol</t>
  </si>
  <si>
    <t>Time</t>
  </si>
  <si>
    <t>Model</t>
  </si>
  <si>
    <t>LN</t>
  </si>
  <si>
    <t>MCPaths</t>
  </si>
  <si>
    <t>Precision</t>
  </si>
  <si>
    <t>Map</t>
  </si>
  <si>
    <t>Info</t>
  </si>
  <si>
    <t>List</t>
  </si>
  <si>
    <t>minPos</t>
  </si>
  <si>
    <t>maxPos</t>
  </si>
  <si>
    <t>step</t>
  </si>
  <si>
    <t>mean</t>
  </si>
  <si>
    <t>capacity</t>
  </si>
  <si>
    <t>CreateIndex</t>
  </si>
  <si>
    <t>meanCalculator</t>
  </si>
  <si>
    <t>stdev</t>
  </si>
  <si>
    <t>ema</t>
  </si>
  <si>
    <t>alpha</t>
  </si>
  <si>
    <t>emadev</t>
  </si>
  <si>
    <t>Analyse</t>
  </si>
  <si>
    <t>nbIndicators</t>
  </si>
  <si>
    <t>indicator1</t>
  </si>
  <si>
    <t>indicator2</t>
  </si>
  <si>
    <t>Remove all</t>
  </si>
  <si>
    <t>createMarket</t>
  </si>
  <si>
    <t>maxOrders</t>
  </si>
  <si>
    <t>createTrader</t>
  </si>
  <si>
    <t>createStrategy</t>
  </si>
  <si>
    <t>shortLimit</t>
  </si>
  <si>
    <t>fileHandle</t>
  </si>
  <si>
    <t>market</t>
  </si>
  <si>
    <t>longLimit</t>
  </si>
  <si>
    <t>trader</t>
  </si>
  <si>
    <t>w1</t>
  </si>
  <si>
    <t>w2</t>
  </si>
  <si>
    <t>Simulate</t>
  </si>
  <si>
    <t>strategy</t>
  </si>
  <si>
    <t>strategyName</t>
  </si>
  <si>
    <t>indexName</t>
  </si>
  <si>
    <t>indicator3</t>
  </si>
  <si>
    <t>indicator4</t>
  </si>
  <si>
    <t>Path</t>
  </si>
  <si>
    <t>memory</t>
  </si>
  <si>
    <t>indexmemory</t>
  </si>
  <si>
    <t>subIndex</t>
  </si>
  <si>
    <t>simulate</t>
  </si>
  <si>
    <t>update &amp; simulate</t>
  </si>
  <si>
    <t>rangeTrader</t>
  </si>
  <si>
    <t>histeresis</t>
  </si>
  <si>
    <t>momentsCrossing</t>
  </si>
  <si>
    <t>Report</t>
  </si>
  <si>
    <t>report</t>
  </si>
  <si>
    <t>Sell</t>
  </si>
  <si>
    <t>Statistics</t>
  </si>
  <si>
    <t>handle</t>
  </si>
  <si>
    <t>oa_ema</t>
  </si>
  <si>
    <t>tau</t>
  </si>
  <si>
    <t>short term memory, low alpha</t>
  </si>
  <si>
    <t>long term memory, higher alpha</t>
  </si>
  <si>
    <t>CreateIndicator</t>
  </si>
  <si>
    <t>n</t>
  </si>
  <si>
    <t>emai</t>
  </si>
  <si>
    <t>differential</t>
  </si>
  <si>
    <t>beta</t>
  </si>
  <si>
    <t>gamma</t>
  </si>
  <si>
    <t>f:\\cobra\\unique\\2005\\</t>
  </si>
  <si>
    <t>f:\Cobra\unique\2005\GBP-JPY.db</t>
  </si>
  <si>
    <t>Algo</t>
  </si>
  <si>
    <t>Dijkstra</t>
  </si>
  <si>
    <t>StartNode</t>
  </si>
  <si>
    <t>F:\Leisure\gopro\unshake\start0658b.tga</t>
  </si>
  <si>
    <t>FileName</t>
  </si>
  <si>
    <t>Open</t>
  </si>
  <si>
    <t>F:\Projects\finlib\ZAZA.csv</t>
  </si>
  <si>
    <t>OpenCSVFile</t>
  </si>
  <si>
    <t>list</t>
  </si>
  <si>
    <t>MergeSortRemoveDuplicates</t>
  </si>
  <si>
    <t>MergeSortDuplicatesOnly</t>
  </si>
  <si>
    <t>frequencydistribution</t>
  </si>
  <si>
    <t>tta</t>
  </si>
  <si>
    <t>zizi</t>
  </si>
  <si>
    <t>zazi</t>
  </si>
  <si>
    <t>l:\pass.jpg</t>
  </si>
  <si>
    <t>X</t>
  </si>
  <si>
    <t>Y</t>
  </si>
  <si>
    <t>EditDistance</t>
  </si>
  <si>
    <t xml:space="preserve">0040b25fceb35d4c7ff770b66d6be621	</t>
  </si>
  <si>
    <t xml:space="preserve">	e:\GoogleDrive\articles\maths\CS683 - Advanced algorithms\lec22.ps				</t>
  </si>
  <si>
    <t xml:space="preserve">	e:\GoogleDrive\articles\Wystup - FX Volatility smile construction (2009 Oct).pdf				</t>
  </si>
  <si>
    <t xml:space="preserve">00196338a08916394efbb3e555e22462	</t>
  </si>
  <si>
    <t xml:space="preserve">001e7911c4d4c5e93f0ea6531a45f90e	</t>
  </si>
  <si>
    <t xml:space="preserve">002358d1472a09b61c7945efe9049677	</t>
  </si>
  <si>
    <t xml:space="preserve">	e:\GoogleDrive\articles\Andrews Sequin - Type-Constrained Direct Fitting of Quadric Surfaces (2013)	.pd	f		</t>
  </si>
  <si>
    <t xml:space="preserve">00259582592564ae6e734983d2ce578d	</t>
  </si>
  <si>
    <t xml:space="preserve">	e:\GoogleDrive\articles\maths sp‚\chapitre15 - courbes.pdf				</t>
  </si>
  <si>
    <t xml:space="preserve">004955c2bb9da5978255971ffe802f87	</t>
  </si>
  <si>
    <t xml:space="preserve">	e:\GoogleDrive\articles\hull and white - forward rate volatilities swap rate volati.pdf				</t>
  </si>
  <si>
    <t xml:space="preserve">	e:\GoogleDrive\articles\hull and white - forward rate volatilities swap rate volatilities and the i	mpl	emen	ta	tion of the LMM - prn.pdf</t>
  </si>
  <si>
    <t xml:space="preserve">	e:\GoogleDrive\articles\Hull White - Forward rate volatilities swap rate volatilit.pdf				</t>
  </si>
  <si>
    <t xml:space="preserve">	e:\GoogleDrive\articles\hull white - forward rate volatilities swap rate volatilities and  the imp	lem	enta	ti	on of LMM.pdf</t>
  </si>
  <si>
    <t xml:space="preserve">0052ad50500aea3ceb7082b67b671b3b	</t>
  </si>
  <si>
    <t xml:space="preserve">	e:\GoogleDrive\articles\crepey - Calibration of the local volatility in a trinomial tree using Tikho	nov	reg	ul	arization.pdf</t>
  </si>
  <si>
    <t xml:space="preserve">0053ce84766c683c3f584aa3e9da328b	</t>
  </si>
  <si>
    <t xml:space="preserve">	e:\GoogleDrive\articles\articles.txt				</t>
  </si>
  <si>
    <t xml:space="preserve">00837971cb4051b5e499a2308e7e9a2f	</t>
  </si>
  <si>
    <t xml:space="preserve">	e:\GoogleDrive\articles\numericalR\c10-1.pdf				</t>
  </si>
  <si>
    <t xml:space="preserve">008dd94b5ee829f60559514d75493184	</t>
  </si>
  <si>
    <t xml:space="preserve">	e:\GoogleDrive\articles\info - algo\Pugh - Skip Lists A Probabilistic Alternative to balanced trees	.pd	f		</t>
  </si>
  <si>
    <t xml:space="preserve">009642aa973b03c1358f3e50fa739607	</t>
  </si>
  <si>
    <t xml:space="preserve">	e:\GoogleDrive\articles\wilmott\0805_unrisk.pdf				</t>
  </si>
  <si>
    <t>00a351bc2b5a405346bfec51458b71c1</t>
  </si>
  <si>
    <t xml:space="preserve">	e:\GoogleDrive\articles\glassman - Numerical solution of jump-diffusion LIBOR market models.pdf				</t>
  </si>
  <si>
    <t xml:space="preserve">	e:\GoogleDrive\articles\glassman - Numerical solution of jump-diffusion LIBOR market.pdf				</t>
  </si>
  <si>
    <t>00aa5aea41facbd6bad9d3ca5794ce7d</t>
  </si>
  <si>
    <t xml:space="preserve">	e:\GoogleDrive\articles\Gatheral - lecture2_2005.pdf				</t>
  </si>
  <si>
    <t xml:space="preserve">00b0ab3596171b62b62e94ad9e0d2379	</t>
  </si>
  <si>
    <t xml:space="preserve">	e:\GoogleDrive\articles\zou - strike adjusted spread - A new metric for estimating the value of equi	ty	opti	on	(1999).pdf</t>
  </si>
  <si>
    <t xml:space="preserve">00d53b349703f58ae420fba1353db86f	</t>
  </si>
  <si>
    <t xml:space="preserve">	e:\GoogleDrive\articles\info - data mining\david mount - Space-Time Tradeoffs for Approximate Spheri	cal	Ran	ge	Counting (soda05).pdf</t>
  </si>
  <si>
    <t xml:space="preserve">00d769ce86ba591ab69fd25412887bc3	</t>
  </si>
  <si>
    <t xml:space="preserve">	e:\GoogleDrive\articles\talay - Probabilistic Numerical Methods for Partial (1996).pdf				</t>
  </si>
  <si>
    <t xml:space="preserve">00e22a00187c20999d5bf71a25705b3f	</t>
  </si>
  <si>
    <t xml:space="preserve">	e:\GoogleDrive\articles\statistics\backuper.hcs				</t>
  </si>
  <si>
    <t xml:space="preserve">00fa2cbdce74120849b7e88016b5b803	</t>
  </si>
  <si>
    <t xml:space="preserve">	e:\GoogleDrive\articles\lecture\Lecture2.pdf				</t>
  </si>
  <si>
    <t xml:space="preserve">01160da3d55a212529932d2cca951631	</t>
  </si>
  <si>
    <t xml:space="preserve">	e:\GoogleDrive\articles\mn480 - computational techniques\chapt3.pdf				</t>
  </si>
  <si>
    <t xml:space="preserve">01187f51a2c34d9f6b01c3e5608c4d92	</t>
  </si>
  <si>
    <t xml:space="preserve">	e:\GoogleDrive\articles\wilmott\2002_09_36to37_Collector_Cartoons.pdf				</t>
  </si>
  <si>
    <t xml:space="preserve">012b843b349064789248baeb25d51c00	</t>
  </si>
  <si>
    <t xml:space="preserve">	e:\GoogleDrive\articles\culture generale\economics\macroeconomics\LN - ch17 - extra reading.pdf				</t>
  </si>
  <si>
    <t>014c76fc185dc7d26eca3f4fea46f81f</t>
  </si>
  <si>
    <t xml:space="preserve">	e:\GoogleDrive\articles\inflation - 583641.pdf				</t>
  </si>
  <si>
    <t xml:space="preserve">014dac9c238a2d970bfe651e8c25f7bf	</t>
  </si>
  <si>
    <t xml:space="preserve">	e:\GoogleDrive\articles\wilmott\2002_09_02_Eds_Letter.pdf				</t>
  </si>
  <si>
    <t xml:space="preserve">015984a2ab84092574f82d5d41476328	</t>
  </si>
  <si>
    <t xml:space="preserve">	e:\GoogleDrive\articles\the jourmal of alternative investments.pdf				</t>
  </si>
  <si>
    <t xml:space="preserve">01be803d3bca8777978373604c7fc982	</t>
  </si>
  <si>
    <t xml:space="preserve">	e:\GoogleDrive\articles\yinqiu neftci - Convexity Adjustments and Forward Libor Model case of CMS.	pdf			</t>
  </si>
  <si>
    <t xml:space="preserve">01bec4157873938257c2637052edf550	</t>
  </si>
  <si>
    <t xml:space="preserve">	e:\GoogleDrive\articles\maths\optimisation\gradsamp.pdf				</t>
  </si>
  <si>
    <t xml:space="preserve">0215efc52863826caad7cc12280cb1b7	</t>
  </si>
  <si>
    <t xml:space="preserve">	e:\GoogleDrive\articles\(phd) hunor\phd\figures\aef.eps				</t>
  </si>
  <si>
    <t xml:space="preserve">021875d3b481a4e0de5ed081197f2b2b	</t>
  </si>
  <si>
    <t xml:space="preserve">	e:\GoogleDrive\articles\maths\xcheng\backuper.hcs				</t>
  </si>
  <si>
    <t xml:space="preserve">021e109e1cb37427cb9d600937093388	</t>
  </si>
  <si>
    <t xml:space="preserve">	e:\GoogleDrive\articles\info - graphics\perez gangnet blake - Poisson Image Editing.pdf				</t>
  </si>
  <si>
    <t xml:space="preserve">021f3a22b7d77fa03752c10bdf15050f	</t>
  </si>
  <si>
    <t xml:space="preserve">	e:\GoogleDrive\articles\numericalR\c1-2.pdf				</t>
  </si>
  <si>
    <t xml:space="preserve">0233139630853df640b31739fc1eda7a	</t>
  </si>
  <si>
    <t xml:space="preserve">	e:\GoogleDrive\articles\data mining\ECMLPKDD2004\workshops\W1.pdf				</t>
  </si>
  <si>
    <t xml:space="preserve">0236c34461d35b1b2c4e050cf75aed4c	</t>
  </si>
  <si>
    <t xml:space="preserve">	e:\GoogleDrive\articles\cohen - estimating parameters of logarithmic-normal distributions by maximum	Li	keli	ho	od.pdf</t>
  </si>
  <si>
    <t xml:space="preserve">	e:\GoogleDrive\articles\cohen - Estimating Parameters of Logarithmic-Normal Distributions by maximum	li	kely	ho	od.pdf</t>
  </si>
  <si>
    <t xml:space="preserve">026430a612fbcbb28bc0e558142aa62a	</t>
  </si>
  <si>
    <t xml:space="preserve">	e:\GoogleDrive\articles\kcl seminars\verma dupire - Break-even volatility surfaces.ppt				</t>
  </si>
  <si>
    <t xml:space="preserve">0287b7f4b9c64c44384f80da1c22526c	</t>
  </si>
  <si>
    <t xml:space="preserve">	e:\GoogleDrive\articles\rouah - Four Derivations of the Black Scholes PDE.pdf				</t>
  </si>
  <si>
    <t xml:space="preserve">028f529599eefad14a9110e0341103f1	</t>
  </si>
  <si>
    <t xml:space="preserve">	e:\GoogleDrive\articles\Nawalkha - The LMM a critical review.pdf				</t>
  </si>
  <si>
    <t xml:space="preserve">02941b979d48ad72fcb8da0e361fccda	</t>
  </si>
  <si>
    <t xml:space="preserve">	e:\GoogleDrive\articles\Bennett - Accelerated Root Finding for Computational Finance.pdf				</t>
  </si>
  <si>
    <t xml:space="preserve">02bed53609f2c1a2d789504202c8f257	</t>
  </si>
  <si>
    <t xml:space="preserve">	e:\GoogleDrive\articles\(ebook) - Regression linear models in statistics.pdf				</t>
  </si>
  <si>
    <t xml:space="preserve">02c4c93cbb90eeae9f2e109a3c094ce6	</t>
  </si>
  <si>
    <t xml:space="preserve">	e:\GoogleDrive\articles\wilmott\0211_bookreviews.pdf				</t>
  </si>
  <si>
    <t xml:space="preserve">02c67673b748bee5d6c51b61d1ccc629	</t>
  </si>
  <si>
    <t xml:space="preserve">	e:\GoogleDrive\articles\stanford - convex optimisation\10 - unconstrained.pdf				</t>
  </si>
  <si>
    <t xml:space="preserve">02d744e6299c9e11eb96f56fc46fc375	</t>
  </si>
  <si>
    <t xml:space="preserve">	e:\GoogleDrive\articles\steiner - ewmafir.pdf				</t>
  </si>
  <si>
    <t xml:space="preserve">02dcd42453245ad0f860368a4a7506bf	</t>
  </si>
  <si>
    <t xml:space="preserve">	e:\GoogleDrive\articles\(phd) hunor\neigbours\maneewongvatana01empirical.pdf				</t>
  </si>
  <si>
    <t xml:space="preserve">02eaa0ec0d717b014575304eaa4cd1ac	</t>
  </si>
  <si>
    <t xml:space="preserve">	e:\GoogleDrive\articles\derman kani - the volatility surface and its implied tree(1994).pdf				</t>
  </si>
  <si>
    <t xml:space="preserve">03066bf39709f307e91cbc1bf7b11754	</t>
  </si>
  <si>
    <t xml:space="preserve">	e:\GoogleDrive\articles\(phd) hunor\neigbours\agarwal96range[1].pdf				</t>
  </si>
  <si>
    <t xml:space="preserve">0343a38be40379c8a4ec59b8d05ee75b	</t>
  </si>
  <si>
    <t xml:space="preserve">	e:\GoogleDrive\articles\wilmott\0611_ziemba.pdf				</t>
  </si>
  <si>
    <t xml:space="preserve">034454f2898c26af5bb1805753877bf8	</t>
  </si>
  <si>
    <t xml:space="preserve">	e:\GoogleDrive\articles\wilmott\0305_lyceum.pdf				</t>
  </si>
  <si>
    <t xml:space="preserve">03675a067f35ede31709a23bc758dbbc	</t>
  </si>
  <si>
    <t xml:space="preserve">	e:\GoogleDrive\articles\love_latex_maths+pix_ps.pdf				</t>
  </si>
  <si>
    <t xml:space="preserve">036a55f16cc0d8658459a513eb8d59d0	</t>
  </si>
  <si>
    <t xml:space="preserve">	e:\GoogleDrive\articles\shreve corrections.txt				</t>
  </si>
  <si>
    <t xml:space="preserve">036aea7038a85fa71a323543030fe8ee	</t>
  </si>
  <si>
    <t xml:space="preserve">	e:\GoogleDrive\articles\latex files\Callable Monte Carlo40c.doc				</t>
  </si>
  <si>
    <t xml:space="preserve">036e1c21ff634dc51d3151eabbe4e425	</t>
  </si>
  <si>
    <t xml:space="preserve">	e:\GoogleDrive\articles\global risk 2007\day2\Alexander Antonov.pdf				</t>
  </si>
  <si>
    <t xml:space="preserve">0376ff13ef4dbeda875992cdd3b5597f	</t>
  </si>
  <si>
    <t xml:space="preserve">	e:\GoogleDrive\articles\kang - option trading strategies.pdf				</t>
  </si>
  <si>
    <t xml:space="preserve">0378661eeaf43faa9514c0ac670d0ee8	</t>
  </si>
  <si>
    <t xml:space="preserve">	e:\GoogleDrive\articles\wilmott\0803_coverstory.pdf				</t>
  </si>
  <si>
    <t xml:space="preserve">0381c9f26422f26463c24e630f24b84c	</t>
  </si>
  <si>
    <t xml:space="preserve">	e:\GoogleDrive\articles\(eBook) oksendal - solutions.pdf				</t>
  </si>
  <si>
    <t xml:space="preserve">0395a7ca3f97d671cb7066d3ab09e921	</t>
  </si>
  <si>
    <t xml:space="preserve">	e:\GoogleDrive\articles\wilmott\0509_unrisk.pdf				</t>
  </si>
  <si>
    <t xml:space="preserve">03ab8a059f30b73b6de96b7dd56304f6	</t>
  </si>
  <si>
    <t xml:space="preserve">	e:\GoogleDrive\articles\maths\exercices\ps4.pdf				</t>
  </si>
  <si>
    <t xml:space="preserve">03ae3a03acebab0977f2d31d112ac610	</t>
  </si>
  <si>
    <t xml:space="preserve">	e:\GoogleDrive\articles\info - graphics\(lecture notes) Polygon Triangulation.pdf				</t>
  </si>
  <si>
    <t xml:space="preserve">03d472f45bc585532d0bf33bd3e9b24b	</t>
  </si>
  <si>
    <t xml:space="preserve">	e:\GoogleDrive\articles\lobaskin\The Concepts and Practice of Mathematical Finance.pdf				</t>
  </si>
  <si>
    <t xml:space="preserve">03d5aacd6691da5c0048fca358bf0706	</t>
  </si>
  <si>
    <t xml:space="preserve">	e:\GoogleDrive\articles\(phd) hunor\phd\these.tps				</t>
  </si>
  <si>
    <t xml:space="preserve">03eb498aab04a505cebdd7cf65aa6047	</t>
  </si>
  <si>
    <t xml:space="preserve">	e:\GoogleDrive\articles\entropy\cont2.pdf				</t>
  </si>
  <si>
    <t xml:space="preserve">	e:\GoogleDrive\articles\wystupp book\mm\cont2.pdf				</t>
  </si>
  <si>
    <t xml:space="preserve">03ecbfe9b2b6ff963bd27cb4a4406936	</t>
  </si>
  <si>
    <t xml:space="preserve">	e:\GoogleDrive\articles\Implied Correlation for Pricing multi-FX options.pdf				</t>
  </si>
  <si>
    <t xml:space="preserve">03f2afce6514b3d0c7fee363aa24ff5e	</t>
  </si>
  <si>
    <t xml:space="preserve">	e:\GoogleDrive\articles\maths\lemmermayer\hwnth01.pdf				</t>
  </si>
  <si>
    <t xml:space="preserve">03fb918858853b8f940b073d2178d13f	</t>
  </si>
  <si>
    <t xml:space="preserve">	e:\GoogleDrive\articles\brownian bridge\545.ps.Z				</t>
  </si>
  <si>
    <t xml:space="preserve">040243a5a8552593901e5c6eb8d8dec9	</t>
  </si>
  <si>
    <t xml:space="preserve">	e:\GoogleDrive\articles\math - Tridiagonal matrix algorithm.doc				</t>
  </si>
  <si>
    <t xml:space="preserve">040c1e841153afdeb721c90e6955bb51	</t>
  </si>
  <si>
    <t xml:space="preserve">	e:\GoogleDrive\articles\culture generale\economics\macroeconomics\LN - ch4 - growth_accounting.pdf				</t>
  </si>
  <si>
    <t xml:space="preserve">040c69ed6040595cae6c595da9514c52	</t>
  </si>
  <si>
    <t xml:space="preserve">	e:\GoogleDrive\articles\vecer - Unified Pricing of Asian Options.pdf				</t>
  </si>
  <si>
    <t xml:space="preserve">040f509494ba1b2a0aaf63de1ec7041f	</t>
  </si>
  <si>
    <t xml:space="preserve">	e:\GoogleDrive\articles\latex files\figures\sensitivity.txt				</t>
  </si>
  <si>
    <t xml:space="preserve">041e6c075cb029fd11286eba63c067cd	</t>
  </si>
  <si>
    <t xml:space="preserve">	e:\GoogleDrive\articles\wilmott\0807_staunton.pdf				</t>
  </si>
  <si>
    <t xml:space="preserve">042ba7a40be06eaa71cb27432936f89d	</t>
  </si>
  <si>
    <t xml:space="preserve">	e:\GoogleDrive\articles\Wilmott-Ahmad Which free lunch would you like today sir.pdf				</t>
  </si>
  <si>
    <t xml:space="preserve">0438437fdfc5e4ebd28486f0d9905d16	</t>
  </si>
  <si>
    <t xml:space="preserve">	e:\GoogleDrive\articles\WBS IR modelling Course\Credit Derivatives and Hybrids\HY2.4Tourkine_94.pdf				</t>
  </si>
  <si>
    <t xml:space="preserve">045f1930651877899e31bfdbcfb0cbcb	</t>
  </si>
  <si>
    <t xml:space="preserve">	e:\GoogleDrive\articles\Lucic - Minimum Relative Entropy Approach to Correlation Regularization Prob	lem	.pdf		</t>
  </si>
  <si>
    <t xml:space="preserve">0466ccdbe50897c7eb01d2472768f5c4	</t>
  </si>
  <si>
    <t xml:space="preserve">	e:\GoogleDrive\articles\global risk 2007\day2\Nasir Afaf - for website.ppt.zip				</t>
  </si>
  <si>
    <t xml:space="preserve">04676bbd47fa809cc4b65802efabb7b5	</t>
  </si>
  <si>
    <t xml:space="preserve">	e:\GoogleDrive\articles\grossi - efficient spliting and merging algorithms.ps				</t>
  </si>
  <si>
    <t xml:space="preserve">04724003c6efc135f14b64db21cf6b6b	</t>
  </si>
  <si>
    <t xml:space="preserve">	e:\GoogleDrive\articles\global risk 2007\day2\andreasen FINAL.zip				</t>
  </si>
  <si>
    <t xml:space="preserve">047cf0a5497b8b455d91cfc823d23190	</t>
  </si>
  <si>
    <t xml:space="preserve">	e:\GoogleDrive\articles\numericalR\c5-5.pdf				</t>
  </si>
  <si>
    <t xml:space="preserve">0484bd2a6d2b1721fa3f8e26056840b1	</t>
  </si>
  <si>
    <t xml:space="preserve">	e:\GoogleDrive\articles\(eBook) Bradley Patton - Essential Mathematics for Economics and Business.p	df			</t>
  </si>
  <si>
    <t xml:space="preserve">0492fae52888b6bd1ba16c432d85e908	</t>
  </si>
  <si>
    <t xml:space="preserve">	e:\GoogleDrive\articles\foot\url.txt				</t>
  </si>
  <si>
    <t xml:space="preserve">049f49085caa2878bd21cb1c258c256f	</t>
  </si>
  <si>
    <t xml:space="preserve">	e:\GoogleDrive\articles\wilmott\0711_brown.pdf				</t>
  </si>
  <si>
    <t xml:space="preserve">04ab9cf5fc3508093387aff3d330d272	</t>
  </si>
  <si>
    <t xml:space="preserve">	e:\GoogleDrive\articles\(eBook)  golumbic hartman - graph therory.pdf				</t>
  </si>
  <si>
    <t xml:space="preserve">04b888fc5ab5282a442efd00c7999e8e	</t>
  </si>
  <si>
    <t xml:space="preserve">	e:\GoogleDrive\articles\global risk 2007\day3\Mark Broadie - Paper for website 2.zip				</t>
  </si>
  <si>
    <t xml:space="preserve">04bfe688a89c38123faa2546a1594641	</t>
  </si>
  <si>
    <t xml:space="preserve">	e:\GoogleDrive\articles\(lecture notes) zitkovic - Introduction to Stochastic Processes.pdf				</t>
  </si>
  <si>
    <t xml:space="preserve">04dcab2824a00ee11a294fad2f04cae2	</t>
  </si>
  <si>
    <t xml:space="preserve">	e:\GoogleDrive\articles\global risk 2007\day2\14.30 Hyer.zip				</t>
  </si>
  <si>
    <t xml:space="preserve">04ed508e9099beb0ed9478b067100c7e	</t>
  </si>
  <si>
    <t xml:space="preserve">	e:\GoogleDrive\articles\administratif\caf - AH4486.pdf				</t>
  </si>
  <si>
    <t xml:space="preserve">04f348a3aed0b264e7bd6360c8d0dec2	</t>
  </si>
  <si>
    <t xml:space="preserve">	e:\GoogleDrive\articles\(eBook) gathen imana koc - Arithmetic of Finite Fields.pdf				</t>
  </si>
  <si>
    <t xml:space="preserve">04f6e307587c39d81862b34e1f3a02ff	</t>
  </si>
  <si>
    <t xml:space="preserve">	e:\GoogleDrive\articles\(ebook) - a non random walk down Wall street\chapt8.pdf				</t>
  </si>
  <si>
    <t xml:space="preserve">0506a6cf0b9a8c481ba1d3175849d98b	</t>
  </si>
  <si>
    <t xml:space="preserve">	e:\GoogleDrive\articles\wilmott\0509_news.pdf				</t>
  </si>
  <si>
    <t xml:space="preserve">051f12f38dfedcedccfa36af2e346bd1	</t>
  </si>
  <si>
    <t xml:space="preserve">	e:\GoogleDrive\articles\wilmott\0701_yang.pdf				</t>
  </si>
  <si>
    <t xml:space="preserve">0556ee1c65432c4b7ba3f91275f79305	</t>
  </si>
  <si>
    <t xml:space="preserve">	e:\GoogleDrive\articles\(ebook) - principles of data mining.pdf				</t>
  </si>
  <si>
    <t xml:space="preserve">05682185183d5c4c4f15e5df3d9daaa1	</t>
  </si>
  <si>
    <t xml:space="preserve">	e:\GoogleDrive\articles\Subdivision for Modeling and Animation tutorial SIGGRAPH99  course notes.pd	f			</t>
  </si>
  <si>
    <t xml:space="preserve">	e:\GoogleDrive\articles\info - graphics\sig99notes - Subdivision for Modeling and Animation.pdf				</t>
  </si>
  <si>
    <t xml:space="preserve">056a2953977e06ab7745bdf5a5348ca5	</t>
  </si>
  <si>
    <t xml:space="preserve">	e:\GoogleDrive\articles\london school of economics &amp; political science (dpt of mathemati\chapter4 -	Con	diti	on	al Expectation &amp; Martingales.pdf</t>
  </si>
  <si>
    <t xml:space="preserve">0577427c59018bcb58e11072f53817ea	</t>
  </si>
  <si>
    <t xml:space="preserve">	e:\GoogleDrive\articles\baviera - calibrating bond market model.pdf				</t>
  </si>
  <si>
    <t xml:space="preserve">059bc30f0d9251e6cfefcea1727c29ca	</t>
  </si>
  <si>
    <t xml:space="preserve">	e:\GoogleDrive\articles\(ebook) selesnick burrus - Digital Signal Processing Handbook\31.pdf				</t>
  </si>
  <si>
    <t xml:space="preserve">05b92e90673a2340266422c06c3d032f	</t>
  </si>
  <si>
    <t xml:space="preserve">	e:\GoogleDrive\articles\stressing corr matrixes.pdf				</t>
  </si>
  <si>
    <t xml:space="preserve">	e:\GoogleDrive\articles\RiskMetrics monitor\rmm4q97.pdf				</t>
  </si>
  <si>
    <t xml:space="preserve">05c15ea184da50f84ebfc4ddcd6bfe51	</t>
  </si>
  <si>
    <t xml:space="preserve">	e:\GoogleDrive\articles\wilmott\0311_careers.pdf				</t>
  </si>
  <si>
    <t xml:space="preserve">05c91a8178684b723123eae79a5fe52c	</t>
  </si>
  <si>
    <t xml:space="preserve">	e:\GoogleDrive\articles\ameur breton emuyer - A Numerical Procedure for Pricing American-style Asi	an	Opti	on	s.pdf</t>
  </si>
  <si>
    <t xml:space="preserve">05e8d9f94fa99efbd11b8c8b09bef6dc	</t>
  </si>
  <si>
    <t xml:space="preserve">	e:\GoogleDrive\articles\spreadoption - prn.pdf				</t>
  </si>
  <si>
    <t xml:space="preserve">05ea0156b9f2400a137fd3bbc92d5ff2	</t>
  </si>
  <si>
    <t xml:space="preserve">	e:\GoogleDrive\articles\WBS IR modelling Course\Credit Derivatives and Hybrids\CDWorkshop_1_63.pdf				</t>
  </si>
  <si>
    <t xml:space="preserve">05f0d54d4b9bf41ddcd75a9fd9d59a70	</t>
  </si>
  <si>
    <t xml:space="preserve">	e:\GoogleDrive\articles\wilmott\0211_drz.pdf				</t>
  </si>
  <si>
    <t xml:space="preserve">06057ab5c313f053ea6b20eb491afba0	</t>
  </si>
  <si>
    <t xml:space="preserve">	e:\GoogleDrive\articles\barrier - OT_derivativesweek.pdf				</t>
  </si>
  <si>
    <t xml:space="preserve">060a3207f4798ce57d63c1820c8624e4	</t>
  </si>
  <si>
    <t xml:space="preserve">	e:\GoogleDrive\articles\milne\math776 - corrections milnecft.pdf				</t>
  </si>
  <si>
    <t xml:space="preserve">060e52e126e86a9a91e8bdb5094a1c3c	</t>
  </si>
  <si>
    <t xml:space="preserve">	e:\GoogleDrive\articles\kleinert - path integrals 17.pdf				</t>
  </si>
  <si>
    <t xml:space="preserve">061519879d9de6f1da936f20b23755a6	</t>
  </si>
  <si>
    <t xml:space="preserve">	e:\GoogleDrive\articles\Five Ways of Reducing the crank-nicolson oscillations.pdf				</t>
  </si>
  <si>
    <t xml:space="preserve">061d6d2b10a1a52a0829617efe287796	</t>
  </si>
  <si>
    <t xml:space="preserve">	e:\GoogleDrive\articles\oxford dpt of statistics\finan67 - Martingales &amp; Stochastic calculus and Ito	's	form	ul	a.ps</t>
  </si>
  <si>
    <t xml:space="preserve">062e9fdcc7280a9a36bc5b14d91cf01c	</t>
  </si>
  <si>
    <t xml:space="preserve">	e:\GoogleDrive\articles\data mining\ECMLPKDD2004\workshops\W4.pdf				</t>
  </si>
  <si>
    <t xml:space="preserve">063a92f9e5bc3b67df57d75a977e4df8	</t>
  </si>
  <si>
    <t xml:space="preserve">	e:\GoogleDrive\articles\mark rubinstein\SuperTrust.doc				</t>
  </si>
  <si>
    <t xml:space="preserve">0645bf44a9d4023cbb32af9c54ade9ef	</t>
  </si>
  <si>
    <t xml:space="preserve">	e:\GoogleDrive\articles\wilmott\0405_brown.pdf				</t>
  </si>
  <si>
    <t xml:space="preserve">064bfbe913d4632e63694f4b1bae0b30	</t>
  </si>
  <si>
    <t xml:space="preserve">	e:\GoogleDrive\articles\(eBook) - Protter.P.E..Stochastic.integration.and.differenti.pdf				</t>
  </si>
  <si>
    <t xml:space="preserve">065011602f0a114234643e34cd46dee6	</t>
  </si>
  <si>
    <t xml:space="preserve">	e:\GoogleDrive\articles\imf publications\imf - wp03174.pdf				</t>
  </si>
  <si>
    <t xml:space="preserve">065d235bd25f48d0a9fa5504094eff63	</t>
  </si>
  <si>
    <t xml:space="preserve">	e:\GoogleDrive\articles\higham - computing the nearest correlation matrix -prn.pdf				</t>
  </si>
  <si>
    <t xml:space="preserve">0693d02b76a438f513f1f1a078bd8b39	</t>
  </si>
  <si>
    <t xml:space="preserve">	e:\GoogleDrive\articles\anagrammer\Assembly Language Step By Step.rar				</t>
  </si>
  <si>
    <t xml:space="preserve">069acc157902f6ca452acdea9192dacd	</t>
  </si>
  <si>
    <t xml:space="preserve">	e:\GoogleDrive\articles\latex files\Inflation forward.doc				</t>
  </si>
  <si>
    <t xml:space="preserve">06aab7f307aa2b55750a17d5ecd642e2	</t>
  </si>
  <si>
    <t xml:space="preserve">	e:\GoogleDrive\articles\blocker - maximum likelihood primer (2002).ps				</t>
  </si>
  <si>
    <t xml:space="preserve">06add08d7c93003f8d2600798b66d4a5	</t>
  </si>
  <si>
    <t xml:space="preserve">	e:\GoogleDrive\articles\risk0307 - Valuing inflation futures contracts.pdf				</t>
  </si>
  <si>
    <t xml:space="preserve">06bb3a6c0135b547bb35ab3b6572fff6	</t>
  </si>
  <si>
    <t xml:space="preserve">	e:\GoogleDrive\articles\wilmott\0705_editorial.pdf				</t>
  </si>
  <si>
    <t xml:space="preserve">06bd8ee1a03aab7e5bb3dfeed5c1e207	</t>
  </si>
  <si>
    <t xml:space="preserve">	e:\GoogleDrive\articles\zivot - ShortRateEMM.pdf				</t>
  </si>
  <si>
    <t xml:space="preserve">06becd0f359bf7bed55c4699244c72f0	</t>
  </si>
  <si>
    <t xml:space="preserve">	e:\GoogleDrive\articles\urls.txt				</t>
  </si>
  <si>
    <t xml:space="preserve">06dccf7083065789880d2f058374ce5f	</t>
  </si>
  <si>
    <t xml:space="preserve">	e:\GoogleDrive\articles\(ebook) selesnick burrus - Digital Signal Processing Handbook\16.pdf				</t>
  </si>
  <si>
    <t xml:space="preserve">06ee7e4d097be0fccff887062da04af6	</t>
  </si>
  <si>
    <t xml:space="preserve">	e:\GoogleDrive\articles\info - algo\info - CGAL Surface reconstruction from point sets .docx				</t>
  </si>
  <si>
    <t xml:space="preserve">	e:\GoogleDrive\articles\info - data mining\info - CGAL Surface reconstruction from point sets .docx				</t>
  </si>
  <si>
    <t xml:space="preserve">0714db9477c78665e04ed5424da088b6	</t>
  </si>
  <si>
    <t xml:space="preserve">	e:\GoogleDrive\articles\zamir etzioni - Web Document Clustering A Feasibility Demonstration.pdf				</t>
  </si>
  <si>
    <t xml:space="preserve">0748ddc68e65d76663c89d4abd6946a9	</t>
  </si>
  <si>
    <t xml:space="preserve">	e:\GoogleDrive\articles\(lecture notes) financial maths\chapter7.pdf				</t>
  </si>
  <si>
    <t xml:space="preserve">	e:\GoogleDrive\articles\lecture (financial mathematics)\chapter7.pdf				</t>
  </si>
  <si>
    <t xml:space="preserve">076436f49fe40eeabd9792a11f27ac3b	</t>
  </si>
  <si>
    <t xml:space="preserve">	e:\GoogleDrive\articles\administratif\omi.doc				</t>
  </si>
  <si>
    <t xml:space="preserve">0765ed172ee1fe74de799fb413a2b922	</t>
  </si>
  <si>
    <t xml:space="preserve">	e:\GoogleDrive\articles\exercices wt corrections - differential equations 5.pdf				</t>
  </si>
  <si>
    <t xml:space="preserve">076d1e9a2ace0b82dd17b86d57ccf994	</t>
  </si>
  <si>
    <t xml:space="preserve">	e:\GoogleDrive\articles\Documentation Maple en Fran‡ais.pdf				</t>
  </si>
  <si>
    <t xml:space="preserve">	e:\GoogleDrive\articles\info - algo\Maple - documentation en Fran‡ais.pdf				</t>
  </si>
  <si>
    <t xml:space="preserve">078ccf0ff0458337ebb7b0a76dac9f6a	</t>
  </si>
  <si>
    <t xml:space="preserve">	e:\GoogleDrive\articles\maths\xcheng\WEEK13.doc				</t>
  </si>
  <si>
    <t xml:space="preserve">0791309d211282681631bfc62dded4e0	</t>
  </si>
  <si>
    <t xml:space="preserve">	e:\GoogleDrive\articles\entropy\backuper.hcs				</t>
  </si>
  <si>
    <t xml:space="preserve">0794c25f952f378a25e7fbb9fba627df	</t>
  </si>
  <si>
    <t xml:space="preserve">	e:\GoogleDrive\articles\anagrammer\Modern Operating Systems.pdf				</t>
  </si>
  <si>
    <t xml:space="preserve">079b989ea8a0df21afb69a9e245a8110	</t>
  </si>
  <si>
    <t xml:space="preserve">	e:\GoogleDrive\articles\(eBook) - statistical methods\chapter05.pdf				</t>
  </si>
  <si>
    <t xml:space="preserve">07a1ae3c31f776ff6dfe7453db6b4587	</t>
  </si>
  <si>
    <t xml:space="preserve">	e:\GoogleDrive\articles\wystup - figures uocall_c.ps				</t>
  </si>
  <si>
    <t xml:space="preserve">07b0fa7c3d2d85a400bf863fe9f4b2ae	</t>
  </si>
  <si>
    <t xml:space="preserve">	e:\GoogleDrive\articles\wilmott\0709_vecer.pdf				</t>
  </si>
  <si>
    <t xml:space="preserve">07ff165ac7931ad668f73748484a379f	</t>
  </si>
  <si>
    <t xml:space="preserve">	e:\GoogleDrive\articles\anagrammer\Sequence Analysis In A Nutshell.chm				</t>
  </si>
  <si>
    <t xml:space="preserve">081cdb217aa141fe9f4cac271c7ff97c	</t>
  </si>
  <si>
    <t xml:space="preserve">	e:\GoogleDrive\articles\pistorius - pricing american and barrier uptions under stochastic volatility	mo	del	wi	th jumps.pdf</t>
  </si>
  <si>
    <t xml:space="preserve">082742399b4e04ccfd8702a3c212b01a	</t>
  </si>
  <si>
    <t xml:space="preserve">	e:\GoogleDrive\articles\maths - trig06.bmp				</t>
  </si>
  <si>
    <t xml:space="preserve">0837b2b017be330c449fccb5b715d8df	</t>
  </si>
  <si>
    <t xml:space="preserve">	e:\GoogleDrive\articles\wilmott\0505_duffy.pdf				</t>
  </si>
  <si>
    <t xml:space="preserve">083d204cab99e2184f5145b41ddb52c8	</t>
  </si>
  <si>
    <t xml:space="preserve">	e:\GoogleDrive\articles\info - graphics\lecture5 - shading.pdf				</t>
  </si>
  <si>
    <t xml:space="preserve">08601182e35ced45c0c9d412845d8f4f	</t>
  </si>
  <si>
    <t xml:space="preserve">	e:\GoogleDrive\articles\info - graphics\jia - surface-curvatures.pdf				</t>
  </si>
  <si>
    <t xml:space="preserve">0882d7acb6e9ba727b6cd13f5600f02e	</t>
  </si>
  <si>
    <t xml:space="preserve">	e:\GoogleDrive\articles\mark rubinstein\Alternative Paths to Portfolio Insurance.doc				</t>
  </si>
  <si>
    <t xml:space="preserve">088c5d05a7b7d8185d3f2cae52d4bbd7	</t>
  </si>
  <si>
    <t xml:space="preserve">	e:\GoogleDrive\articles\Rogers - MC valuation of american options.pdf				</t>
  </si>
  <si>
    <t xml:space="preserve">08bdec378dfddf1abf435dd38eab77f2	</t>
  </si>
  <si>
    <t xml:space="preserve">	e:\GoogleDrive\articles\hagan - Probability Distrinbutions in the sabr model.pdf				</t>
  </si>
  <si>
    <t xml:space="preserve">08cad31f5421df9b50d87c18e58a949f	</t>
  </si>
  <si>
    <t xml:space="preserve">	e:\GoogleDrive\articles\davies higham - numerically stable generation of correlation matrices and t	hei	r fa	ct	ors.pdf</t>
  </si>
  <si>
    <t xml:space="preserve">	e:\GoogleDrive\articles\higham - narep354.pdf				</t>
  </si>
  <si>
    <t xml:space="preserve">	e:\GoogleDrive\articles\numerical stable generation of correlation matrices.pdf				</t>
  </si>
  <si>
    <t xml:space="preserve">090d77c21cbe903cd9a2578d3fbe787f	</t>
  </si>
  <si>
    <t xml:space="preserve">	e:\GoogleDrive\articles\piterbarg - Stochastic Volatility Model with time-dependent Skew.pdf				</t>
  </si>
  <si>
    <t xml:space="preserve">091786227472eddab5368957ddcacb0f	</t>
  </si>
  <si>
    <t xml:space="preserve">	e:\GoogleDrive\articles\kwok Lau - Pricing algorithms for options with exotic path dependence.pdf				</t>
  </si>
  <si>
    <t xml:space="preserve">092201cd6f6b49e0f747a5b91ed407ba	</t>
  </si>
  <si>
    <t xml:space="preserve">	e:\GoogleDrive\articles\stanford - convex optimisation\02 - sets.pdf				</t>
  </si>
  <si>
    <t xml:space="preserve">094930907afe1e162a7a60ceb423588f	</t>
  </si>
  <si>
    <t xml:space="preserve">	e:\GoogleDrive\articles\dockner - implementation of th BDT model(2003).pdf				</t>
  </si>
  <si>
    <t xml:space="preserve">094ab0e63d140b70813efe1d99978cf1	</t>
  </si>
  <si>
    <t xml:space="preserve">	e:\GoogleDrive\articles\wilmott\0411_wallner.pdf				</t>
  </si>
  <si>
    <t xml:space="preserve">09539f017b4f866804398a2310add047	</t>
  </si>
  <si>
    <t xml:space="preserve">	e:\GoogleDrive\articles\maths sp‚\chapitre06 - fonction de plusieurs variables.pdf				</t>
  </si>
  <si>
    <t xml:space="preserve">0953bb133c07a703dd5cf4ee59da336c	</t>
  </si>
  <si>
    <t xml:space="preserve">	e:\GoogleDrive\articles\wilmott\0509_chen.pdf				</t>
  </si>
  <si>
    <t xml:space="preserve">095cce84af8c22266deac96a4973142d	</t>
  </si>
  <si>
    <t xml:space="preserve">	e:\GoogleDrive\articles\wilmott\0411_bookreviews.pdf				</t>
  </si>
  <si>
    <t xml:space="preserve">0988378a586f9bc4402bd2351809c9c8	</t>
  </si>
  <si>
    <t xml:space="preserve">	e:\GoogleDrive\articles\numericalR\c2-5.pdf				</t>
  </si>
  <si>
    <t xml:space="preserve">0990cb9c28f92c6ea19463df9b2c4776	</t>
  </si>
  <si>
    <t xml:space="preserve">	e:\GoogleDrive\articles\citation.htm				</t>
  </si>
  <si>
    <t xml:space="preserve">09affead8ab377cb0930a264257cf237	</t>
  </si>
  <si>
    <t xml:space="preserve">	e:\GoogleDrive\articles\sethi ullman - The generation of optimal code for arithmetic expressions.pd	f			</t>
  </si>
  <si>
    <t xml:space="preserve">09b102b545b98ec0434adb728e2e726b	</t>
  </si>
  <si>
    <t xml:space="preserve">	e:\GoogleDrive\articles\anagrammer\Assembly Language Step by Step code\JEDSCRN.ASM				</t>
  </si>
  <si>
    <t xml:space="preserve">09ba2f14efc61f42e02593ca2407a08f	</t>
  </si>
  <si>
    <t xml:space="preserve">	e:\GoogleDrive\articles\lobaskin\P.Kaufman.Trading Systems &amp; Methods\Kaufman - Trading Systems &amp; Met	hod	s -	Ap	pendix 6.doc</t>
  </si>
  <si>
    <t xml:space="preserve">09d0b6b83ea9c42eb541a61a48e22a80	</t>
  </si>
  <si>
    <t xml:space="preserve">	e:\GoogleDrive\articles\dupire - Pricing with a smile.pdf				</t>
  </si>
  <si>
    <t xml:space="preserve">09d41934b487e7d75f1b4d41c16e07e6	</t>
  </si>
  <si>
    <t xml:space="preserve">	e:\GoogleDrive\articles\(ebook) selesnick burrus - Digital Signal Processing Handbook\34.pdf				</t>
  </si>
  <si>
    <t xml:space="preserve">09edcfa408288d06b849812aa0d66042	</t>
  </si>
  <si>
    <t xml:space="preserve">	e:\GoogleDrive\articles\marcella yakhlef - recent trnds on matrix orthonormal polynomials.pdf				</t>
  </si>
  <si>
    <t xml:space="preserve">09f32c0521f2001273a6555c45077f0d	</t>
  </si>
  <si>
    <t xml:space="preserve">	e:\GoogleDrive\articles\backuper.hcs				</t>
  </si>
  <si>
    <t xml:space="preserve">09f50f195c9ce065fb5befe3114276bd	</t>
  </si>
  <si>
    <t xml:space="preserve">	e:\GoogleDrive\articles\numericalR\c13-8.pdf				</t>
  </si>
  <si>
    <t xml:space="preserve">09f5663b63c28ce9f752e61229a11836	</t>
  </si>
  <si>
    <t xml:space="preserve">	e:\GoogleDrive\articles\west - better approximations to cumulative normal functions.pdf				</t>
  </si>
  <si>
    <t xml:space="preserve">09f9de6bd17dcdb6563056e1270adddd	</t>
  </si>
  <si>
    <t xml:space="preserve">	e:\GoogleDrive\articles\Brigo_Morini - New developpements on the analytical cascade calibration of L	MM-	prn	.p	df</t>
  </si>
  <si>
    <t xml:space="preserve">0a017ca6c8c538e20a42f9fef3e9debb	</t>
  </si>
  <si>
    <t xml:space="preserve">	e:\GoogleDrive\articles\latex - amsldoc.pdf				</t>
  </si>
  <si>
    <t xml:space="preserve">0a09941316ab8eb8daf2139bb1d79311	</t>
  </si>
  <si>
    <t xml:space="preserve">	e:\GoogleDrive\articles\numericalR\c2-1.pdf				</t>
  </si>
  <si>
    <t xml:space="preserve">0a22ae546ed1e736256856057778d26e	</t>
  </si>
  <si>
    <t xml:space="preserve">	e:\GoogleDrive\articles\complex diff\New Text Document.txt				</t>
  </si>
  <si>
    <t xml:space="preserve">0a4443b6cf9ec23e160b80454a867a2c	</t>
  </si>
  <si>
    <t xml:space="preserve">	e:\GoogleDrive\articles\(ebook) AbelBernanke - Macroeconomics.pdf				</t>
  </si>
  <si>
    <t xml:space="preserve">0a4fbfccd968d0e2140258d0294fdc0b	</t>
  </si>
  <si>
    <t xml:space="preserve">	e:\GoogleDrive\articles\affine term structure models.pdf				</t>
  </si>
  <si>
    <t xml:space="preserve">0a5753bfc0aa81d5310f6a3b67bc1736	</t>
  </si>
  <si>
    <t xml:space="preserve">	e:\GoogleDrive\articles\janson tysk - feynman-kac type formulas for black scholes type operators.pd	f			</t>
  </si>
  <si>
    <t xml:space="preserve">0a61e755b982ecc6106d66f18900284c	</t>
  </si>
  <si>
    <t xml:space="preserve">	e:\GoogleDrive\articles\maths\Numerical methods for PDSs.pdf				</t>
  </si>
  <si>
    <t xml:space="preserve">0a640019d73406ae034d6ff1b6dac646	</t>
  </si>
  <si>
    <t xml:space="preserve">	e:\GoogleDrive\articles\mark rubinstein\Compound Options.doc				</t>
  </si>
  <si>
    <t xml:space="preserve">0a731e1b7fe891c17de8e8085d14d102	</t>
  </si>
  <si>
    <t xml:space="preserve">	e:\GoogleDrive\articles\(ebook) - Handbook of applied cryptography\chap11.pdf				</t>
  </si>
  <si>
    <t xml:space="preserve">0a8647a0f404a6276dfe076ccbf2abbc	</t>
  </si>
  <si>
    <t xml:space="preserve">	e:\GoogleDrive\articles\lecture notes (pittman probas)\lecture3.pdf				</t>
  </si>
  <si>
    <t xml:space="preserve">0aa8fc5221b08861177f09faa6626a55	</t>
  </si>
  <si>
    <t xml:space="preserve">	e:\GoogleDrive\articles\(phd) hunor\phd\figures\hackleValidation4.eps				</t>
  </si>
  <si>
    <t xml:space="preserve">0ab8897738adfa5dcfe9e2f1b59464c9	</t>
  </si>
  <si>
    <t xml:space="preserve">	e:\GoogleDrive\articles\wilmott\0601_editorial.pdf				</t>
  </si>
  <si>
    <t xml:space="preserve">0abbf78761a3af305d1f492abb222398	</t>
  </si>
  <si>
    <t xml:space="preserve">	e:\GoogleDrive\articles\Heston - a closed form solution for options with stochastic volatility with	app	lica	ti	ons to bond and currency options(1993).pdf</t>
  </si>
  <si>
    <t xml:space="preserve">0acce6bdde1ea1f3d629a153e8b499c8	</t>
  </si>
  <si>
    <t xml:space="preserve">	e:\GoogleDrive\articles\(eBook) - Bartels Beatty Barsky. Introduction to splines in computer graph	ics	and	g	eometric modeling (1987)(ISBN 1558604006)(600dpi)(T)(485s)_CsCg_.djvu</t>
  </si>
  <si>
    <t xml:space="preserve">0af20dc32ec5979898e70e52f6a24569	</t>
  </si>
  <si>
    <t xml:space="preserve">	e:\GoogleDrive\articles\wilmott\0403_thorp.pdf				</t>
  </si>
  <si>
    <t xml:space="preserve">0aff7667a8330a814bf78d660ae6f4d6	</t>
  </si>
  <si>
    <t xml:space="preserve">	e:\GoogleDrive\articles\global risk 2007\day2\16.20 Dupire.zip				</t>
  </si>
  <si>
    <t xml:space="preserve">0b02fc9cd0d9fabd863d639cbaa2c65b	</t>
  </si>
  <si>
    <t xml:space="preserve">	e:\GoogleDrive\articles\markowitz52 - portfolio selection.pdf				</t>
  </si>
  <si>
    <t xml:space="preserve">0b10345df4fc08b6e594e494aa3ddc47	</t>
  </si>
  <si>
    <t xml:space="preserve">	e:\GoogleDrive\articles\kleinert - path integrals 03.pdf				</t>
  </si>
  <si>
    <t xml:space="preserve">0b1f2339c7010e8fbbf7b38e58715028	</t>
  </si>
  <si>
    <t xml:space="preserve">	e:\GoogleDrive\articles\(lecture notes) Soderlind - Econometrics Some facts abouts matrices.pdf				</t>
  </si>
  <si>
    <t xml:space="preserve">0b1f44fcf7920d98489f9152e1d6c322	</t>
  </si>
  <si>
    <t xml:space="preserve">	e:\GoogleDrive\articles\administratif\NOOS.doc				</t>
  </si>
  <si>
    <t xml:space="preserve">0b3d7423501bb1c041d49150836e4fba	</t>
  </si>
  <si>
    <t xml:space="preserve">	e:\GoogleDrive\articles\maths\xcheng\week19.pdf				</t>
  </si>
  <si>
    <t xml:space="preserve">0b41ab567074b4ac92bf77c537cfe252	</t>
  </si>
  <si>
    <t xml:space="preserve">	e:\GoogleDrive\articles\wilmott\0511_editorial.pdf				</t>
  </si>
  <si>
    <t xml:space="preserve">0b7c653aabd76e5954f697322c397ed0	</t>
  </si>
  <si>
    <t xml:space="preserve">	e:\GoogleDrive\articles\numericalR\c14-3.pdf				</t>
  </si>
  <si>
    <t xml:space="preserve">0ba72a84c260030ee60266a8a1a59b1a	</t>
  </si>
  <si>
    <t xml:space="preserve">	e:\GoogleDrive\articles\marek musiela -continous-time term structure models.pdf				</t>
  </si>
  <si>
    <t xml:space="preserve">0bba01c3f66a0d646ce1b4cfb7b5a9af	</t>
  </si>
  <si>
    <t xml:space="preserve">	e:\GoogleDrive\articles\wilmott\0411_lyceum.pdf				</t>
  </si>
  <si>
    <t xml:space="preserve">0bc97e1ece518d0e6be035253c521aa7	</t>
  </si>
  <si>
    <t xml:space="preserve">	e:\GoogleDrive\articles\(eBook) - ingles analysis of algorithms\capitulo5-ingles.pdf				</t>
  </si>
  <si>
    <t xml:space="preserve">0be56dde0bc701fcb5fd8ebfc36ac93b	</t>
  </si>
  <si>
    <t xml:space="preserve">	e:\GoogleDrive\articles\a classer\Finance and optimisation - prn.ps				</t>
  </si>
  <si>
    <t xml:space="preserve">0be64d034dc98fc4eaa0c1b802370563	</t>
  </si>
  <si>
    <t xml:space="preserve">	e:\GoogleDrive\articles\journal of computational finance\v9n4a2.pdf				</t>
  </si>
  <si>
    <t xml:space="preserve">0beb7e2ad5571a2cbaff7313c1b9e8d2	</t>
  </si>
  <si>
    <t xml:space="preserve">	e:\GoogleDrive\articles\info - algo\Gesch - The National Elevation Dataset.pdf				</t>
  </si>
  <si>
    <t xml:space="preserve">0bf582ff642c81d32496a073a0c4b995	</t>
  </si>
  <si>
    <t xml:space="preserve">	e:\GoogleDrive\articles\wilmott\0309_lyceum.pdf				</t>
  </si>
  <si>
    <t xml:space="preserve">0c04464f70e9a0c532df2dde96c52562	</t>
  </si>
  <si>
    <t xml:space="preserve">	e:\GoogleDrive\articles\culture generale\winter2002.pdf				</t>
  </si>
  <si>
    <t xml:space="preserve">0c050885f664b29f582d92f39bf74abb	</t>
  </si>
  <si>
    <t xml:space="preserve">	e:\GoogleDrive\articles\culture generale\backuper.hcs				</t>
  </si>
  <si>
    <t xml:space="preserve">0c073ad40a00c71c348d0221830bcc63	</t>
  </si>
  <si>
    <t xml:space="preserve">	e:\GoogleDrive\articles\numericalR\c6-8.pdf				</t>
  </si>
  <si>
    <t xml:space="preserve">0c619887aaed8a7364fc9ef6dc76cdad	</t>
  </si>
  <si>
    <t xml:space="preserve">	e:\GoogleDrive\articles\bratley fox - Implmenting sobol's quasirandom sequence generator.pdf				</t>
  </si>
  <si>
    <t xml:space="preserve">0c63bbcbb0ebcc6e41baeab15538989a	</t>
  </si>
  <si>
    <t xml:space="preserve">	e:\GoogleDrive\articles\(eBook) - Jackel\GreeksWithMonteCarlo\TRANS.TBL				</t>
  </si>
  <si>
    <t xml:space="preserve">0c786908b6b97654cbff7b4c84ca4d3c	</t>
  </si>
  <si>
    <t xml:space="preserve">	e:\GoogleDrive\articles\data mining\ECMLPKDD2004\images\menuBack.png				</t>
  </si>
  <si>
    <t xml:space="preserve">0c889c51f10cf150bd7f772cf3680162	</t>
  </si>
  <si>
    <t xml:space="preserve">	e:\GoogleDrive\articles\data mining\ECMLPKDD2004\index.html				</t>
  </si>
  <si>
    <t xml:space="preserve">0c9e65152dad5f238e72160374014b1b	</t>
  </si>
  <si>
    <t xml:space="preserve">	e:\GoogleDrive\articles\wilmott\0511_brown.pdf				</t>
  </si>
  <si>
    <t xml:space="preserve">0ca118b673a62a45a2127dcbac10e9c7	</t>
  </si>
  <si>
    <t xml:space="preserve">	e:\GoogleDrive\articles\math - point plane distance.docx				</t>
  </si>
  <si>
    <t xml:space="preserve">0ca3afed9eceddbb969620149e161966	</t>
  </si>
  <si>
    <t xml:space="preserve">	e:\GoogleDrive\articles\(ebook) - a non random walk down Wall street\part3.pdf				</t>
  </si>
  <si>
    <t xml:space="preserve">0cb6ab271a778126788a12d0c295e7f9	</t>
  </si>
  <si>
    <t xml:space="preserve">	e:\GoogleDrive\articles\Barraquand Martineau - american securities.pdf				</t>
  </si>
  <si>
    <t xml:space="preserve">	e:\GoogleDrive\articles\barraquand martineau - Numerical methods for pricing high d.pdf				</t>
  </si>
  <si>
    <t xml:space="preserve">	e:\GoogleDrive\articles\barraquand martineau - Numerical methods for pricing high dimensial America	n O	ptio	ns	#NAME?</t>
  </si>
  <si>
    <t xml:space="preserve">0cdcaa5d0c339f58e6948eeea5783622	</t>
  </si>
  <si>
    <t xml:space="preserve">	e:\GoogleDrive\articles\piterberg - Mixture of Models A Simple Recipe for a ... Hangover - prn.pdf				</t>
  </si>
  <si>
    <t xml:space="preserve">0cebf10958a45001bc4a5a30fff2fd15	</t>
  </si>
  <si>
    <t xml:space="preserve">	e:\GoogleDrive\articles\(eBook) - Trfethen\backuper.hcs				</t>
  </si>
  <si>
    <t xml:space="preserve">0d0733714d724b9011fa37558c2ffed8	</t>
  </si>
  <si>
    <t xml:space="preserve">	e:\GoogleDrive\articles\kahale - an arbitrage-free interpolation of volatilities (risk 2003).pdf				</t>
  </si>
  <si>
    <t xml:space="preserve">0d0a4fe086f61433ec8c190a1353eac8	</t>
  </si>
  <si>
    <t xml:space="preserve">	e:\GoogleDrive\articles\(eBook) bird - higher engineering mathematics.pdf				</t>
  </si>
  <si>
    <t xml:space="preserve">0d12000722c9602656b8fa45675a2827	</t>
  </si>
  <si>
    <t xml:space="preserve">	e:\GoogleDrive\articles\maths - trig03.bmp				</t>
  </si>
  <si>
    <t xml:space="preserve">0d1bde69364d0c1c9e0b215a8fe6926d	</t>
  </si>
  <si>
    <t xml:space="preserve">	e:\GoogleDrive\articles\numericalR\c3-3.pdf				</t>
  </si>
  <si>
    <t xml:space="preserve">0d3eb220b5f09b2de718a88b52a31471	</t>
  </si>
  <si>
    <t xml:space="preserve">	e:\GoogleDrive\articles\ebook with cev chapter\Chapter3 - binomial model.doc				</t>
  </si>
  <si>
    <t xml:space="preserve">0d9c520d23ef59bb3ae1c6ad39383833	</t>
  </si>
  <si>
    <t xml:space="preserve">	e:\GoogleDrive\articles\culture generale\SECTION1.pdf				</t>
  </si>
  <si>
    <t xml:space="preserve">0de7cdfc3d979a7bef1b66e5e10a8fa2	</t>
  </si>
  <si>
    <t xml:space="preserve">	e:\GoogleDrive\articles\latex files\Asian Digital Floater\AsianDigitalFloater.tex				</t>
  </si>
  <si>
    <t xml:space="preserve">0e082237a36d835c138f301e6fa7d4a5	</t>
  </si>
  <si>
    <t xml:space="preserve">	e:\GoogleDrive\articles\(phd) hunor\phd\figures\original\periodes.TIF				</t>
  </si>
  <si>
    <t xml:space="preserve">0e2468da78a81f670d3785fd3bc793b9	</t>
  </si>
  <si>
    <t xml:space="preserve">	e:\GoogleDrive\articles\wilmott\0611_osband.pdf				</t>
  </si>
  <si>
    <t xml:space="preserve">	e:\GoogleDrive\articles\wilmott\Kent Osband - Finformatics Pre-Brownian Motion Part 2.pdf				</t>
  </si>
  <si>
    <t xml:space="preserve">0e2af644a1f34f8d2c5dfda03e5255be	</t>
  </si>
  <si>
    <t xml:space="preserve">	e:\GoogleDrive\articles\wilmott\0507_coverstory.pdf				</t>
  </si>
  <si>
    <t xml:space="preserve">0e3291ae17e70b5ec3d314a12cb61965	</t>
  </si>
  <si>
    <t xml:space="preserve">	e:\GoogleDrive\articles\Mercurio - Pricing the smile in a forward LIBOR market model - prn.pdf				</t>
  </si>
  <si>
    <t xml:space="preserve">	e:\GoogleDrive\articles\Mercurio - Pricing the smile in a forward LIBOR market model.pdf				</t>
  </si>
  <si>
    <t xml:space="preserve">	e:\GoogleDrive\articles\mercurio - pricing the smile in FLM model.pdf				</t>
  </si>
  <si>
    <t xml:space="preserve">0e34d4b4586dfd2039e824f51c261f9d	</t>
  </si>
  <si>
    <t xml:space="preserve">	e:\GoogleDrive\articles\info - graphics\alciatore - a winding number and point in polygon algorithm.	pdf			</t>
  </si>
  <si>
    <t xml:space="preserve">0e4f6dfea064469165c8f960801739e1	</t>
  </si>
  <si>
    <t xml:space="preserve">	e:\GoogleDrive\articles\anagrammer\Assembly Language Step by Step code\EAT.ASM				</t>
  </si>
  <si>
    <t xml:space="preserve">0e57f1f6c89d721b7cb6e3c4155bfd91	</t>
  </si>
  <si>
    <t xml:space="preserve">	e:\GoogleDrive\articles\algo - Fibonacci heap.docx				</t>
  </si>
  <si>
    <t xml:space="preserve">0e851abab1009673967117d751c4665e	</t>
  </si>
  <si>
    <t xml:space="preserve">	e:\GoogleDrive\articles\Aubert Fruchard Fung - bgm numeraire alignment at will.pdf				</t>
  </si>
  <si>
    <t xml:space="preserve">	e:\GoogleDrive\articles\guillaume aubert - bgm numeraire.pdf				</t>
  </si>
  <si>
    <t xml:space="preserve">0e871028a1b2759fdcbf699566c61070	</t>
  </si>
  <si>
    <t xml:space="preserve">	e:\GoogleDrive\articles\anagrammer\Assembly Language Step by Step code\EAT2.ASM				</t>
  </si>
  <si>
    <t xml:space="preserve">0e8eb11859e77605b47da94229f80b36	</t>
  </si>
  <si>
    <t xml:space="preserve">	e:\GoogleDrive\articles\kohn - sde\section1.pdf				</t>
  </si>
  <si>
    <t xml:space="preserve">0ea31537811c8132f16cf2308552a81f	</t>
  </si>
  <si>
    <t xml:space="preserve">	e:\GoogleDrive\articles\nielsen - Algorithms for linear optimisation.ps				</t>
  </si>
  <si>
    <t xml:space="preserve">0ea74e4e563a9131281a70eb55138b12	</t>
  </si>
  <si>
    <t xml:space="preserve">	e:\GoogleDrive\articles\journal of computational finance\v9n4a4.pdf				</t>
  </si>
  <si>
    <t xml:space="preserve">0ee4a8b3ed2a431760aba0e80ca21a86	</t>
  </si>
  <si>
    <t xml:space="preserve">	e:\GoogleDrive\articles\brownian bridge\wp-119.pdf				</t>
  </si>
  <si>
    <t xml:space="preserve">0ef350ed89fe24187818faa062bef569	</t>
  </si>
  <si>
    <t xml:space="preserve">	e:\GoogleDrive\articles\Notes on Elementary Number Theory\15 - calendar.ps				</t>
  </si>
  <si>
    <t xml:space="preserve">0ef63be68f763ecb2581eb3aafad6748	</t>
  </si>
  <si>
    <t xml:space="preserve">	e:\GoogleDrive\articles\lobaskin\P.Kaufman.Trading Systems &amp; Methods\Kaufman - Trading Systems &amp; Met	hod	s -	Ch	ap19.doc</t>
  </si>
  <si>
    <t xml:space="preserve">0f0198d0e9429c911bec2df4902ab22f	</t>
  </si>
  <si>
    <t xml:space="preserve">	e:\GoogleDrive\articles\(eBook) - Hunt P.J. J.Kennedy. Financial Derivatives in Theory and Practice	(W	iley	1	998)(ISBN 0471967173)(T)(399s)(400dpi)_MVspf_.djvu</t>
  </si>
  <si>
    <t xml:space="preserve">0f14b655773d3516859295738f201f7c	</t>
  </si>
  <si>
    <t xml:space="preserve">	e:\GoogleDrive\articles\joshi - pricing discretely sampled path-dependent exotic options using repli	cat	ion	me	thods.pdf</t>
  </si>
  <si>
    <t xml:space="preserve">0f2ac2e817e36ee7a2538982a4fb4e95	</t>
  </si>
  <si>
    <t xml:space="preserve">	e:\GoogleDrive\articles\wilmott\0403_editorial.pdf				</t>
  </si>
  <si>
    <t xml:space="preserve">0f3448728481a434785a1fef91ef79d6	</t>
  </si>
  <si>
    <t xml:space="preserve">	e:\GoogleDrive\articles\numericalR\c4-5.pdf				</t>
  </si>
  <si>
    <t xml:space="preserve">0f3fc6babe1a458ad191b9f025fe6a16	</t>
  </si>
  <si>
    <t xml:space="preserve">	e:\GoogleDrive\articles\anagrammer\Winsock API.chm				</t>
  </si>
  <si>
    <t xml:space="preserve">0f415964c4c0e9fba4290ceec0c9e092	</t>
  </si>
  <si>
    <t xml:space="preserve">	e:\GoogleDrive\articles\(eBook) zivot wang - modelling financial time series with S-Plus.pdf				</t>
  </si>
  <si>
    <t xml:space="preserve">	e:\GoogleDrive\articles\Modelling financial time series with s-plus.pdf				</t>
  </si>
  <si>
    <t xml:space="preserve">0f49f9f55a8f888f0b7b853501a31828	</t>
  </si>
  <si>
    <t xml:space="preserve">	e:\GoogleDrive\articles\lobaskin\P.Kaufman.Trading Systems &amp; Methods\Kaufman - Trading Systems &amp; Met	hod	s -	Ch	ap02 14-23.doc</t>
  </si>
  <si>
    <t xml:space="preserve">0f83c5b98836de4b9b55e695644b44c4	</t>
  </si>
  <si>
    <t xml:space="preserve">	e:\GoogleDrive\articles\(ebook) - introduction to the theory of pogramming languages.pdf				</t>
  </si>
  <si>
    <t xml:space="preserve">0faea7efe36ce2d3b2c0cdaf23546386	</t>
  </si>
  <si>
    <t xml:space="preserve">	e:\GoogleDrive\articles\salminen - Brownian motion - prn.pdf				</t>
  </si>
  <si>
    <t xml:space="preserve">0fbae48d7d950f67780812529b51d203	</t>
  </si>
  <si>
    <t xml:space="preserve">	e:\GoogleDrive\articles\kohn - sde\section7.ps				</t>
  </si>
  <si>
    <t xml:space="preserve">0fc14b183a8f6ad3d8b6b3b997a1b0c4	</t>
  </si>
  <si>
    <t xml:space="preserve">	e:\GoogleDrive\articles\data mining\ECMLPKDD2004\images\sponsors\logospringer.gif				</t>
  </si>
  <si>
    <t xml:space="preserve">0fd8ab16bae90ab0cf24284a95c6afc1	</t>
  </si>
  <si>
    <t xml:space="preserve">	e:\GoogleDrive\articles\wilmott\0707_insightful.pdf				</t>
  </si>
  <si>
    <t xml:space="preserve">0fda8817877f08842ca3fb2082265f01	</t>
  </si>
  <si>
    <t xml:space="preserve">	e:\GoogleDrive\articles\maths\cours - Jacod - Theorie de l'integration.pdf				</t>
  </si>
  <si>
    <t xml:space="preserve">0ff05b37fae30f7e5603844ba5e36d25	</t>
  </si>
  <si>
    <t xml:space="preserve">	e:\GoogleDrive\articles\hobby\(ebook) - Mathewson - The Manual for the Home and Farm Production of A	lco	hol	Fu	el (1980).pdf</t>
  </si>
  <si>
    <t xml:space="preserve">0ffef4f3cf84de3c3d9d3dff2f947352	</t>
  </si>
  <si>
    <t xml:space="preserve">	e:\GoogleDrive\articles\wilmott\0703_haug.pdf				</t>
  </si>
  <si>
    <t xml:space="preserve">10038139525c57d52f68dc0bce0a9c1d	</t>
  </si>
  <si>
    <t xml:space="preserve">	e:\GoogleDrive\articles\(ebook) morton mayers - Numerical Solution of PDE.pdf				</t>
  </si>
  <si>
    <t xml:space="preserve">104b2054229d7b404b3b05a80679d381	</t>
  </si>
  <si>
    <t xml:space="preserve">	e:\GoogleDrive\articles\das - Beautiful &amp; True Lies In Risk Management (may2007).pdf				</t>
  </si>
  <si>
    <t xml:space="preserve">104e49af9cd54d81598ecfe1ffda61c8	</t>
  </si>
  <si>
    <t xml:space="preserve">	e:\GoogleDrive\articles\pedersen - Bermudan Swaptions in the LIBOR Market Model (1999).pdf				</t>
  </si>
  <si>
    <t xml:space="preserve">10506e0fee7bbffb29fe1cfbbeef05b2	</t>
  </si>
  <si>
    <t xml:space="preserve">	e:\GoogleDrive\articles\lecture - probability (grinstead and snell)\Chapter12.pdf				</t>
  </si>
  <si>
    <t xml:space="preserve">105ab75171c279796b64c795bbc9c553	</t>
  </si>
  <si>
    <t xml:space="preserve">	e:\GoogleDrive\articles\administratif\motivation alh.doc				</t>
  </si>
  <si>
    <t xml:space="preserve">1069ad576c6b296e0552ad421328de3f	</t>
  </si>
  <si>
    <t xml:space="preserve">	e:\GoogleDrive\articles\wilmott\0405_lyceum.pdf				</t>
  </si>
  <si>
    <t xml:space="preserve">107f26b49ca317fd345f640e06a2c384	</t>
  </si>
  <si>
    <t xml:space="preserve">	e:\GoogleDrive\articles\wilmott\0605_carreviews.pdf				</t>
  </si>
  <si>
    <t xml:space="preserve">1082ba683884ac24a8b80a5fb73b0898	</t>
  </si>
  <si>
    <t xml:space="preserve">	e:\GoogleDrive\articles\Notes on Elementary Number Theory\04 - div.ps				</t>
  </si>
  <si>
    <t xml:space="preserve">109d1bb411edeef2f80c8d0c37bfdb49	</t>
  </si>
  <si>
    <t xml:space="preserve">	e:\GoogleDrive\articles\(eBook) - Jackel\PrimitivePolynomialsModuloTwo\PrimitivePolynomialsModuloTwo	UpT	oDeg	re	e27.h</t>
  </si>
  <si>
    <t xml:space="preserve">10a8d5aaf73916c373946c9680e0ba21	</t>
  </si>
  <si>
    <t xml:space="preserve">	e:\GoogleDrive\articles\joshi - bounding bermudan swaptions in SMM - prn.pdf				</t>
  </si>
  <si>
    <t xml:space="preserve">10ad05b5f6a8c465c5feac41c7b956a3	</t>
  </si>
  <si>
    <t xml:space="preserve">	e:\GoogleDrive\articles\cours sde exercices.pdf				</t>
  </si>
  <si>
    <t xml:space="preserve">	e:\GoogleDrive\articles\maths\cours - spreij - sde exercices - prn.pdf				</t>
  </si>
  <si>
    <t xml:space="preserve">10ad3deaef6a81b4ad07ae2752777c9e	</t>
  </si>
  <si>
    <t xml:space="preserve">	e:\GoogleDrive\articles\(ebook) selesnick burrus - Digital Signal Processing Handbook\14.pdf				</t>
  </si>
  <si>
    <t xml:space="preserve">10c47c21e7413dd826b53e9797b67384	</t>
  </si>
  <si>
    <t xml:space="preserve">	e:\GoogleDrive\articles\liu - A comparison of Ear Clipping and a New Polygon Triangulation Algorithm	.pd	f		</t>
  </si>
  <si>
    <t xml:space="preserve">10c6b00f6b83612097574fe4d5ab6fbf	</t>
  </si>
  <si>
    <t xml:space="preserve">	e:\GoogleDrive\articles\info - algo\pdf format.docx				</t>
  </si>
  <si>
    <t xml:space="preserve">10c9820521dcfd68e978aa4a16d724fe	</t>
  </si>
  <si>
    <t xml:space="preserve">	e:\GoogleDrive\articles\wystup - figures uocallgamma.ps				</t>
  </si>
  <si>
    <t xml:space="preserve">10cd45f78f27cf1b1aa8e97ae8d55f9e	</t>
  </si>
  <si>
    <t xml:space="preserve">	e:\GoogleDrive\articles\numericalR\c3-6.pdf				</t>
  </si>
  <si>
    <t xml:space="preserve">10dcd0ae7798c26f4b99381533c848d7	</t>
  </si>
  <si>
    <t xml:space="preserve">	e:\GoogleDrive\articles\haug - know your weapon - part1.pdf				</t>
  </si>
  <si>
    <t xml:space="preserve">	e:\GoogleDrive\articles\haug - know your weapon.pdf				</t>
  </si>
  <si>
    <t xml:space="preserve">	e:\GoogleDrive\articles\wilmott\0305_haug.pdf				</t>
  </si>
  <si>
    <t xml:space="preserve">10ef980dea4100b777219db3f3513d85	</t>
  </si>
  <si>
    <t xml:space="preserve">	e:\GoogleDrive\articles\Libor and swap market models for the pricing of interest rat.pdf				</t>
  </si>
  <si>
    <t xml:space="preserve">10ff9462a01d0d0383d1b8aecdfe069e	</t>
  </si>
  <si>
    <t xml:space="preserve">	e:\GoogleDrive\articles\rutkowsky - modelling of forward libor and swap rates.pdf				</t>
  </si>
  <si>
    <t xml:space="preserve">111b7b8e0edcfce1b328140e2be5e882	</t>
  </si>
  <si>
    <t xml:space="preserve">	e:\GoogleDrive\articles\Cont - Model uncertainty and its impact of the valuation of derivative instr	ume	nts.	pd	f</t>
  </si>
  <si>
    <t xml:space="preserve">	e:\GoogleDrive\articles\cont - model uncertainty and its impact on the pricing of derivative instrum	ent	s.pd	f	</t>
  </si>
  <si>
    <t xml:space="preserve">	e:\GoogleDrive\articles\cont - modelrisk.pdf				</t>
  </si>
  <si>
    <t xml:space="preserve">	e:\GoogleDrive\articles\rama - Model uncertainty and its impact on the pricing of derivative instrum	ent	s.pd	f	</t>
  </si>
  <si>
    <t xml:space="preserve">1129e1dec43aa40acc6ad772ec7103f5	</t>
  </si>
  <si>
    <t xml:space="preserve">	e:\GoogleDrive\articles\brigo - a note on correlation and rank reduction (2002).pdf				</t>
  </si>
  <si>
    <t xml:space="preserve">	e:\GoogleDrive\articles\brigo - correl - prn.pdf				</t>
  </si>
  <si>
    <t xml:space="preserve">112df7535f6a3474a41ca93611cfcd83	</t>
  </si>
  <si>
    <t xml:space="preserve">	e:\GoogleDrive\articles\data mining\ECMLPKDD2004\images\sponsors\machinelearning.gif				</t>
  </si>
  <si>
    <t xml:space="preserve">113fd3a2ef9c955eb935056ec5966b46	</t>
  </si>
  <si>
    <t xml:space="preserve">	e:\GoogleDrive\articles\(ebook) selesnick burrus - Digital Signal Processing Handbook\40.pdf				</t>
  </si>
  <si>
    <t xml:space="preserve">1143410a1913f714c8e13baf811900af	</t>
  </si>
  <si>
    <t xml:space="preserve">	e:\GoogleDrive\articles\math - elementary rules for differentiation.pdf				</t>
  </si>
  <si>
    <t xml:space="preserve">114609b86b5a57df48a67fd7600f61b7	</t>
  </si>
  <si>
    <t xml:space="preserve">	e:\GoogleDrive\articles\Gatheral - lecture4_2005.pdf				</t>
  </si>
  <si>
    <t xml:space="preserve">114b77966230aa7fec4a7ae8665460ae	</t>
  </si>
  <si>
    <t xml:space="preserve">	e:\GoogleDrive\articles\anagrammer\ASSEMBLY.zip				</t>
  </si>
  <si>
    <t xml:space="preserve">115370f5bfd11bae80f0064ed4cad14d	</t>
  </si>
  <si>
    <t xml:space="preserve">	e:\GoogleDrive\articles\latex files\Corridors\fig_fixedcorridor2.pdf				</t>
  </si>
  <si>
    <t xml:space="preserve">1155e01bbf41420da8200e731f5744e6	</t>
  </si>
  <si>
    <t xml:space="preserve">	e:\GoogleDrive\articles\maths\semidefinite programming\Introduction - prn.pdf				</t>
  </si>
  <si>
    <t xml:space="preserve">115ce9b99239805872f1ebea89e73a59	</t>
  </si>
  <si>
    <t xml:space="preserve">	e:\GoogleDrive\articles\slava - Model Validation Process _ Mar 09.pdf				</t>
  </si>
  <si>
    <t xml:space="preserve">11608bb9f3b1a289dfccb2f756e90284	</t>
  </si>
  <si>
    <t xml:space="preserve">	e:\GoogleDrive\articles\perfectsubsets_COLO03.pdf				</t>
  </si>
  <si>
    <t xml:space="preserve">1165fbd022d60d68a45de1822d568d4d	</t>
  </si>
  <si>
    <t xml:space="preserve">	e:\GoogleDrive\articles\maths\xcheng\week03.pdf				</t>
  </si>
  <si>
    <t xml:space="preserve">118e0c65871b4af2e69f0bf7edab4ba2	</t>
  </si>
  <si>
    <t xml:space="preserve">	e:\GoogleDrive\articles\data mining\ECMLPKDD2004\invited\Domingos.pdf				</t>
  </si>
  <si>
    <t xml:space="preserve">11a30ccd388425206c71318a8b1554c8	</t>
  </si>
  <si>
    <t xml:space="preserve">	e:\GoogleDrive\articles\pelsser - Mathematical Foundation of Convexity Correction - .pdf				</t>
  </si>
  <si>
    <t xml:space="preserve">	e:\GoogleDrive\articles\pelsser - Mathematical Foundation of Convexity Correction - prn.pdf				</t>
  </si>
  <si>
    <t xml:space="preserve">11b0ddccdab5b37bc75a892f5efcf5e8	</t>
  </si>
  <si>
    <t xml:space="preserve">	e:\GoogleDrive\articles\mark rubinstein\Rainbow Options.doc				</t>
  </si>
  <si>
    <t xml:space="preserve">11d1ac6411bbe778ec5997a429b17ce2	</t>
  </si>
  <si>
    <t xml:space="preserve">	e:\GoogleDrive\articles\milne\math776 ChapIII.dvi				</t>
  </si>
  <si>
    <t xml:space="preserve">11d2fb7e189aef6b1758450f1d9cb424	</t>
  </si>
  <si>
    <t xml:space="preserve">	e:\GoogleDrive\articles\numericalR\c5-4.pdf				</t>
  </si>
  <si>
    <t xml:space="preserve">120cbf10414d0bdfe81783c3d9d3f772	</t>
  </si>
  <si>
    <t xml:space="preserve">	e:\GoogleDrive\articles\london school of economics &amp; political science (dpt of mathemati\url.txt				</t>
  </si>
  <si>
    <t xml:space="preserve">12111eebcb55157dd82a5c66ec7e20d8	</t>
  </si>
  <si>
    <t xml:space="preserve">	e:\GoogleDrive\articles\maths\cours - introduction aux methodes Monte Carlo - p.pdf				</t>
  </si>
  <si>
    <t xml:space="preserve">124b267dca00daeb44e3e544c0ffe0ac	</t>
  </si>
  <si>
    <t xml:space="preserve">	e:\GoogleDrive\articles\info - graphics\isocontouring.docx				</t>
  </si>
  <si>
    <t xml:space="preserve">124e58d1f5883409c43a6259802d8ccf	</t>
  </si>
  <si>
    <t xml:space="preserve">	e:\GoogleDrive\articles\wilmott\0409_deutsch.pdf				</t>
  </si>
  <si>
    <t xml:space="preserve">12522d788e0978ad58abddb46cf7fff5	</t>
  </si>
  <si>
    <t xml:space="preserve">	e:\GoogleDrive\articles\wilmott\0507_prast.pdf				</t>
  </si>
  <si>
    <t xml:space="preserve">125862f2bf116feb1f63a500f7a5c7ad	</t>
  </si>
  <si>
    <t xml:space="preserve">	e:\GoogleDrive\articles\Architecture Software Developer's Manual Volume 2a - 25366620.pdf				</t>
  </si>
  <si>
    <t xml:space="preserve">126356fb325d279c8524e572bd3f321c	</t>
  </si>
  <si>
    <t xml:space="preserve">	e:\GoogleDrive\articles\(ebook) selesnick burrus - Digital Signal Processing Handbook\78.pdf				</t>
  </si>
  <si>
    <t xml:space="preserve">1263d7ab3df090944bad81deeb80ce7b	</t>
  </si>
  <si>
    <t xml:space="preserve">	e:\GoogleDrive\articles\numericalR\c13-1.pdf				</t>
  </si>
  <si>
    <t xml:space="preserve">1271ae894911ad5fe4e450aad5ffb728	</t>
  </si>
  <si>
    <t xml:space="preserve">	e:\GoogleDrive\articles\swenstrup - On the Suboptimality of Single-Factor Exercise S.pdf				</t>
  </si>
  <si>
    <t xml:space="preserve">	e:\GoogleDrive\articles\swenstrup - On the Suboptimality of Single-Factor Exercise Strategies for Be	rmu	dan	Sw	aptions - prn.pdf</t>
  </si>
  <si>
    <t xml:space="preserve">12afb858fc2bc140c0681650f2cab4c3	</t>
  </si>
  <si>
    <t xml:space="preserve">	e:\GoogleDrive\articles\Bluman - on the transformation of diffusion processes into t.pdf				</t>
  </si>
  <si>
    <t xml:space="preserve">12f93888ccc21ac0871a9624238041a5	</t>
  </si>
  <si>
    <t xml:space="preserve">	e:\GoogleDrive\articles\feynman-kac 2 .pdf				</t>
  </si>
  <si>
    <t xml:space="preserve">12fbb9f7bc5246be489b67337afd0fcf	</t>
  </si>
  <si>
    <t xml:space="preserve">	e:\GoogleDrive\articles\a classer\GDP.pdf				</t>
  </si>
  <si>
    <t xml:space="preserve">12ffd3d5d90b02a919ab5d7e7fb8c2f9	</t>
  </si>
  <si>
    <t xml:space="preserve">	e:\GoogleDrive\articles\wilmott\0703_editorial.pdf				</t>
  </si>
  <si>
    <t xml:space="preserve">130f86b030b20a2c78e5e34a1727fae3	</t>
  </si>
  <si>
    <t xml:space="preserve">	e:\GoogleDrive\articles\wilmott\0801_news.pdf				</t>
  </si>
  <si>
    <t xml:space="preserve">131e55f465b6e0d3c1222e058eb692d5	</t>
  </si>
  <si>
    <t xml:space="preserve">	e:\GoogleDrive\articles\anagrammer\Assembly Language Step by Step code\WORD2STR.SRC				</t>
  </si>
  <si>
    <t xml:space="preserve">1321b5742e2985ecbd19e0c196d72f0c	</t>
  </si>
  <si>
    <t xml:space="preserve">	e:\GoogleDrive\articles\(phd) hunor\phd\figures\hackleValidation3.eps				</t>
  </si>
  <si>
    <t xml:space="preserve">132602aa37e3deda21a84d72afdb43c2	</t>
  </si>
  <si>
    <t xml:space="preserve">	e:\GoogleDrive\articles\ball - stochastic correlation accros internation stock markets.pdf				</t>
  </si>
  <si>
    <t xml:space="preserve">	e:\GoogleDrive\articles\ball - Stochastic Correlation Across International Stock Markets.pdf				</t>
  </si>
  <si>
    <t xml:space="preserve">	e:\GoogleDrive\articles\Clifford A. Ball - Stochastic Correlation Across Internation.pdf				</t>
  </si>
  <si>
    <t xml:space="preserve">	e:\GoogleDrive\articles\Clifford A. Ball - Stochastic Correlation Across International Stock Markets	.pd	f		</t>
  </si>
  <si>
    <t xml:space="preserve">13387a3a969e29246782b7ec9ed46b00	</t>
  </si>
  <si>
    <t xml:space="preserve">	e:\GoogleDrive\articles\WBS IR modelling Course\IR Modelling\backuper.hcs				</t>
  </si>
  <si>
    <t xml:space="preserve">133b7fc206c1092cb84cbf62035bba22	</t>
  </si>
  <si>
    <t xml:space="preserve">	e:\GoogleDrive\articles\(phd) hunor\phd\hackle\ICDM'03\llncs.cls				</t>
  </si>
  <si>
    <t xml:space="preserve">1362b679b802d1da72b12732a939bd7e	</t>
  </si>
  <si>
    <t xml:space="preserve">	e:\GoogleDrive\articles\milne\Errata for Course Notes.htm				</t>
  </si>
  <si>
    <t xml:space="preserve">138120841de48237785b64174416b99c	</t>
  </si>
  <si>
    <t xml:space="preserve">	e:\GoogleDrive\articles\Wu Zhang - Libor market model with stochastic volatility.pdf				</t>
  </si>
  <si>
    <t xml:space="preserve">13f10110074213e086e59fb2849b1172	</t>
  </si>
  <si>
    <t xml:space="preserve">	e:\GoogleDrive\articles\(ebook) - a non random walk down Wall street\chapt11.pdf				</t>
  </si>
  <si>
    <t xml:space="preserve">13f8be4f83927eb8322d0578365702d0	</t>
  </si>
  <si>
    <t xml:space="preserve">	e:\GoogleDrive\articles\moreno navas - On the robustness of Least-Squares Monte Car.pdf				</t>
  </si>
  <si>
    <t xml:space="preserve">	e:\GoogleDrive\articles\moreno navas - On the robustness of Least-Squares Monte Carlo for pricing A	mer	ican	D	erivatives.pdf</t>
  </si>
  <si>
    <t xml:space="preserve">1402a2ac3e3ed733fc8ed6aebaab034b	</t>
  </si>
  <si>
    <t xml:space="preserve">	e:\GoogleDrive\articles\latex files\Gaussian Quadrature\GaussianQuadrature.toc				</t>
  </si>
  <si>
    <t xml:space="preserve">1411e06c39b1368305e2404032d81c0c	</t>
  </si>
  <si>
    <t xml:space="preserve">	e:\GoogleDrive\articles\Gatheral - lecture6_2005.pdf				</t>
  </si>
  <si>
    <t xml:space="preserve">143071ef1040460734f6537402f7c5aa	</t>
  </si>
  <si>
    <t xml:space="preserve">	e:\GoogleDrive\articles\wilmott\0809_darasz.pdf				</t>
  </si>
  <si>
    <t xml:space="preserve">1435d5f593df7ec1584c211cbdf3ee3e	</t>
  </si>
  <si>
    <t xml:space="preserve">	e:\GoogleDrive\articles\wilmott\0509_Anatoliy.pdf				</t>
  </si>
  <si>
    <t xml:space="preserve">1438faabe68e3c42f176567f9634b61b	</t>
  </si>
  <si>
    <t xml:space="preserve">	e:\GoogleDrive\articles\london school of economics &amp; political science (dpt of mathemati\chapter3 -	Con	verg	en	ce of random variables.pdf</t>
  </si>
  <si>
    <t xml:space="preserve">143a5dfa7d7b686ea2b39b7d33b7baee	</t>
  </si>
  <si>
    <t xml:space="preserve">	e:\GoogleDrive\articles\mark rubinstein\Berkeley Options Database.doc				</t>
  </si>
  <si>
    <t xml:space="preserve">143ff66ec4cb5d936b823d821ed40e3b	</t>
  </si>
  <si>
    <t xml:space="preserve">	e:\GoogleDrive\articles\exercices wt corrections - differential equations 3.pdf				</t>
  </si>
  <si>
    <t xml:space="preserve">146f181dfb670d14424e27aac7732753	</t>
  </si>
  <si>
    <t xml:space="preserve">	e:\GoogleDrive\articles\(phd) hunor\phd\these.lot				</t>
  </si>
  <si>
    <t xml:space="preserve">1473adf3b1f05a7dd85bc7c4383e0101	</t>
  </si>
  <si>
    <t xml:space="preserve">	e:\GoogleDrive\articles\nguyen - options-levy.pdf				</t>
  </si>
  <si>
    <t xml:space="preserve">147a9c9baf699220370661304c68136c	</t>
  </si>
  <si>
    <t xml:space="preserve">	e:\GoogleDrive\articles\kloeden - mfinance.pdf				</t>
  </si>
  <si>
    <t xml:space="preserve">148a69b0f201bbd78ff72769e026337f	</t>
  </si>
  <si>
    <t xml:space="preserve">	e:\GoogleDrive\articles\(eBook) - Jackel\NormalDistribution\NormalDistribution.cpp				</t>
  </si>
  <si>
    <t xml:space="preserve">14945fa5812df37822b39d941b9130ef	</t>
  </si>
  <si>
    <t xml:space="preserve">	e:\GoogleDrive\articles\maths - trig08.bmp				</t>
  </si>
  <si>
    <t xml:space="preserve">	e:\GoogleDrive\articles\maths - trig09.bmp				</t>
  </si>
  <si>
    <t xml:space="preserve">149f086c1c4eb1201ec4bd2db09b91a0	</t>
  </si>
  <si>
    <t xml:space="preserve">	e:\GoogleDrive\articles\martin wilde - unsystematic credit risk.pdf				</t>
  </si>
  <si>
    <t xml:space="preserve">14a1119715e5cfdff581018e55138f89	</t>
  </si>
  <si>
    <t xml:space="preserve">	e:\GoogleDrive\articles\a classer\martingales.ps				</t>
  </si>
  <si>
    <t xml:space="preserve">14a9546cbea9c287f0931c5554c64944	</t>
  </si>
  <si>
    <t xml:space="preserve">	e:\GoogleDrive\articles\wilmott\0407_brown.pdf				</t>
  </si>
  <si>
    <t xml:space="preserve">14ad02e5cf42310a85283d4ed90d4025	</t>
  </si>
  <si>
    <t xml:space="preserve">	e:\GoogleDrive\articles\mark rubinstein\A Simple Formula.doc				</t>
  </si>
  <si>
    <t xml:space="preserve">14bbf8cd0b20931053a501f4569251bc	</t>
  </si>
  <si>
    <t xml:space="preserve">	e:\GoogleDrive\articles\wilmott\0503_duffy.pdf				</t>
  </si>
  <si>
    <t xml:space="preserve">14be256ead756eb529ae3bed92069382	</t>
  </si>
  <si>
    <t xml:space="preserve">	e:\GoogleDrive\articles\data mining\ECMLPKDD2004\workshops\backuper.hcs				</t>
  </si>
  <si>
    <t xml:space="preserve">14cd616febe2e0e5866ca6ea0ab26881	</t>
  </si>
  <si>
    <t xml:space="preserve">	e:\GoogleDrive\articles\belkacem levy vehel - Generalized_Market_Equilibrium Stable CAPM.pdf				</t>
  </si>
  <si>
    <t xml:space="preserve">14dd60ef529219b80aa9bb35d3203fe8	</t>
  </si>
  <si>
    <t xml:space="preserve">	e:\GoogleDrive\articles\Gatheral - Volatility and Hedging Errors.ppt				</t>
  </si>
  <si>
    <t xml:space="preserve">14e6d1236eb2fbc9ec9852340c37c9e5	</t>
  </si>
  <si>
    <t xml:space="preserve">	e:\GoogleDrive\articles\numericalR\c2-2.pdf				</t>
  </si>
  <si>
    <t xml:space="preserve">14edfb8cd6c0e77e74735a0ed5be2d5d	</t>
  </si>
  <si>
    <t xml:space="preserve">	e:\GoogleDrive\articles\CGAL - whole-course.pdf				</t>
  </si>
  <si>
    <t xml:space="preserve">15433630ec3b9b585f8571a89a841002	</t>
  </si>
  <si>
    <t xml:space="preserve">	e:\GoogleDrive\articles\(phd) hunor\phd\figures\original\eusa5.TIF				</t>
  </si>
  <si>
    <t xml:space="preserve">1546306bc250eac293ed0c0fb26978f8	</t>
  </si>
  <si>
    <t xml:space="preserve">	e:\GoogleDrive\articles\brownian bridge\607.ps.Z				</t>
  </si>
  <si>
    <t xml:space="preserve">15478b340a8362bb79fd2a6ea0dde1a0	</t>
  </si>
  <si>
    <t xml:space="preserve">	e:\GoogleDrive\articles\desktop.ini				</t>
  </si>
  <si>
    <t xml:space="preserve">15939f5ddc966339490230ef78d559d1	</t>
  </si>
  <si>
    <t xml:space="preserve">	e:\GoogleDrive\articles\csaky - on the joint distribution of the maximum and its location for a line	ar	diff	us	ion.pdf</t>
  </si>
  <si>
    <t xml:space="preserve">15945c5474f2d800e229b52b806b462c	</t>
  </si>
  <si>
    <t xml:space="preserve">	e:\GoogleDrive\articles\(phd) hunor\phd\thesis01.blg				</t>
  </si>
  <si>
    <t xml:space="preserve">15982d2ab9fbe0cef06f3709895f9a5c	</t>
  </si>
  <si>
    <t xml:space="preserve">	e:\GoogleDrive\articles\(eBook) - ingles analysis of algorithms\capitulo7-ingles.pdf				</t>
  </si>
  <si>
    <t xml:space="preserve">15a31db14e43feca63ed3a7966e69d32	</t>
  </si>
  <si>
    <t xml:space="preserve">	e:\GoogleDrive\articles\multivariate Garch models.pdf				</t>
  </si>
  <si>
    <t xml:space="preserve">	e:\GoogleDrive\articles\timo - multivariate Garch models.pdf				</t>
  </si>
  <si>
    <t xml:space="preserve">15ae6eeff8c1e75eaa4cc10c652179a9	</t>
  </si>
  <si>
    <t xml:space="preserve">	e:\GoogleDrive\articles\carr - static hedging lookback options.pdf				</t>
  </si>
  <si>
    <t xml:space="preserve">15b0361d0bb5f88f7f957d86e161a603	</t>
  </si>
  <si>
    <t xml:space="preserve">	e:\GoogleDrive\articles\(eBook) pietersz - pricing models for bermuda-style interest.pdf				</t>
  </si>
  <si>
    <t xml:space="preserve">	e:\GoogleDrive\articles\pietersz - phd thesis on LMM.pdf				</t>
  </si>
  <si>
    <t xml:space="preserve">	e:\GoogleDrive\articles\pietersz - Pricing models for Bermudan-style interest rate derivatives.pdf				</t>
  </si>
  <si>
    <t xml:space="preserve">15b07f19b078bdaaa02d20035058ff2b	</t>
  </si>
  <si>
    <t xml:space="preserve">	e:\GoogleDrive\articles\wilmott\0811_carreviews.pdf				</t>
  </si>
  <si>
    <t xml:space="preserve">15b2077efc8eb6ce21540f44306cfead	</t>
  </si>
  <si>
    <t xml:space="preserve">	e:\GoogleDrive\articles\wilmott\0211_staunton.pdf				</t>
  </si>
  <si>
    <t xml:space="preserve">15c53ff66694aca15d1776f5b25598cd	</t>
  </si>
  <si>
    <t xml:space="preserve">	e:\GoogleDrive\articles\wilmott\0603_news.pdf				</t>
  </si>
  <si>
    <t xml:space="preserve">15de39e8297cf964da6a4f6aea1beb56	</t>
  </si>
  <si>
    <t xml:space="preserve">	e:\GoogleDrive\articles\data mining\ECMLPKDD2004\tutorials\T7_Part 4.pdf				</t>
  </si>
  <si>
    <t xml:space="preserve">160208c23ad319c180441a5636eac106	</t>
  </si>
  <si>
    <t xml:space="preserve">	e:\GoogleDrive\articles\(phd) hunor\phd\preface.aux				</t>
  </si>
  <si>
    <t xml:space="preserve">160d6c013b6234f7d60cc610392100c8	</t>
  </si>
  <si>
    <t xml:space="preserve">	e:\GoogleDrive\articles\maths sp‚\chapitre02 - complements d'algebre lineaire.pdf				</t>
  </si>
  <si>
    <t xml:space="preserve">16102c45c5f6610b34b34c7a67429af2	</t>
  </si>
  <si>
    <t xml:space="preserve">	e:\GoogleDrive\articles\popovic - An Examination of Forward Volatility.pdf				</t>
  </si>
  <si>
    <t xml:space="preserve">161095314e2c3a5fdc11ad3a5cc1cff0	</t>
  </si>
  <si>
    <t xml:space="preserve">	e:\GoogleDrive\articles\carr - randomization and the american put.pdf				</t>
  </si>
  <si>
    <t xml:space="preserve">1611cf95b34b85bf1f67bd4949415f99	</t>
  </si>
  <si>
    <t xml:space="preserve">	e:\GoogleDrive\articles\lobaskin\P.Kaufman.Trading Systems &amp; Methods\Kaufman - Trading Systems &amp; Met	hod	s -	Ch	ap17.doc</t>
  </si>
  <si>
    <t xml:space="preserve">162022ab592a55530b194716ea4e9b94	</t>
  </si>
  <si>
    <t xml:space="preserve">	e:\GoogleDrive\articles\wilmott\0305_prast.pdf				</t>
  </si>
  <si>
    <t xml:space="preserve">1620c5e0f9b007c71cfb22bf65b9d96a	</t>
  </si>
  <si>
    <t xml:space="preserve">	e:\GoogleDrive\articles\us senate - Wall Street and the Financial Crisis anatomy of a financial col	lap	se -	A	senate investigation.pdf</t>
  </si>
  <si>
    <t xml:space="preserve">162ff9e79d3d90b8e0807f07b4dd0d77	</t>
  </si>
  <si>
    <t xml:space="preserve">	e:\GoogleDrive\articles\Levy processes\Eberlein-Koval-20051029.pdf				</t>
  </si>
  <si>
    <t xml:space="preserve">1643fc69d70ffab483aaad7612732e86	</t>
  </si>
  <si>
    <t xml:space="preserve">	e:\GoogleDrive\articles\pitman yorr - path decompositions of a brownian bridge.ps				</t>
  </si>
  <si>
    <t xml:space="preserve">1682680bd333cd0f374f268501e72934	</t>
  </si>
  <si>
    <t xml:space="preserve">	e:\GoogleDrive\articles\wilmott\0401_brown.pdf				</t>
  </si>
  <si>
    <t xml:space="preserve">169078919dbb74e3f4ff2521aad4257c	</t>
  </si>
  <si>
    <t xml:space="preserve">	e:\GoogleDrive\articles\wilmott\0505_lyceum.pdf				</t>
  </si>
  <si>
    <t xml:space="preserve">16be3ae099dc47da2ee0d908de5fcc86	</t>
  </si>
  <si>
    <t xml:space="preserve">	e:\GoogleDrive\articles\anagrammer\Assembly Language Step by Step code\EAT4.ASM				</t>
  </si>
  <si>
    <t xml:space="preserve">16be8b4215039c5fc588efd254ee35e9	</t>
  </si>
  <si>
    <t xml:space="preserve">	e:\GoogleDrive\articles\stresstesting\Andy%20Shaw.pdf				</t>
  </si>
  <si>
    <t xml:space="preserve">16be9fb5727b4346c6da84a8390e71d0	</t>
  </si>
  <si>
    <t xml:space="preserve">	e:\GoogleDrive\articles\a classer\munk - DAAcorr.pdf				</t>
  </si>
  <si>
    <t xml:space="preserve">16d4cf4f495437401076e01d5d742b8d	</t>
  </si>
  <si>
    <t xml:space="preserve">	e:\GoogleDrive\articles\(phd) hunor\phd\history.aux				</t>
  </si>
  <si>
    <t xml:space="preserve">16d50c6d7125753c5f3fc5796c904348	</t>
  </si>
  <si>
    <t xml:space="preserve">	e:\GoogleDrive\articles\info - algo\burrows (google) - The Chubby lock service for loosely-coupled d	ist	ribu	te	d systems.pdf</t>
  </si>
  <si>
    <t xml:space="preserve">16d5e202022e417145fff43442bafa75	</t>
  </si>
  <si>
    <t xml:space="preserve">	e:\GoogleDrive\articles\wilmott\0805_appasamy.pdf				</t>
  </si>
  <si>
    <t xml:space="preserve">16e08c2b50998999a1b08ce0d58174bd	</t>
  </si>
  <si>
    <t xml:space="preserve">	e:\GoogleDrive\articles\collin-dufresne goldstein - pricing swaptions within an affine framework.pd	f			</t>
  </si>
  <si>
    <t xml:space="preserve">16e17a16bcb7dac7f200ef69e48df4a1	</t>
  </si>
  <si>
    <t xml:space="preserve">	e:\GoogleDrive\articles\info - graphics\Unser blu - wavelet theory demistified.pdf				</t>
  </si>
  <si>
    <t xml:space="preserve">16e609e024eea81218f6566480a355e8	</t>
  </si>
  <si>
    <t xml:space="preserve">	e:\GoogleDrive\articles\lecture\Lecture3-4.pdf				</t>
  </si>
  <si>
    <t xml:space="preserve">	e:\GoogleDrive\articles\lecture\Lecture3.pdf				</t>
  </si>
  <si>
    <t xml:space="preserve">16e7438abedb564c8cda46bd5aefea41	</t>
  </si>
  <si>
    <t xml:space="preserve">	e:\GoogleDrive\articles\wilmott\0803_cohen.pdf				</t>
  </si>
  <si>
    <t xml:space="preserve">16f80a05b1a4c4806154826988ac7685	</t>
  </si>
  <si>
    <t xml:space="preserve">	e:\GoogleDrive\articles\nielsen - separable nonlinear least squares.ps				</t>
  </si>
  <si>
    <t xml:space="preserve">16fa7784b181087f8a8308e4310c38d1	</t>
  </si>
  <si>
    <t xml:space="preserve">	e:\GoogleDrive\articles\info - graphics\tarjan van wyck - An O(n log log n) time algorithm for tria	ngu	lati	ng	a simple poligon.pdf</t>
  </si>
  <si>
    <t xml:space="preserve">1705514c0bfd98d2fc122581402db486	</t>
  </si>
  <si>
    <t xml:space="preserve">	e:\GoogleDrive\articles\maths\146Notes.pdf				</t>
  </si>
  <si>
    <t xml:space="preserve">17187baf2db4366a5dd2260946d5b629	</t>
  </si>
  <si>
    <t xml:space="preserve">	e:\GoogleDrive\articles\wilmott\0411_coverstory.pdf				</t>
  </si>
  <si>
    <t xml:space="preserve">171d32e09994d26111435cfb268b77d1	</t>
  </si>
  <si>
    <t xml:space="preserve">	e:\GoogleDrive\articles\a classer\opret2.pdf				</t>
  </si>
  <si>
    <t xml:space="preserve">171f9488a05470f10b113ab19f69bb6c	</t>
  </si>
  <si>
    <t xml:space="preserve">	e:\GoogleDrive\articles\Architecture Software Developer's Manual Volume 1 - 25366520.pdf				</t>
  </si>
  <si>
    <t xml:space="preserve">172cec5fac528b33e4a429bcc0213c80	</t>
  </si>
  <si>
    <t xml:space="preserve">	e:\GoogleDrive\articles\(phd) hunor\phd\figures\original\expressionTree.TIF				</t>
  </si>
  <si>
    <t xml:space="preserve">172e102414d8272b5efa4b522e2c21fd	</t>
  </si>
  <si>
    <t xml:space="preserve">	e:\GoogleDrive\articles\brownian bridge\PSS03abstract.pdf				</t>
  </si>
  <si>
    <t xml:space="preserve">175832fc43fe3ddfa2636f5bb201dfb9	</t>
  </si>
  <si>
    <t xml:space="preserve">	e:\GoogleDrive\articles\wilmott\0709_news.pdf				</t>
  </si>
  <si>
    <t xml:space="preserve">17594777fc9e846bbd93c756d93a199c	</t>
  </si>
  <si>
    <t xml:space="preserve">	e:\GoogleDrive\articles\(lecture notes) Shalizi Kontorovich - Almost None of the Theory of stochast	ic	proc	es	ses.pdf</t>
  </si>
  <si>
    <t xml:space="preserve">178dec24958c4bdcd153b088ebb6bccc	</t>
  </si>
  <si>
    <t xml:space="preserve">	e:\GoogleDrive\articles\inflation - B04051.pdf				</t>
  </si>
  <si>
    <t xml:space="preserve">17a99c018935a821e6ff77b75557d8f1	</t>
  </si>
  <si>
    <t xml:space="preserve">	e:\GoogleDrive\articles\journal of computational finance\v9n4a1.pdf				</t>
  </si>
  <si>
    <t xml:space="preserve">17af49c5e5ba368d1b24ed2467e8320b	</t>
  </si>
  <si>
    <t xml:space="preserve">	e:\GoogleDrive\articles\wilmott\0811_benham.pdf				</t>
  </si>
  <si>
    <t xml:space="preserve">17cbc068e5ec22ac3dda162b72b85fed	</t>
  </si>
  <si>
    <t xml:space="preserve">	e:\GoogleDrive\articles\(eBook) - statistical methods\chapter11-041026.pdf				</t>
  </si>
  <si>
    <t xml:space="preserve">17d17c329058013210bbf14a8aff462b	</t>
  </si>
  <si>
    <t xml:space="preserve">	e:\GoogleDrive\articles\wilmott\0701_coverstory.pdf				</t>
  </si>
  <si>
    <t xml:space="preserve">17d647e729b9c66b02051f7adaf4b327	</t>
  </si>
  <si>
    <t xml:space="preserve">	e:\GoogleDrive\articles\schlogl - a multicurrency extention of the lognormal IR market models.pdf				</t>
  </si>
  <si>
    <t xml:space="preserve">17de3a6e14e18c82474ef3baa764c542	</t>
  </si>
  <si>
    <t xml:space="preserve">	e:\GoogleDrive\articles\wilmott\0307_drz.pdf				</t>
  </si>
  <si>
    <t xml:space="preserve">17f2a870cd7f7bad654a324904318206	</t>
  </si>
  <si>
    <t xml:space="preserve">	e:\GoogleDrive\articles\journal of computational finance\v12n1a1.pdf				</t>
  </si>
  <si>
    <t xml:space="preserve">17f82dca6d8ba49141072483ef166d4b	</t>
  </si>
  <si>
    <t xml:space="preserve">	e:\GoogleDrive\articles\Balabdaoui pitman - The distribution of the maximal difference between Brow	nia	n br	id	ge and its concave majorant.pdf</t>
  </si>
  <si>
    <t xml:space="preserve">17f8608c5e9cc9a3ba7f175b0788588f	</t>
  </si>
  <si>
    <t xml:space="preserve">	e:\GoogleDrive\articles\maths\CS683 - Advanced algorithms\lec15.ps				</t>
  </si>
  <si>
    <t xml:space="preserve">1831608a7b24fc6b8c9891550282fc8b	</t>
  </si>
  <si>
    <t xml:space="preserve">	e:\GoogleDrive\articles\wilmott\0801_brown.pdf				</t>
  </si>
  <si>
    <t xml:space="preserve">183b952e5c68793503ce9bea87e745f6	</t>
  </si>
  <si>
    <t xml:space="preserve">	e:\GoogleDrive\articles\pauly - Mesh Smoothing.pdf				</t>
  </si>
  <si>
    <t xml:space="preserve">1843465f27d9de45d2b2f713d947a5ea	</t>
  </si>
  <si>
    <t xml:space="preserve">	e:\GoogleDrive\articles\ho-lee pricing.pdf				</t>
  </si>
  <si>
    <t xml:space="preserve">184a8086d8331150ced9ca966fea4c02	</t>
  </si>
  <si>
    <t xml:space="preserve">	e:\GoogleDrive\articles\Schmidt - coping with copulas.pdf				</t>
  </si>
  <si>
    <t xml:space="preserve">184b208a46061eb4a51135de8b19a465	</t>
  </si>
  <si>
    <t xml:space="preserve">	e:\GoogleDrive\articles\gibson - Constrained Elastic SurfaceNets Generating Smooth Models from Bina	ry	Segm	en	ted data(TR1999).pdf</t>
  </si>
  <si>
    <t xml:space="preserve">185cb9b3c1e2a3c3101c80937e12a2fa	</t>
  </si>
  <si>
    <t xml:space="preserve">	e:\GoogleDrive\articles\(phd) hunor\phd\hackle\ICDM'03\backuper.hcs				</t>
  </si>
  <si>
    <t xml:space="preserve">186bd730857823f9f4f4c4096b6a483e	</t>
  </si>
  <si>
    <t xml:space="preserve">	e:\GoogleDrive\articles\wilmott\0407_ayache.pdf				</t>
  </si>
  <si>
    <t xml:space="preserve">18739b10857fd971cbe19a7d05bca1ba	</t>
  </si>
  <si>
    <t xml:space="preserve">	e:\GoogleDrive\articles\(ebook) selesnick burrus - Digital Signal Processing Handbook\url.txt				</t>
  </si>
  <si>
    <t xml:space="preserve">1874cc74bb8e7bfd41fc68b3cf41bf27	</t>
  </si>
  <si>
    <t xml:space="preserve">	e:\GoogleDrive\articles\wilmott\0703_brown.pdf				</t>
  </si>
  <si>
    <t xml:space="preserve">18814c54437f0ed16fca621aa3571743	</t>
  </si>
  <si>
    <t xml:space="preserve">	e:\GoogleDrive\articles\salminen - on local times of diffusions.pdf				</t>
  </si>
  <si>
    <t xml:space="preserve">18a22ed9277d2d9678c10adecdffc0db	</t>
  </si>
  <si>
    <t xml:space="preserve">	e:\GoogleDrive\articles\fva - hull white - The FVA debate continued.pdf				</t>
  </si>
  <si>
    <t xml:space="preserve">18b0ec7d06d17a086aa45790a07b4cf2	</t>
  </si>
  <si>
    <t xml:space="preserve">	e:\GoogleDrive\articles\Notes on Elementary Number Theory\03 - induct.ps				</t>
  </si>
  <si>
    <t xml:space="preserve">18d238da3c6b4559403d0939277450f1	</t>
  </si>
  <si>
    <t xml:space="preserve">	e:\GoogleDrive\articles\finch - variants of brownian motion.pdf				</t>
  </si>
  <si>
    <t xml:space="preserve">	e:\GoogleDrive\articles\variants of brownian motion.pdf				</t>
  </si>
  <si>
    <t xml:space="preserve">18d8d2f54abbdd5450d4de68a0b14a52	</t>
  </si>
  <si>
    <t xml:space="preserve">	e:\GoogleDrive\articles\wilmott\0411_drz.pdf				</t>
  </si>
  <si>
    <t xml:space="preserve">18ea504b74eedfeeb39ac24cc1191412	</t>
  </si>
  <si>
    <t xml:space="preserve">	e:\GoogleDrive\articles\choudhry - understanding repo curves.pdf				</t>
  </si>
  <si>
    <t xml:space="preserve">18fffed98c4275835bd6b079039a4df2	</t>
  </si>
  <si>
    <t xml:space="preserve">	e:\GoogleDrive\articles\lecture notes (pittman probas)\lecture11.pdf				</t>
  </si>
  <si>
    <t xml:space="preserve">1902f4b562aba167fd63862c9887ff43	</t>
  </si>
  <si>
    <t xml:space="preserve">	e:\GoogleDrive\articles\Lesniewski - The volatility cube.pdf				</t>
  </si>
  <si>
    <t xml:space="preserve">190b1f3951ab60629d27cd69343ed1cb	</t>
  </si>
  <si>
    <t xml:space="preserve">	e:\GoogleDrive\articles\risk_0812_technical_ird1.pdf				</t>
  </si>
  <si>
    <t xml:space="preserve">191d80f3cef20d1e8618fc11c038c048	</t>
  </si>
  <si>
    <t xml:space="preserve">	e:\GoogleDrive\articles\SDE - lecture notes.pdf				</t>
  </si>
  <si>
    <t xml:space="preserve">192541a8454a3b95fd123dc21abcb777	</t>
  </si>
  <si>
    <t xml:space="preserve">	e:\GoogleDrive\articles\a classer\newpart2.ps				</t>
  </si>
  <si>
    <t xml:space="preserve">19326684b3095b7cc63413668683ac8a	</t>
  </si>
  <si>
    <t xml:space="preserve">	e:\GoogleDrive\articles\numericalR\c11-4.pdf				</t>
  </si>
  <si>
    <t xml:space="preserve">193450eefa138d985d5297eff912fac2	</t>
  </si>
  <si>
    <t xml:space="preserve">	e:\GoogleDrive\articles\fva - hull white - CVA DVA FVA and the black-scholes-merton arguments (20	12)	.pdf		</t>
  </si>
  <si>
    <t xml:space="preserve">1939c3df0b41b599f24c9474456f1f9d	</t>
  </si>
  <si>
    <t xml:space="preserve">	e:\GoogleDrive\articles\maths sp‚\formulae.pdf				</t>
  </si>
  <si>
    <t xml:space="preserve">193b8ab3cfea69ce51bbdb39470ea08d	</t>
  </si>
  <si>
    <t xml:space="preserve">	e:\GoogleDrive\articles\brownian bridge\Brownian beads.pdf				</t>
  </si>
  <si>
    <t xml:space="preserve">194f393a610e15874f4951ddc4ecc2bb	</t>
  </si>
  <si>
    <t xml:space="preserve">	e:\GoogleDrive\articles.xlsx				</t>
  </si>
  <si>
    <t xml:space="preserve">196707bebb851679c8a3d4d8888f20a5	</t>
  </si>
  <si>
    <t xml:space="preserve">	e:\GoogleDrive\articles\mn480 - computational techniques\chapt1.pdf				</t>
  </si>
  <si>
    <t xml:space="preserve">19bbfc15d59fd473f5516969a698498e	</t>
  </si>
  <si>
    <t xml:space="preserve">	e:\GoogleDrive\articles\wilmott\0401_henrotte.pdf				</t>
  </si>
  <si>
    <t xml:space="preserve">19bdb1fb28b334728726beb6e3cd6f85	</t>
  </si>
  <si>
    <t xml:space="preserve">	e:\GoogleDrive\articles\lecture notes (pittman probas)\lecture8.pdf				</t>
  </si>
  <si>
    <t xml:space="preserve">19c09e16bd25984a166af1b692477b01	</t>
  </si>
  <si>
    <t xml:space="preserve">	e:\GoogleDrive\articles\yildirim - inflation.pdf				</t>
  </si>
  <si>
    <t xml:space="preserve">19c7b0b37c1a9505528e94255e1c2d73	</t>
  </si>
  <si>
    <t xml:space="preserve">	e:\GoogleDrive\articles\definitions\termes.doc				</t>
  </si>
  <si>
    <t xml:space="preserve">19e65ddcff431539f7c2a1646ed371eb	</t>
  </si>
  <si>
    <t xml:space="preserve">	e:\GoogleDrive\articles\global risk 2007\day2\ICBI_JG2.pdf				</t>
  </si>
  <si>
    <t xml:space="preserve">1a016a6c45f95a1f20cfe52ea334c627	</t>
  </si>
  <si>
    <t xml:space="preserve">	e:\GoogleDrive\articles\(phd) hunor\phd\part1.aux				</t>
  </si>
  <si>
    <t xml:space="preserve">1a1de64d61a62eb65076f012344d0433	</t>
  </si>
  <si>
    <t xml:space="preserve">	e:\GoogleDrive\articles\(eBook) catherine Dubois - Tests and Proofs.pdf				</t>
  </si>
  <si>
    <t xml:space="preserve">1a251080a81505adf6c1754deb3e21d5	</t>
  </si>
  <si>
    <t xml:space="preserve">	e:\GoogleDrive\articles\heidari - term structure of interest rates yield curve resi.pdf				</t>
  </si>
  <si>
    <t xml:space="preserve">1a4a4cc4575abaa0a0b31c8218a48304	</t>
  </si>
  <si>
    <t xml:space="preserve">	e:\GoogleDrive\articles\info - algo\porter - an algorith for suffix stripping.pdf				</t>
  </si>
  <si>
    <t xml:space="preserve">1a64cb29b0914ebaae58ec865c6a3e6a	</t>
  </si>
  <si>
    <t xml:space="preserve">	e:\GoogleDrive\articles\data mining\ECMLPKDD2004\images\sponsors\logouniba.jpg				</t>
  </si>
  <si>
    <t xml:space="preserve">1a66d44d51bc08c60ba08512612ca45f	</t>
  </si>
  <si>
    <t xml:space="preserve">	e:\GoogleDrive\articles\data mining\ECMLPKDD2004\invited\Hand.pdf				</t>
  </si>
  <si>
    <t xml:space="preserve">1a68c24e15be94c1feaaf6cf4ae58049	</t>
  </si>
  <si>
    <t xml:space="preserve">	e:\GoogleDrive\articles\wilmott\0211_news.pdf				</t>
  </si>
  <si>
    <t xml:space="preserve">1a68e39fca4a60a627145a25e764cfd3	</t>
  </si>
  <si>
    <t xml:space="preserve">	e:\GoogleDrive\articles\wilmott\0501_editorial.pdf				</t>
  </si>
  <si>
    <t xml:space="preserve">1a6e77c7c085d64f0660d09f2ffb9eb6	</t>
  </si>
  <si>
    <t xml:space="preserve">	e:\GoogleDrive\articles\(phd) hunor\backuper.hcs				</t>
  </si>
  <si>
    <t xml:space="preserve">1a7afe56048d5c730fcbb1e0f80a883b	</t>
  </si>
  <si>
    <t xml:space="preserve">	e:\GoogleDrive\articles\numericalR\c13-0.pdf				</t>
  </si>
  <si>
    <t xml:space="preserve">1a7fbf01e115106fc8cf873f32b8a5f9	</t>
  </si>
  <si>
    <t xml:space="preserve">	e:\GoogleDrive\articles\zivot - Practical Issues in the Analysis of Univariate GARCH models (2008).p	df			</t>
  </si>
  <si>
    <t xml:space="preserve">1a9ee803fa50665c46711432754c4521	</t>
  </si>
  <si>
    <t xml:space="preserve">	e:\GoogleDrive\articles\data mining\ECMLPKDD2004\tutorials\T2.pdf				</t>
  </si>
  <si>
    <t xml:space="preserve">1aa2160eea21d35260499ee27c73c43f	</t>
  </si>
  <si>
    <t xml:space="preserve">	e:\GoogleDrive\articles\higham - maple and matlab for SDE in finance - prn.ps				</t>
  </si>
  <si>
    <t xml:space="preserve">1aa452ebf5eb76955d6a1e82b0936268	</t>
  </si>
  <si>
    <t xml:space="preserve">	e:\GoogleDrive\articles\wilmott\0507_drz.pdf				</t>
  </si>
  <si>
    <t xml:space="preserve">1ab4b5cea833c3de5b4eb321bb25f3b1	</t>
  </si>
  <si>
    <t xml:space="preserve">	e:\GoogleDrive\articles\wilmott\0807_carreviews.pdf				</t>
  </si>
  <si>
    <t xml:space="preserve">1ac3461591a35cc5bc59e5ca963f3f52	</t>
  </si>
  <si>
    <t xml:space="preserve">	e:\GoogleDrive\articles\pitman yor - on the distribution of ranket heights.pdf				</t>
  </si>
  <si>
    <t xml:space="preserve">1ad484dfe6329441a8d74ae1c9d71156	</t>
  </si>
  <si>
    <t xml:space="preserve">	e:\GoogleDrive\articles\info - algo\well separated points.pdf				</t>
  </si>
  <si>
    <t xml:space="preserve">1af94e4cff94f4540703e7b48d0b6bd3	</t>
  </si>
  <si>
    <t xml:space="preserve">	e:\GoogleDrive\articles\morokoff - generating quasi random paths for stochastic processes.ps				</t>
  </si>
  <si>
    <t xml:space="preserve">	e:\GoogleDrive\articles\morokoff - generating quasi-random paths for stochastic processes.ps				</t>
  </si>
  <si>
    <t xml:space="preserve">1b1f606e420ecd358c9d8bba2a5a6ec6	</t>
  </si>
  <si>
    <t xml:space="preserve">	e:\GoogleDrive\articles\hull white - efficient procedures for valuing european and american path-de	pen	dent	o	ptions (1993).pdf</t>
  </si>
  <si>
    <t xml:space="preserve">1b20a0e01152bfe1729354766ca55552	</t>
  </si>
  <si>
    <t xml:space="preserve">	e:\GoogleDrive\articles\Risk2003-may - Real option valuation and equity markets.pdf				</t>
  </si>
  <si>
    <t xml:space="preserve">1b29f9164cd2f9c58a4137ccf4ecf1f0	</t>
  </si>
  <si>
    <t xml:space="preserve">	e:\GoogleDrive\articles\Schroder - Changes of Numeraire for Pricing Futures Forward.pdf				</t>
  </si>
  <si>
    <t xml:space="preserve">	e:\GoogleDrive\articles\Schroder - Changes of Numeraire for Pricing Futures Forwards and Options.p	df			</t>
  </si>
  <si>
    <t xml:space="preserve">1b2eebfa1fc68080b3a273130f831c29	</t>
  </si>
  <si>
    <t xml:space="preserve">	e:\GoogleDrive\articles\Gatheral - lecture3_2005.pdf				</t>
  </si>
  <si>
    <t xml:space="preserve">1b3ac76612e2e3bc6df14eb6df7fcc81	</t>
  </si>
  <si>
    <t xml:space="preserve">	e:\GoogleDrive\articles\zhou - On the existence of an optimal regression complexity in the Least-Squ	are	s Mo	nt	e Carlo (LSM) framework for options pricing.pdf</t>
  </si>
  <si>
    <t xml:space="preserve">1b502d0ebffe0e60ded4f1e677d75320	</t>
  </si>
  <si>
    <t xml:space="preserve">	e:\GoogleDrive\articles\wilmott\0309_bookclub.pdf				</t>
  </si>
  <si>
    <t xml:space="preserve">1b5bc70d7a41a62b90b7346bd4c19b8c	</t>
  </si>
  <si>
    <t xml:space="preserve">	e:\GoogleDrive\articles\lecture notes (pittman probas)\lecture24.pdf				</t>
  </si>
  <si>
    <t xml:space="preserve">1b5f73b3a933160e2668d1afc337ee97	</t>
  </si>
  <si>
    <t xml:space="preserve">	e:\GoogleDrive\articles\data mining\jiawei - icdm03_comine - prn.pdf				</t>
  </si>
  <si>
    <t xml:space="preserve">1b64d48db19d6794e8a15917dcca3986	</t>
  </si>
  <si>
    <t xml:space="preserve">	e:\GoogleDrive\articles\data mining\jiawei - prefix span - prn.pdf				</t>
  </si>
  <si>
    <t xml:space="preserve">1b6ecba00cf33871861fbfbd59495130	</t>
  </si>
  <si>
    <t xml:space="preserve">	e:\GoogleDrive\articles\wilmott\0707_brown.pdf				</t>
  </si>
  <si>
    <t xml:space="preserve">1b72320a622855b781191b261d7ca78c	</t>
  </si>
  <si>
    <t xml:space="preserve">	e:\GoogleDrive\articles\wilmott\0211_osband.pdf				</t>
  </si>
  <si>
    <t xml:space="preserve">1b7635684470a3aad5ec05b4e4c972fb	</t>
  </si>
  <si>
    <t xml:space="preserve">	e:\GoogleDrive\articles\(eBook) scott myers - Effective STL.pdf				</t>
  </si>
  <si>
    <t xml:space="preserve">1ba607b859569845448529a4342f43d4	</t>
  </si>
  <si>
    <t xml:space="preserve">	e:\GoogleDrive\articles\info - graphics\gottfried fehr garbe - Computing Range Flow from Multi-mod	al	Kine	ct	Data.pdf</t>
  </si>
  <si>
    <t xml:space="preserve">1bcd141ae591f02c42f0ae858f2f4bb8	</t>
  </si>
  <si>
    <t xml:space="preserve">	e:\GoogleDrive\articles\(eBook) - ingles analysis of algorithms\capitulo17-ingles.pdf				</t>
  </si>
  <si>
    <t xml:space="preserve">1be291e4b737a2c50020b31daa1e0504	</t>
  </si>
  <si>
    <t xml:space="preserve">	e:\GoogleDrive\articles\lobaskin\P.Kaufman.Trading Systems &amp; Methods\Kaufman - Trading Systems &amp; Met	hod	s -	Ch	ap01.doc</t>
  </si>
  <si>
    <t xml:space="preserve">1becb447a4025d54d906b98c5983216a	</t>
  </si>
  <si>
    <t xml:space="preserve">	e:\GoogleDrive\articles\wilmott\0611_news.pdf				</t>
  </si>
  <si>
    <t xml:space="preserve">1bf7c2cf0268e3ca397160861f94dfb9	</t>
  </si>
  <si>
    <t xml:space="preserve">	e:\GoogleDrive\articles\Combat Knife Throwing.pdf				</t>
  </si>
  <si>
    <t xml:space="preserve">1bfb6a2f2142b30596670da24d3801d8	</t>
  </si>
  <si>
    <t xml:space="preserve">	e:\GoogleDrive\articles\maths - kbe kbf feynman-kac fokker-planck.pdf				</t>
  </si>
  <si>
    <t xml:space="preserve">1bfd5bb34947fdd06393d18d2f7dc151	</t>
  </si>
  <si>
    <t xml:space="preserve">	e:\GoogleDrive\articles\(eBook) - Jackel\GreeksWithMonteCarlo\backuper.hcs				</t>
  </si>
  <si>
    <t xml:space="preserve">1c0dfe0f965a18751dd8063b090039a7	</t>
  </si>
  <si>
    <t xml:space="preserve">	e:\GoogleDrive\articles\(eBook) sinclair - ViolatilityTrading.pdf				</t>
  </si>
  <si>
    <t xml:space="preserve">1c155edb331713db4eb854be54b77817	</t>
  </si>
  <si>
    <t xml:space="preserve">	e:\GoogleDrive\articles\(phd) hunor\phd\kn08.aux				</t>
  </si>
  <si>
    <t xml:space="preserve">1c22b8a546f74f43eab5b9ffcdbd8354	</t>
  </si>
  <si>
    <t xml:space="preserve">	e:\GoogleDrive\articles\wilmott\0505_osband.pdf				</t>
  </si>
  <si>
    <t xml:space="preserve">1c277381b3256f9233c05c7ca0649fa0	</t>
  </si>
  <si>
    <t xml:space="preserve">	e:\GoogleDrive\articles\Saint_Flour - subordinators.pdf				</t>
  </si>
  <si>
    <t xml:space="preserve">1c2dce7c44c8bdebb76ea4d865918214	</t>
  </si>
  <si>
    <t xml:space="preserve">	e:\GoogleDrive\articles\WBS IR modelling Course\IR Modelling\IR1.4Jaeckel_98.pdf				</t>
  </si>
  <si>
    <t xml:space="preserve">1c33fe64a1a894a443bc22cef2e3a843	</t>
  </si>
  <si>
    <t xml:space="preserve">	e:\GoogleDrive\articles\finite difference for barrier lookback.pdf				</t>
  </si>
  <si>
    <t xml:space="preserve">1c3a5dd2317a51eee742511250668b1d	</t>
  </si>
  <si>
    <t xml:space="preserve">	e:\GoogleDrive\articles\kohn - sde\url.txt				</t>
  </si>
  <si>
    <t xml:space="preserve">1c3fedc3ae2e26786481844a8c83d86f	</t>
  </si>
  <si>
    <t xml:space="preserve">	e:\GoogleDrive\articles\(eBook) - kwok\Kwok_Chap_2.pdf				</t>
  </si>
  <si>
    <t xml:space="preserve">1c7cef94eec6ac38d8e415b3e096a8ee	</t>
  </si>
  <si>
    <t xml:space="preserve">	e:\GoogleDrive\articles\(lecture motes) sleigh - An Introduction to Fluid Mechanics.pdf				</t>
  </si>
  <si>
    <t xml:space="preserve">1c98fe762f8333ad853eec836737adfe	</t>
  </si>
  <si>
    <t xml:space="preserve">	e:\GoogleDrive\articles\(ebook) - Handbook of applied cryptography\backuper.hcs				</t>
  </si>
  <si>
    <t xml:space="preserve">1cb296ff6aa1ffcf420f3e5617886d8d	</t>
  </si>
  <si>
    <t xml:space="preserve">	e:\GoogleDrive\articles\(eBook) - Jackel\Halton\Halton.cpp				</t>
  </si>
  <si>
    <t xml:space="preserve">1cb8f3f8a850b72dd246455c511289be	</t>
  </si>
  <si>
    <t xml:space="preserve">	e:\GoogleDrive\articles\wilmott\0801_thulasidas.pdf				</t>
  </si>
  <si>
    <t xml:space="preserve">1cbe0a44e60f41f233d5522b35ebebab	</t>
  </si>
  <si>
    <t xml:space="preserve">	e:\GoogleDrive\articles\(ebook) Bentley - Programming Pearls2nd.pdf				</t>
  </si>
  <si>
    <t xml:space="preserve">1cc3524a325060d6041029042f6ad83e	</t>
  </si>
  <si>
    <t xml:space="preserve">	e:\GoogleDrive\articles\maths sp‚\chapitre01 - determinants.pdf				</t>
  </si>
  <si>
    <t xml:space="preserve">1cd5e91ba86b96e666647bad02fba9eb	</t>
  </si>
  <si>
    <t xml:space="preserve">	e:\GoogleDrive\articles\stats\1 - Intro into probability.pdf				</t>
  </si>
  <si>
    <t xml:space="preserve">1cea226bf543be6a153616b714e351c6	</t>
  </si>
  <si>
    <t xml:space="preserve">	e:\GoogleDrive\articles\wilmott\0311_duffy.pdf				</t>
  </si>
  <si>
    <t xml:space="preserve">1cfc8ac1ddf004dc024776faf3526074	</t>
  </si>
  <si>
    <t xml:space="preserve">	e:\GoogleDrive\articles\Richardson M. &amp; SmithT - A test for multivariate normality.pdf				</t>
  </si>
  <si>
    <t xml:space="preserve">1d0a7710493302a3e649a13590024a83	</t>
  </si>
  <si>
    <t xml:space="preserve">	e:\GoogleDrive\articles\wilmott\0305_bookclub.pdf				</t>
  </si>
  <si>
    <t xml:space="preserve">1d18b57678f1d4ab0b99b0167979569d	</t>
  </si>
  <si>
    <t xml:space="preserve">	e:\GoogleDrive\articles\info - graphics\sander - the psurface library (2010).pdf				</t>
  </si>
  <si>
    <t xml:space="preserve">1d2de6a2ccb45aa8b63bead7f9f734a3	</t>
  </si>
  <si>
    <t xml:space="preserve">	e:\GoogleDrive\articles\vgood lecture\MOP_CH3.pdf				</t>
  </si>
  <si>
    <t xml:space="preserve">1d346fe0182ac3379304c66630982454	</t>
  </si>
  <si>
    <t xml:space="preserve">	e:\GoogleDrive\articles\wilmott\0709_coverstory.pdf				</t>
  </si>
  <si>
    <t xml:space="preserve">1d39dca07ba105c614f1d72084e7e36b	</t>
  </si>
  <si>
    <t xml:space="preserve">	e:\GoogleDrive\articles\svoboda-greenwood hambly - the displaced diffusion as an approximationof CE	V .	pdf		</t>
  </si>
  <si>
    <t xml:space="preserve">1d3ffadacacfdb19f21ddd61b1b683d0	</t>
  </si>
  <si>
    <t xml:space="preserve">	e:\GoogleDrive\articles\lobaskin\P.Kaufman.Trading Systems &amp; Methods\Kaufman - Trading Systems &amp; Met	hod	s -	Ch	ap04.doc</t>
  </si>
  <si>
    <t xml:space="preserve">1d4b16f2e15a7e68b45d71bb88e70a36	</t>
  </si>
  <si>
    <t xml:space="preserve">	e:\GoogleDrive\articles\info - graphics\Anderson Crawford-Hines - Fast generation of NURBS Surfaces	.pd	f		</t>
  </si>
  <si>
    <t xml:space="preserve">1d6c47a490da8270be77a176f4b4a72b	</t>
  </si>
  <si>
    <t xml:space="preserve">	e:\GoogleDrive\articles\imf publications\mfi-intrestratestatisticsmanual.pdf				</t>
  </si>
  <si>
    <t xml:space="preserve">1d71db796c6f0d6c3d256455dd65f4a3	</t>
  </si>
  <si>
    <t xml:space="preserve">	e:\GoogleDrive\articles\latex files\Corridors\fig_corridorintegration.pdf				</t>
  </si>
  <si>
    <t xml:space="preserve">1da20950bb79273c9ead366d68d25cc1	</t>
  </si>
  <si>
    <t xml:space="preserve">	e:\GoogleDrive\articles\equity\Volume2.doc				</t>
  </si>
  <si>
    <t xml:space="preserve">	e:\GoogleDrive\articles\equity (lehman brothers)\Volume2.doc				</t>
  </si>
  <si>
    <t xml:space="preserve">1da71cdcfa08d8866d763ed81f0e5f88	</t>
  </si>
  <si>
    <t xml:space="preserve">	e:\GoogleDrive\articles\Notes on Elementary Number Theory\18 - euler.ps				</t>
  </si>
  <si>
    <t xml:space="preserve">1da8d42059077d7f460ea77c7acc9c82	</t>
  </si>
  <si>
    <t xml:space="preserve">	e:\GoogleDrive\articles\global derivatives 2008\backuper.hcs				</t>
  </si>
  <si>
    <t xml:space="preserve">1dc02a207ae0f1ce3d0dea90ef383e74	</t>
  </si>
  <si>
    <t xml:space="preserve">	e:\GoogleDrive\articles\wilmott\0505_ayache.pdf				</t>
  </si>
  <si>
    <t xml:space="preserve">1dd3d7812817384bfc1b6bd2e02a2f04	</t>
  </si>
  <si>
    <t xml:space="preserve">	e:\GoogleDrive\articles\ecuyer - qmc methods for simulation.pdf				</t>
  </si>
  <si>
    <t xml:space="preserve">1ddb7058f1a46979cad8255c20af653b	</t>
  </si>
  <si>
    <t xml:space="preserve">	e:\GoogleDrive\articles\glasserman - stopping_wsc.pdf				</t>
  </si>
  <si>
    <t xml:space="preserve">1de9b64864e1b957be3a8cf5c59c9bbf	</t>
  </si>
  <si>
    <t xml:space="preserve">	e:\GoogleDrive\articles\numericalR\c10-3.pdf				</t>
  </si>
  <si>
    <t xml:space="preserve">1df392e6a5dec15ccc41e48731f1bd2b	</t>
  </si>
  <si>
    <t xml:space="preserve">	e:\GoogleDrive\articles\closed form.pdf				</t>
  </si>
  <si>
    <t xml:space="preserve">1e046a15628dbc21ac72351373778c35	</t>
  </si>
  <si>
    <t xml:space="preserve">	e:\GoogleDrive\articles\numericalR\c0-0.pdf				</t>
  </si>
  <si>
    <t xml:space="preserve">1e2897b7c2ce483bf6a7849bb2159b99	</t>
  </si>
  <si>
    <t xml:space="preserve">	e:\GoogleDrive\articles\maths\solvers\url.txt				</t>
  </si>
  <si>
    <t xml:space="preserve">1e3adcbaeca866b1c84881b1b33df609	</t>
  </si>
  <si>
    <t xml:space="preserve">	e:\GoogleDrive\articles\lecture notes (pittman probas)\lecture25.pdf				</t>
  </si>
  <si>
    <t xml:space="preserve">1e4bd7c5ff681338796b1d845ee8206f	</t>
  </si>
  <si>
    <t xml:space="preserve">	e:\GoogleDrive\articles\biane - relation entre pont et excursion du mouvement brownien.pdf				</t>
  </si>
  <si>
    <t xml:space="preserve">1e932dcf4cd16eee9f1304f97b6eb3da	</t>
  </si>
  <si>
    <t xml:space="preserve">	e:\GoogleDrive\articles\conventions - Yield calculations for bonds.doc				</t>
  </si>
  <si>
    <t xml:space="preserve">1eb5535f85f9cc4e1373c79551f92027	</t>
  </si>
  <si>
    <t xml:space="preserve">	e:\GoogleDrive\articles\bouchaud - random matrix theory and financial correlations.pdf				</t>
  </si>
  <si>
    <t xml:space="preserve">1ed5eaf2436e6997610d8a31f103c09a	</t>
  </si>
  <si>
    <t xml:space="preserve">	e:\GoogleDrive\articles\pat - MarkovModels.pdf				</t>
  </si>
  <si>
    <t xml:space="preserve">1ed90cdf05ba0005ccf1ae115d9aea5a	</t>
  </si>
  <si>
    <t xml:space="preserve">	e:\GoogleDrive\articles\anagrammer\Extreme Programming Explained.pdf				</t>
  </si>
  <si>
    <t xml:space="preserve">1ee2410d3ddf978ed7c861581f996685	</t>
  </si>
  <si>
    <t xml:space="preserve">	e:\GoogleDrive\articles\wilmott\0303_careers.pdf				</t>
  </si>
  <si>
    <t xml:space="preserve">1f0d3823195d1caa14fd05a33f425d3c	</t>
  </si>
  <si>
    <t xml:space="preserve">	e:\GoogleDrive\articles\wilmott\0707_bogni.pdf				</t>
  </si>
  <si>
    <t xml:space="preserve">1f190b4513b6a5d73272648460164639	</t>
  </si>
  <si>
    <t xml:space="preserve">	e:\GoogleDrive\articles\administratif\anya - accred2.doc				</t>
  </si>
  <si>
    <t xml:space="preserve">1f4e9e7469affaee472cca3b3e78ed46	</t>
  </si>
  <si>
    <t xml:space="preserve">	e:\GoogleDrive\articles\KNIFE THROWING TECHNIQUES OF THE NINJA.pdf				</t>
  </si>
  <si>
    <t xml:space="preserve">1f5700dac9c01741a7285abb27a4cca1	</t>
  </si>
  <si>
    <t xml:space="preserve">	e:\GoogleDrive\articles\data mining\ECMLPKDD2004\images\brightBack.png				</t>
  </si>
  <si>
    <t xml:space="preserve">1f5aeecba252c61510d917b53f3805cf	</t>
  </si>
  <si>
    <t xml:space="preserve">	e:\GoogleDrive\articles\wilmott\0805_brown.pdf				</t>
  </si>
  <si>
    <t xml:space="preserve">1f782565ba2ac5a20cdea43d14cfc407	</t>
  </si>
  <si>
    <t xml:space="preserve">	e:\GoogleDrive\articles\(eBook) - Statistics - Applied Quantitative Finance.pdf				</t>
  </si>
  <si>
    <t xml:space="preserve">1f8990e7f9275239e3f2a52f3ecdb7f4	</t>
  </si>
  <si>
    <t xml:space="preserve">	e:\GoogleDrive\articles\culture generale\economics\macroeconomics\LN_ch16.pdf				</t>
  </si>
  <si>
    <t xml:space="preserve">1f92cc90a5bddd31bcb248c6369155d9	</t>
  </si>
  <si>
    <t xml:space="preserve">	e:\GoogleDrive\articles\(phd) hunor\phd\these03.doc				</t>
  </si>
  <si>
    <t xml:space="preserve">1f957639e459abd0ddae603a6ef1fa64	</t>
  </si>
  <si>
    <t xml:space="preserve">	e:\GoogleDrive\articles\global risk 2007\day1\08.20 Robert Jarrow.pdf				</t>
  </si>
  <si>
    <t xml:space="preserve">1fefaf06ca32fc3d8f3135be5e438248	</t>
  </si>
  <si>
    <t xml:space="preserve">	e:\GoogleDrive\articles\numericalR\c2-11.pdf				</t>
  </si>
  <si>
    <t xml:space="preserve">1ff1fa227031b26f4d95e2c26ff768ba	</t>
  </si>
  <si>
    <t xml:space="preserve">	e:\GoogleDrive\articles\wilmott\0405_javaheri.pdf				</t>
  </si>
  <si>
    <t xml:space="preserve">1ff25182edb90d33ae9adc758744ab89	</t>
  </si>
  <si>
    <t xml:space="preserve">	e:\GoogleDrive\articles\anagrammer\C++ Template - The Complete Guide.chm				</t>
  </si>
  <si>
    <t xml:space="preserve">1ff30b4a7b3a2afea030240f1dbb2393	</t>
  </si>
  <si>
    <t xml:space="preserve">	e:\GoogleDrive\articles\Notes on Elementary Number Theory\16 - wilson.ps				</t>
  </si>
  <si>
    <t xml:space="preserve">1ff53d20d667c2cda65d25f6fc434cfd	</t>
  </si>
  <si>
    <t xml:space="preserve">	e:\GoogleDrive\articles\jaeckel - Quanto Skew.pdf				</t>
  </si>
  <si>
    <t xml:space="preserve">201253e5e467cb6d67428e5886f4b9a2	</t>
  </si>
  <si>
    <t xml:space="preserve">	e:\GoogleDrive\articles\(phd) hunor\phd\appendix-b.tex				</t>
  </si>
  <si>
    <t xml:space="preserve">20167e0062256af1d82187c43d4fe047	</t>
  </si>
  <si>
    <t xml:space="preserve">	e:\GoogleDrive\articles\anagrammer\Windows API Reference.chm				</t>
  </si>
  <si>
    <t xml:space="preserve">20382cb463047a131dc2924fdce0b60a	</t>
  </si>
  <si>
    <t xml:space="preserve">	e:\GoogleDrive\articles\Loseille Alauzet - Optimal 3D Highly Anisotropic Mesh Adaptation Based on t	he	Cont	in	uous Mesh framework.pdf</t>
  </si>
  <si>
    <t xml:space="preserve">2045bf9c7c02e3d8ba6c57ac6c9d785a	</t>
  </si>
  <si>
    <t xml:space="preserve">	e:\GoogleDrive\articles\american option on several assets.pdf				</t>
  </si>
  <si>
    <t xml:space="preserve">2071285ebe4a8d3bde53221dc41feb3b	</t>
  </si>
  <si>
    <t xml:space="preserve">	e:\GoogleDrive\articles\(ebook) selesnick burrus - Digital Signal Processing Handbook\46.pdf				</t>
  </si>
  <si>
    <t xml:space="preserve">207f938c81ccebc19d0862291a841f97	</t>
  </si>
  <si>
    <t xml:space="preserve">	e:\GoogleDrive\articles\(ebook) selesnick burrus - Digital Signal Processing Handbook\53.pdf				</t>
  </si>
  <si>
    <t xml:space="preserve">	e:\GoogleDrive\articles\(ebook) selesnick burrus - Digital Signal Processing Handbook\54.pdf				</t>
  </si>
  <si>
    <t xml:space="preserve">208a296a6e14bc0fb449a7d95badaa23	</t>
  </si>
  <si>
    <t xml:space="preserve">	e:\GoogleDrive\articles\wilmott\0711_scicomp.pdf				</t>
  </si>
  <si>
    <t xml:space="preserve">20a711ce4d248034db4bf281de4c8b45	</t>
  </si>
  <si>
    <t xml:space="preserve">	e:\GoogleDrive\articles\wilmott\0707_nikolaev.pdf				</t>
  </si>
  <si>
    <t xml:space="preserve">20a839a8c78a32f71765551d515d8450	</t>
  </si>
  <si>
    <t xml:space="preserve">	e:\GoogleDrive\articles\wilmott\0311_banerjee.pdf				</t>
  </si>
  <si>
    <t xml:space="preserve">20aeb1dcd214c6253114e045705703b0	</t>
  </si>
  <si>
    <t xml:space="preserve">	e:\GoogleDrive\articles\info - algo\elseberg Magnenat Siegwart nuchter - Comparison of nearest-ne	igh	bor-	se	arch strategies and implementations for efficient shape registration.pdf</t>
  </si>
  <si>
    <t xml:space="preserve">20c65ecac94075a84a224e1f630d52df	</t>
  </si>
  <si>
    <t xml:space="preserve">	e:\GoogleDrive\articles\wilmott\0709_pure.pdf				</t>
  </si>
  <si>
    <t xml:space="preserve">20cb069747129fe5cb32ee8707cca37a	</t>
  </si>
  <si>
    <t xml:space="preserve">	e:\GoogleDrive\articles\stats\3 - Distributions.pdf				</t>
  </si>
  <si>
    <t xml:space="preserve">20cc658ad8e013426df361cb36c5562b	</t>
  </si>
  <si>
    <t xml:space="preserve">	e:\GoogleDrive\articles\milne\math776 AllSltn.dvi				</t>
  </si>
  <si>
    <t xml:space="preserve">20f4c842dfdcaee332a53cc2ce80cc95	</t>
  </si>
  <si>
    <t xml:space="preserve">	e:\GoogleDrive\articles\chan - the sine product formula and the gamma function.url				</t>
  </si>
  <si>
    <t xml:space="preserve">21089a90bad278592d5b947c36ed36d3	</t>
  </si>
  <si>
    <t xml:space="preserve">	e:\GoogleDrive\articles\(phd) hunor\phd\thesis01.dvi				</t>
  </si>
  <si>
    <t xml:space="preserve">210f3cc07d3ea9cd7c73dcfe1fe812b9	</t>
  </si>
  <si>
    <t xml:space="preserve">	e:\GoogleDrive\articles\culture generale\economics\macroeconomics\LN - ch7 - flexprice_model.pdf				</t>
  </si>
  <si>
    <t xml:space="preserve">211c26bc979018e20c3f36190ab537c7	</t>
  </si>
  <si>
    <t xml:space="preserve">	e:\GoogleDrive\articles\global derivatives 2008\riccardo rebonato - state of the economy.pdf				</t>
  </si>
  <si>
    <t xml:space="preserve">2121dc1c93deefe2052931e40be67dfb	</t>
  </si>
  <si>
    <t xml:space="preserve">	e:\GoogleDrive\articles\lecture notes - david mount - Game Programming.pdf				</t>
  </si>
  <si>
    <t xml:space="preserve">2134c46a846f6b7e06a71c1d85d766a1	</t>
  </si>
  <si>
    <t xml:space="preserve">	e:\GoogleDrive\articles\wilmott\0809_insightful.pdf				</t>
  </si>
  <si>
    <t xml:space="preserve">214581dc277d09f5aa6041a49b5d84ce	</t>
  </si>
  <si>
    <t xml:space="preserve">	e:\GoogleDrive\articles\WBS IR modelling Course\Credit Derivatives and Hybrids\CD1.2.1Laurent_76.pdf				</t>
  </si>
  <si>
    <t xml:space="preserve">2150cc8b68e4f34a7222aca23aaba12e	</t>
  </si>
  <si>
    <t xml:space="preserve">	e:\GoogleDrive\articles\Aas Czado Frigessi Bakken - Pair-copula constructions of multiple depende	nce	.pdf		</t>
  </si>
  <si>
    <t xml:space="preserve">215ef99358ebac88632ce51f8a2562ff	</t>
  </si>
  <si>
    <t xml:space="preserve">	e:\GoogleDrive\articles\(ebook) selesnick burrus - Digital Signal Processing Handbook\37.pdf				</t>
  </si>
  <si>
    <t xml:space="preserve">217a1d8a94ce243e30ab765e51908440	</t>
  </si>
  <si>
    <t xml:space="preserve">	e:\GoogleDrive\articles\(eBook) cormen leiserson  rivest stein- Introduction to Algorithms Third	Ed	itio	n.	pdf</t>
  </si>
  <si>
    <t xml:space="preserve">218308771519c32eafa9a8c301f74c12	</t>
  </si>
  <si>
    <t xml:space="preserve">	e:\GoogleDrive\articles\lobaskin\P.Kaufman.Trading Systems &amp; Methods\Kaufman - Trading Systems &amp; Met	hod	s -	Ap	pendix 4.doc</t>
  </si>
  <si>
    <t xml:space="preserve">2189f4dcd6ebc409816df110b8aef414	</t>
  </si>
  <si>
    <t xml:space="preserve">	e:\GoogleDrive\articles\(ebook) Go - hatsuyoron-dbl.pdf				</t>
  </si>
  <si>
    <t xml:space="preserve">218c1254de2cae177745d6373bb162ec	</t>
  </si>
  <si>
    <t xml:space="preserve">	e:\GoogleDrive\articles\latex files\figures\calibrating_k.gnu				</t>
  </si>
  <si>
    <t xml:space="preserve">21a37ab72475a876156ff80d1b5312f5	</t>
  </si>
  <si>
    <t xml:space="preserve">	e:\GoogleDrive\articles\molgedey - Calibration of the Deterministic and Stochastic Volatility Libor	Mar	ket	Mo	del.pdf</t>
  </si>
  <si>
    <t xml:space="preserve">21b0c40fe6e63ac23f749e330992af6d	</t>
  </si>
  <si>
    <t xml:space="preserve">	e:\GoogleDrive\articles\maths\xcheng\week21.pdf				</t>
  </si>
  <si>
    <t xml:space="preserve">21dbb62129f44325bbf767b806f4f7ec	</t>
  </si>
  <si>
    <t xml:space="preserve">	e:\GoogleDrive\articles\anagrammer\Inside ATL.CHM				</t>
  </si>
  <si>
    <t xml:space="preserve">21df7ef74219868e8c6020a6ba77f3ba	</t>
  </si>
  <si>
    <t xml:space="preserve">	e:\GoogleDrive\articles\Marco_Bonvini__Gamma_function.pdf				</t>
  </si>
  <si>
    <t xml:space="preserve">21e0c1ef64315b8010e84f455b806063	</t>
  </si>
  <si>
    <t xml:space="preserve">	e:\GoogleDrive\articles\imf publications\world economic outlook 2003 septembre\chapter2.pdf				</t>
  </si>
  <si>
    <t xml:space="preserve">21e257e4b439fe098543a18e8f055887	</t>
  </si>
  <si>
    <t xml:space="preserve">	e:\GoogleDrive\articles\info - graphics\maya - basics.pdf				</t>
  </si>
  <si>
    <t xml:space="preserve">21f72287e6cb0299a0aac7524c4278cc	</t>
  </si>
  <si>
    <t xml:space="preserve">	e:\GoogleDrive\articles\info - algo\algo - unique_ptr.docx				</t>
  </si>
  <si>
    <t xml:space="preserve">22188c283f788919b3a51a23f2720100	</t>
  </si>
  <si>
    <t xml:space="preserve">	e:\GoogleDrive\articles\culture generale\economics\econ320\0 - intro.pdf				</t>
  </si>
  <si>
    <t xml:space="preserve">2219ad9192fa684c398340e29054fde7	</t>
  </si>
  <si>
    <t xml:space="preserve">	e:\GoogleDrive\articles\chesney jeanblanc yor - Brownian Excursions and Parisian Barrier Options.p	df			</t>
  </si>
  <si>
    <t xml:space="preserve">2222ef3b6f154d7730da6daf77a89976	</t>
  </si>
  <si>
    <t xml:space="preserve">	e:\GoogleDrive\articles\journal of computational finance\v10n3a4.pdf				</t>
  </si>
  <si>
    <t xml:space="preserve">222f05426705805e6edb0410de525b31	</t>
  </si>
  <si>
    <t xml:space="preserve">	e:\GoogleDrive\articles\numericalR\c1-3.pdf				</t>
  </si>
  <si>
    <t xml:space="preserve">2234218a126d1c226254c80f58c4d6e5	</t>
  </si>
  <si>
    <t xml:space="preserve">	e:\GoogleDrive\articles\politis - model free volatility prediction.pdf				</t>
  </si>
  <si>
    <t xml:space="preserve">2243f55c20d71f08da4d8c4196337fce	</t>
  </si>
  <si>
    <t xml:space="preserve">	e:\GoogleDrive\articles\smith jain - A Test to Determine the Multivariate Normality of a data set.p	df			</t>
  </si>
  <si>
    <t xml:space="preserve">224a24b35d9bf100fed87bbd45f0e075	</t>
  </si>
  <si>
    <t xml:space="preserve">	e:\GoogleDrive\articles\VaR.pdf				</t>
  </si>
  <si>
    <t xml:space="preserve">225bdfe4de9a7d0526030be7a2325656	</t>
  </si>
  <si>
    <t xml:space="preserve">	e:\GoogleDrive\articles\wilmott\0801_das.pdf				</t>
  </si>
  <si>
    <t xml:space="preserve">2281a334990ce17273d5957a6dd97563	</t>
  </si>
  <si>
    <t xml:space="preserve">	e:\GoogleDrive\articles\anagrammer\Assembly Language Step by Step code\JREAD.EXE				</t>
  </si>
  <si>
    <t xml:space="preserve">2285cc7f32ab262a976e7d676fb12a4f	</t>
  </si>
  <si>
    <t xml:space="preserve">	e:\GoogleDrive\articles\cours sde.pdf				</t>
  </si>
  <si>
    <t xml:space="preserve">	e:\GoogleDrive\articles\maths\cours - spreij - sde.pdf				</t>
  </si>
  <si>
    <t xml:space="preserve">22abd139ca93faa11391c17d2f6e8640	</t>
  </si>
  <si>
    <t xml:space="preserve">	e:\GoogleDrive\articles\hagan west - Interpolation Methods for Curve Construction (2006).pdf				</t>
  </si>
  <si>
    <t xml:space="preserve">	e:\GoogleDrive\articles\Hagan_West_curves_AMF.pdf				</t>
  </si>
  <si>
    <t xml:space="preserve">22b033d5d82e47fe9b4f771af5646fdd	</t>
  </si>
  <si>
    <t xml:space="preserve">	e:\GoogleDrive\articles\data mining\ECMLPKDD2004\tutorials\T1.pdf				</t>
  </si>
  <si>
    <t xml:space="preserve">22d2bc1ca6bc2539dcea0c6843602604	</t>
  </si>
  <si>
    <t xml:space="preserve">	e:\GoogleDrive\articles\(ebook) selesnick burrus - Digital Signal Processing Handbook\05.pdf				</t>
  </si>
  <si>
    <t xml:space="preserve">22d45b5c6866f960ab0884314a9ea417	</t>
  </si>
  <si>
    <t xml:space="preserve">	e:\GoogleDrive\articles\InterestRate.pdf				</t>
  </si>
  <si>
    <t xml:space="preserve">22d7b1b6d6a516fbf7034659fa4f799a	</t>
  </si>
  <si>
    <t xml:space="preserve">	e:\GoogleDrive\articles\(ebook) - identification of dynamic systems.pdf				</t>
  </si>
  <si>
    <t xml:space="preserve">22fe2c5038eb7d20ec8a28b90efccf94	</t>
  </si>
  <si>
    <t xml:space="preserve">	e:\GoogleDrive\articles\derman - risk-price_verification.pdf				</t>
  </si>
  <si>
    <t xml:space="preserve">230012d7cc575c8a5632128a2bf7bd91	</t>
  </si>
  <si>
    <t xml:space="preserve">	e:\GoogleDrive\articles\info - algo\more - levenberg-marquart algorithm implementation and theory.p	df			</t>
  </si>
  <si>
    <t xml:space="preserve">230fadd846e7cb000e42a2e8877aaa9b	</t>
  </si>
  <si>
    <t xml:space="preserve">	e:\GoogleDrive\articles\wilmott\0509_putyat.pdf				</t>
  </si>
  <si>
    <t xml:space="preserve">23220efd1817835face021eb4fc7e59c	</t>
  </si>
  <si>
    <t xml:space="preserve">	e:\GoogleDrive\articles\anagrammer\Assembly Language Step by Step code\JEDDOC.ASC				</t>
  </si>
  <si>
    <t xml:space="preserve">2330a29452dfcbc916940bc5fb3c63f3	</t>
  </si>
  <si>
    <t xml:space="preserve">	e:\GoogleDrive\articles\wilmott\0701_pure.pdf				</t>
  </si>
  <si>
    <t xml:space="preserve">23435182f1939d70fb9e839801c93b72	</t>
  </si>
  <si>
    <t xml:space="preserve">	e:\GoogleDrive\articles\maths sp‚\resume.pdf				</t>
  </si>
  <si>
    <t xml:space="preserve">2348aea2718b93d5016a22ba2d0bb834	</t>
  </si>
  <si>
    <t xml:space="preserve">	e:\GoogleDrive\articles\info - graphics\zhao li - k-order spacial neighbours based on voronoi diagr	ams	 de	sc	ription computation and applications.pdf</t>
  </si>
  <si>
    <t xml:space="preserve">234af2fecfd589418261d56647db0314	</t>
  </si>
  <si>
    <t xml:space="preserve">	e:\GoogleDrive\articles\chung - pedagogic note on barrier theorem.pdf				</t>
  </si>
  <si>
    <t xml:space="preserve">23840e9bfc9f83e282824cd95d8cc83f	</t>
  </si>
  <si>
    <t xml:space="preserve">	e:\GoogleDrive\articles\wilmott\0405_drz.pdf				</t>
  </si>
  <si>
    <t xml:space="preserve">2386ed1001362a5538bb715c7836ba4f	</t>
  </si>
  <si>
    <t xml:space="preserve">	e:\GoogleDrive\articles\wilmott\0711_coverstory.pdf				</t>
  </si>
  <si>
    <t xml:space="preserve">23c5e45f4b55e59b38b9223b30fa19ad	</t>
  </si>
  <si>
    <t xml:space="preserve">	e:\GoogleDrive\articles\gaussel - the martingale property of prices when arbitrage o.pdf				</t>
  </si>
  <si>
    <t xml:space="preserve">	e:\GoogleDrive\articles\gaussel - the martingale property of prices when arbitrage opportunities exi	st.	pdf		</t>
  </si>
  <si>
    <t xml:space="preserve">23d0d76e318fd45cd773434cfe5c678c	</t>
  </si>
  <si>
    <t xml:space="preserve">	e:\GoogleDrive\articles\anagrammer\Standard Coding.pdf				</t>
  </si>
  <si>
    <t xml:space="preserve">23d5519c89b43809fbd63fea0ef6eaff	</t>
  </si>
  <si>
    <t xml:space="preserve">	e:\GoogleDrive\articles\(eBook) - Jackel\GreeksWithMonteCarlo\MCUtils.xll				</t>
  </si>
  <si>
    <t xml:space="preserve">23d6a790e854697a6e81548242eb4e6f	</t>
  </si>
  <si>
    <t xml:space="preserve">	e:\GoogleDrive\articles\(phd) hunor\phd\these.log				</t>
  </si>
  <si>
    <t xml:space="preserve">23d9524c52351bb5abdff1f88fe0b0d4	</t>
  </si>
  <si>
    <t xml:space="preserve">	e:\GoogleDrive\articles\transforming BS into the heat equation.pdf				</t>
  </si>
  <si>
    <t xml:space="preserve">23de52f329d9c10c6061f8f42d49e52a	</t>
  </si>
  <si>
    <t xml:space="preserve">	e:\GoogleDrive\articles\stanford - convex optimisation\05 - duality.pdf				</t>
  </si>
  <si>
    <t xml:space="preserve">23e0b0c3df6649efcfe4e83474db348a	</t>
  </si>
  <si>
    <t xml:space="preserve">	e:\GoogleDrive\articles\wilmott\0603_brown.pdf				</t>
  </si>
  <si>
    <t xml:space="preserve">23e964740d32993b22fe18562ddadb4a	</t>
  </si>
  <si>
    <t xml:space="preserve">	e:\GoogleDrive\articles\global derivatives 2008\pedro tavares - longevity derivatives.pdf				</t>
  </si>
  <si>
    <t xml:space="preserve">23f7e1fc7b58d187c0afda55ad9b4fbb	</t>
  </si>
  <si>
    <t xml:space="preserve">	e:\GoogleDrive\articles\mark rubinstein\Speculation and Information.doc				</t>
  </si>
  <si>
    <t xml:space="preserve">2403d754548052b5d7e41cbc14c64203	</t>
  </si>
  <si>
    <t xml:space="preserve">	e:\GoogleDrive\articles\(phd) hunor\phd\amelie.aux				</t>
  </si>
  <si>
    <t xml:space="preserve">2405bea3d069af5465917ede7bbbcfe5	</t>
  </si>
  <si>
    <t xml:space="preserve">	e:\GoogleDrive\articles\GillesDaniel - msc thesis.pdf				</t>
  </si>
  <si>
    <t xml:space="preserve">24061637cb4055c8f07e3782c93fed1c	</t>
  </si>
  <si>
    <t xml:space="preserve">	e:\GoogleDrive\articles\Mesh Smoothing.pdf				</t>
  </si>
  <si>
    <t xml:space="preserve">2418676946b00edc4d107ca682339eb3	</t>
  </si>
  <si>
    <t xml:space="preserve">	e:\GoogleDrive\articles\numericalR\c5-0.pdf				</t>
  </si>
  <si>
    <t xml:space="preserve">2425f9c06bacf84ba030638a04d45e56	</t>
  </si>
  <si>
    <t xml:space="preserve">	e:\GoogleDrive\articles\Eberhardt Klumpp - Density Trees for Efficient Nonlinear State Estimation (2	10	).pd	f	</t>
  </si>
  <si>
    <t xml:space="preserve">24435e00042d42eb4430ceeaf13fb9d7	</t>
  </si>
  <si>
    <t xml:space="preserve">	e:\GoogleDrive\articles\(ebook) selesnick burrus - Digital Signal Processing Handbook\51.pdf				</t>
  </si>
  <si>
    <t xml:space="preserve">246a2030b0e1268ae5452e6152973e04	</t>
  </si>
  <si>
    <t xml:space="preserve">	e:\GoogleDrive\articles\howison - A note on pricing and hedging volatility derivativ.pdf				</t>
  </si>
  <si>
    <t xml:space="preserve">	e:\GoogleDrive\articles\howison - A note on pricing and hedging volatility derivatives - prn.pdf				</t>
  </si>
  <si>
    <t xml:space="preserve">247d0e72111d31ea662b766f70a61d0e	</t>
  </si>
  <si>
    <t xml:space="preserve">	e:\GoogleDrive\articles\journal of computational finance\v10n1a3.pdf				</t>
  </si>
  <si>
    <t xml:space="preserve">24912134e7143b10d5585aedca184a2a	</t>
  </si>
  <si>
    <t xml:space="preserve">	e:\GoogleDrive\articles\valuing american-asian options with the longstaff schwartz algorithms.pdf				</t>
  </si>
  <si>
    <t xml:space="preserve">24b584718283363f60cfdd92de90942c	</t>
  </si>
  <si>
    <t xml:space="preserve">	e:\GoogleDrive\articles\wilmott\0809_duffphelps.pdf				</t>
  </si>
  <si>
    <t xml:space="preserve">24b8184e9ae57403f616e1c4ad83f156	</t>
  </si>
  <si>
    <t xml:space="preserve">	e:\GoogleDrive\articles\kort - pricing multi-asset financial products with tail dependence using cop	ula	s.pd	f	</t>
  </si>
  <si>
    <t xml:space="preserve">24c83053ee323e9f72bb57863e4b0379	</t>
  </si>
  <si>
    <t xml:space="preserve">	e:\GoogleDrive\articles\wilmott\0509_ayache.pdf				</t>
  </si>
  <si>
    <t xml:space="preserve">24d5665fa8f4f97c7463c7c5aaef561e	</t>
  </si>
  <si>
    <t xml:space="preserve">	e:\GoogleDrive\articles\brownian bridge\BB.pdf				</t>
  </si>
  <si>
    <t xml:space="preserve">24d9d269b50ad4613e48a644b1aa28bc	</t>
  </si>
  <si>
    <t xml:space="preserve">	e:\GoogleDrive\articles\(eBook) - Texturing And Modeling - A Procedural Approach 3rd Ed (Morgan Kau	fma	nn	20	03).pdf</t>
  </si>
  <si>
    <t xml:space="preserve">24ea70aa00812cac4ff23bd237cec26b	</t>
  </si>
  <si>
    <t xml:space="preserve">	e:\GoogleDrive\articles\galil park - An Improved Algorithm for Approximate String Matching.pdf				</t>
  </si>
  <si>
    <t xml:space="preserve">24eb55820cba1d26b1a308b55e111936	</t>
  </si>
  <si>
    <t xml:space="preserve">	e:\GoogleDrive\articles\journal of computational finance\v12n1a4.pdf				</t>
  </si>
  <si>
    <t xml:space="preserve">252464a35e321fd71ced1ee541a634aa	</t>
  </si>
  <si>
    <t xml:space="preserve">	e:\GoogleDrive\articles\carriere - valuation of the early-exercise price for options using simulatio	ns	and	no	nparametric regression (1996).pdf</t>
  </si>
  <si>
    <t xml:space="preserve">254362cfdb2f98eda737c1f275dbfb03	</t>
  </si>
  <si>
    <t xml:space="preserve">	e:\GoogleDrive\articles\culture generale\economics\macroeconomics\LN_ch7.pdf				</t>
  </si>
  <si>
    <t xml:space="preserve">254cd1841ac801f93dcbfd79b59eb178	</t>
  </si>
  <si>
    <t xml:space="preserve">	e:\GoogleDrive\articles\Notes on Elementary Number Theory\25 - quadrec.ps				</t>
  </si>
  <si>
    <t xml:space="preserve">254d8f79597753ad44d8830416b74edc	</t>
  </si>
  <si>
    <t xml:space="preserve">	e:\GoogleDrive\articles\data mining\ECMLPKDD2004\images\sponsors\logoprovincia.jpg				</t>
  </si>
  <si>
    <t xml:space="preserve">25564b9761d9f3455bbf24430c43bce2	</t>
  </si>
  <si>
    <t xml:space="preserve">	e:\GoogleDrive\articles\cours finance\cours11.ps				</t>
  </si>
  <si>
    <t xml:space="preserve">255983faf2ec60640284b6644f2a41d2	</t>
  </si>
  <si>
    <t xml:space="preserve">	e:\GoogleDrive\articles\latex files\Corridors\fig_Cliquet.pdf				</t>
  </si>
  <si>
    <t xml:space="preserve">2564e647d64ed8319b86f725fb524cc5	</t>
  </si>
  <si>
    <t xml:space="preserve">	e:\GoogleDrive\articles\wilmott\0409_editorial.pdf				</t>
  </si>
  <si>
    <t xml:space="preserve">2571e6827bc243b2cf3b997a9bbaea4f	</t>
  </si>
  <si>
    <t xml:space="preserve">	e:\GoogleDrive\articles\wilmott\0811_darasz.pdf				</t>
  </si>
  <si>
    <t xml:space="preserve">257f9e9e05fab5da79853b452538330c	</t>
  </si>
  <si>
    <t xml:space="preserve">	e:\GoogleDrive\articles\latex files\kn10.tex				</t>
  </si>
  <si>
    <t xml:space="preserve">2584d73d2005b39e68ed8d50254806ee	</t>
  </si>
  <si>
    <t xml:space="preserve">	e:\GoogleDrive\articles\Gatheral - Lecture3_23Oct02.pdf				</t>
  </si>
  <si>
    <t xml:space="preserve">259659e65a975351f5880199fab6d39a	</t>
  </si>
  <si>
    <t xml:space="preserve">	e:\GoogleDrive\articles\wilmott\0303_hagan.pdf				</t>
  </si>
  <si>
    <t xml:space="preserve">2598877fe9e014ac65b165a9360f587f	</t>
  </si>
  <si>
    <t xml:space="preserve">	e:\GoogleDrive\articles\(ebook) Go - hatsuyoron-mobile.pdf				</t>
  </si>
  <si>
    <t xml:space="preserve">25b1db44546d1d9573fbc9c9bbf2ea99	</t>
  </si>
  <si>
    <t xml:space="preserve">	e:\GoogleDrive\articles\vgood lecture\analysis_notes.pdf				</t>
  </si>
  <si>
    <t xml:space="preserve">25be38a636ff5e3b0a8ce41c8fede0c2	</t>
  </si>
  <si>
    <t xml:space="preserve">	e:\GoogleDrive\articles\wilmott\0711_skovmand.pdf				</t>
  </si>
  <si>
    <t xml:space="preserve">25be92004af5a8ad1e0e4273bc97b813	</t>
  </si>
  <si>
    <t xml:space="preserve">	e:\GoogleDrive\articles\culture generale\economics\lecture\reading\ch7 - hicks.pdf				</t>
  </si>
  <si>
    <t xml:space="preserve">260b82a7320106db89cd8350c8206c6d	</t>
  </si>
  <si>
    <t xml:space="preserve">	e:\GoogleDrive\articles\maths\LectureNotes02_2up.pdf				</t>
  </si>
  <si>
    <t xml:space="preserve">2656df02fb05dd443a73d8f535709f8f	</t>
  </si>
  <si>
    <t xml:space="preserve">	e:\GoogleDrive\articles\(lecture notes) Roussignol - Gamma stochastic process and application to mai	nte	nanc	e.	pdf</t>
  </si>
  <si>
    <t xml:space="preserve">	e:\GoogleDrive\articles\roussignol - Gamma process.pdf				</t>
  </si>
  <si>
    <t xml:space="preserve">268e2eb7cd84a5da5cdad54415afe7e2	</t>
  </si>
  <si>
    <t xml:space="preserve">	e:\GoogleDrive\articles\anagrammer\List of Ebook Sites.pdf				</t>
  </si>
  <si>
    <t xml:space="preserve">26977b74abd125a608e4b0229c5fb945	</t>
  </si>
  <si>
    <t xml:space="preserve">	e:\GoogleDrive\articles\(ebook) - Handbook of applied cryptography\chap5.pdf				</t>
  </si>
  <si>
    <t xml:space="preserve">26c0ab706c66edc13b8e48559a63cbe8	</t>
  </si>
  <si>
    <t xml:space="preserve">	e:\GoogleDrive\articles\Minenna - A Supervisory Perspective on Insider Trading Esti.pdf				</t>
  </si>
  <si>
    <t xml:space="preserve">26c451db0b1578474e94271db45243fa	</t>
  </si>
  <si>
    <t xml:space="preserve">	e:\GoogleDrive\articles\cedervall - CMS covering all bases.pdf				</t>
  </si>
  <si>
    <t xml:space="preserve">26ec410b4f1497a2da19d825bff80c56	</t>
  </si>
  <si>
    <t xml:space="preserve">	e:\GoogleDrive\articles\info - graphics\toussaint - Efficient Triangulation of Simple Polygons.pdf				</t>
  </si>
  <si>
    <t xml:space="preserve">27232d7e855c710a0aec1399db91c388	</t>
  </si>
  <si>
    <t xml:space="preserve">	e:\GoogleDrive\articles\Gatheral - Lecture6_Fall2002.pdf				</t>
  </si>
  <si>
    <t xml:space="preserve">273793de46b62e8bcfef7a84d41c737c	</t>
  </si>
  <si>
    <t xml:space="preserve">	e:\GoogleDrive\articles\wilmott\0405_ziemba.pdf				</t>
  </si>
  <si>
    <t xml:space="preserve">2742acccb8a90f9ae272a60e2689b228	</t>
  </si>
  <si>
    <t xml:space="preserve">	e:\GoogleDrive\articles\hjm - bond pricing and the Term Structure of Interest Rates-.pdf				</t>
  </si>
  <si>
    <t xml:space="preserve">27559034dcc57c97a3794101e71688e5	</t>
  </si>
  <si>
    <t xml:space="preserve">	e:\GoogleDrive\articles\wilmott\0507_qu.pdf				</t>
  </si>
  <si>
    <t xml:space="preserve">275e30b6e27b34f7f56d5eb375d35017	</t>
  </si>
  <si>
    <t xml:space="preserve">	e:\GoogleDrive\articles\wilmott\0411_news.pdf				</t>
  </si>
  <si>
    <t xml:space="preserve">276195eba8f3da3e8e330a3511fbe0d4	</t>
  </si>
  <si>
    <t xml:space="preserve">	e:\GoogleDrive\articles\info - graphics\zheng lewis gwthkin - three dimensional unstructured mesh	gen	erat	io	n part1 fundamental aspects of triangulation and point generation.pdf</t>
  </si>
  <si>
    <t xml:space="preserve">2767cfe3ba3ef038a9dbac6004fe349a	</t>
  </si>
  <si>
    <t xml:space="preserve">	e:\GoogleDrive\articles\(eBook) - english literature.pdf				</t>
  </si>
  <si>
    <t xml:space="preserve">27704b207fc5a53e264c479e1e67366a	</t>
  </si>
  <si>
    <t xml:space="preserve">	e:\GoogleDrive\articles\global risk 2007\day1\Jakob Sidenius - loss distributions.pdf				</t>
  </si>
  <si>
    <t xml:space="preserve">27761ff9b3059c405002689e21e052e8	</t>
  </si>
  <si>
    <t xml:space="preserve">	e:\GoogleDrive\articles\(ebook) - Steve Dalton - Example XLLs.zip				</t>
  </si>
  <si>
    <t xml:space="preserve">2780c7f43e5fc618a07c5880d0e77546	</t>
  </si>
  <si>
    <t xml:space="preserve">	e:\GoogleDrive\articles\Kazhdan Bolitho Hoppe - Poisson Surface Reconstruction.pdf				</t>
  </si>
  <si>
    <t xml:space="preserve">279b43962f9f0330e5e3e8579a183f2f	</t>
  </si>
  <si>
    <t xml:space="preserve">	e:\GoogleDrive\articles\wilmott\0505_mackenzie.pdf				</t>
  </si>
  <si>
    <t xml:space="preserve">27a426cc446ab8f9762be932379c942f	</t>
  </si>
  <si>
    <t xml:space="preserve">	e:\GoogleDrive\articles\imf publications\New_inflation_target_031210.pdf				</t>
  </si>
  <si>
    <t xml:space="preserve">27b0a7f61467459ac72cb49cc6218db9	</t>
  </si>
  <si>
    <t xml:space="preserve">	e:\GoogleDrive\articles\(eBook) Fries - Mathematical finance (2).pdf				</t>
  </si>
  <si>
    <t xml:space="preserve">27b291050f92fbaf8451946582f440b2	</t>
  </si>
  <si>
    <t xml:space="preserve">	e:\GoogleDrive\articles\(ebook) - the digital signap processing handbook.pdf				</t>
  </si>
  <si>
    <t xml:space="preserve">27b4349857e66ac4c788af9561c64a83	</t>
  </si>
  <si>
    <t xml:space="preserve">	e:\GoogleDrive\articles\maths\jackwerth - Recovering Stochastic Processes from Option Pric.pdf				</t>
  </si>
  <si>
    <t xml:space="preserve">27e96bb96ae9e9f3c8d4923c7b0e1192	</t>
  </si>
  <si>
    <t xml:space="preserve">	e:\GoogleDrive\articles\maths sp‚\chapitre10 - series et sommations.pdf				</t>
  </si>
  <si>
    <t xml:space="preserve">27ec059a40ff905c65cde36a7d704cd2	</t>
  </si>
  <si>
    <t xml:space="preserve">	e:\GoogleDrive\articles\numericalR\c10-8.pdf				</t>
  </si>
  <si>
    <t xml:space="preserve">27f8d1285e77d803eed60101695321de	</t>
  </si>
  <si>
    <t xml:space="preserve">	e:\GoogleDrive\articles\data mining\jiawei - conv01 - prn.pdf				</t>
  </si>
  <si>
    <t xml:space="preserve">2802eb399b51eae20bffe1c668ab7497	</t>
  </si>
  <si>
    <t xml:space="preserve">	e:\GoogleDrive\articles\culture generale\economics\lecture\reading\ch11 - wp98-5.pdf				</t>
  </si>
  <si>
    <t xml:space="preserve">280967f7e64f45e82ca4ce6cbba9c563	</t>
  </si>
  <si>
    <t xml:space="preserve">	e:\GoogleDrive\articles\wilmott\0803_pure.pdf				</t>
  </si>
  <si>
    <t xml:space="preserve">28249784710ce0b5446f64644b0182a4	</t>
  </si>
  <si>
    <t xml:space="preserve">	e:\GoogleDrive\articles\maths\exercices\midans2.pdf				</t>
  </si>
  <si>
    <t xml:space="preserve">2826f03d95775812d425f2c1776a57b7	</t>
  </si>
  <si>
    <t xml:space="preserve">	e:\GoogleDrive\articles\Computational Models of Music Similarity and their Application in Music Info	rma	tion	R	etrieval.pdf</t>
  </si>
  <si>
    <t xml:space="preserve">282b003cb4653b56970ad037f5b78c34	</t>
  </si>
  <si>
    <t xml:space="preserve">	e:\GoogleDrive\articles\convex analysis\url.txt				</t>
  </si>
  <si>
    <t xml:space="preserve">283b519a83f78ee86ba390533e033f93	</t>
  </si>
  <si>
    <t xml:space="preserve">	e:\GoogleDrive\articles\(phd) hunor\phd\figures\adaptation2.eps				</t>
  </si>
  <si>
    <t xml:space="preserve">284587c28d384d601e2106d71d70dc20	</t>
  </si>
  <si>
    <t xml:space="preserve">	e:\GoogleDrive\articles\Collin-dufresne goldberg - generalizing the affine framework to HJM and ran	dom	fie	ld	models.pdf</t>
  </si>
  <si>
    <t xml:space="preserve">2872024f8695d648b95f9c15caec11dd	</t>
  </si>
  <si>
    <t xml:space="preserve">	e:\GoogleDrive\articles\wilmott\0703_coverstory.pdf				</t>
  </si>
  <si>
    <t xml:space="preserve">2874bc99f3f3cb7067bad293669acc97	</t>
  </si>
  <si>
    <t xml:space="preserve">	e:\GoogleDrive\articles\meyer - gaussian regression with basis functions.pdf				</t>
  </si>
  <si>
    <t xml:space="preserve">28838363daa2c1baafb31c3fbb7ddcac	</t>
  </si>
  <si>
    <t xml:space="preserve">	e:\GoogleDrive\articles\info - graphics\thurey woytan gross turk - A Multiscale Approach to Mesh-	bas	ed S	ur	face Tension Flows.pdf</t>
  </si>
  <si>
    <t xml:space="preserve">2893b7724b261249502ba6294a8d174b	</t>
  </si>
  <si>
    <t xml:space="preserve">	e:\GoogleDrive\articles\equity\Volume4.doc				</t>
  </si>
  <si>
    <t xml:space="preserve">	e:\GoogleDrive\articles\equity (lehman brothers)\Volume4.doc				</t>
  </si>
  <si>
    <t xml:space="preserve">2896895d69e3f944b97eddbe8b054849	</t>
  </si>
  <si>
    <t xml:space="preserve">	e:\GoogleDrive\articles\(ebook) - a non random walk down Wall street\chapt10.pdf				</t>
  </si>
  <si>
    <t xml:space="preserve">28a42a97a531eff5c25c8cb4126159da	</t>
  </si>
  <si>
    <t xml:space="preserve">	e:\GoogleDrive\articles\info - graphics\chen medioni - Description of Complex Objects from multiple	Ra	nge	Im	ages Using an Inflating Balloon Model.pdf</t>
  </si>
  <si>
    <t xml:space="preserve">28c74be4b1e6397a49ed6a3845617f13	</t>
  </si>
  <si>
    <t xml:space="preserve">	e:\GoogleDrive\articles\(eBook) Boyd Vandenberghe - convex optimisation.pdf				</t>
  </si>
  <si>
    <t xml:space="preserve">28d128a75c2c61ccdebbe2a73632adf4	</t>
  </si>
  <si>
    <t xml:space="preserve">	e:\GoogleDrive\articles\journal of computational finance\v11n2a2.pdf				</t>
  </si>
  <si>
    <t xml:space="preserve">28f8147002fa423ee2c4535821430881	</t>
  </si>
  <si>
    <t xml:space="preserve">	e:\GoogleDrive\articles\convex analysis\02 - The Algebra of Convex Set.pdf				</t>
  </si>
  <si>
    <t xml:space="preserve">29008100e32ba35032185e87463c50d5	</t>
  </si>
  <si>
    <t xml:space="preserve">	e:\GoogleDrive\articles\a classer\carr - nstableov1.ps				</t>
  </si>
  <si>
    <t xml:space="preserve">290247430006a48fb1c40b3b60032a87	</t>
  </si>
  <si>
    <t xml:space="preserve">	e:\GoogleDrive\articles\Notes on Elementary Number Theory\26 - fraction.ps				</t>
  </si>
  <si>
    <t xml:space="preserve">29048abfb8f8cd7089965f63fcca8575	</t>
  </si>
  <si>
    <t xml:space="preserve">	e:\GoogleDrive\articles\latex files\MARFX Greeks\MAFXR.tex				</t>
  </si>
  <si>
    <t xml:space="preserve">290a78f47c88d1c93d3793d350cf3c20	</t>
  </si>
  <si>
    <t xml:space="preserve">	e:\GoogleDrive\articles\Avellaneda - Minimum Entropy Calibration of Asset-Pricing Models.pdf				</t>
  </si>
  <si>
    <t xml:space="preserve">	e:\GoogleDrive\articles\entropy\Avellaneda - Minimum Entropy Calibration of Asset-Pricing Mo.pdf				</t>
  </si>
  <si>
    <t xml:space="preserve">290b1ba8b86c6b0fdc26831b18d9d6b4	</t>
  </si>
  <si>
    <t xml:space="preserve">	e:\GoogleDrive\articles\wilmott\0701_brown.pdf				</t>
  </si>
  <si>
    <t xml:space="preserve">2927bff34b77230e08e31a72f408fbd7	</t>
  </si>
  <si>
    <t xml:space="preserve">	e:\GoogleDrive\articles\info - algo\quilez - Rendering Worlds with Two Triangles with raytracing on	the	GPU	i	n 4096 bytes (2008).pdf</t>
  </si>
  <si>
    <t xml:space="preserve">2931f32d0cafbc383790f3bf4a35cbc1	</t>
  </si>
  <si>
    <t xml:space="preserve">	e:\GoogleDrive\articles\maths\311Groups.pdf				</t>
  </si>
  <si>
    <t xml:space="preserve">293f100cb81ef219cb3f2f887ef6fdee	</t>
  </si>
  <si>
    <t xml:space="preserve">	e:\GoogleDrive\articles\numericalR\c11-7.pdf				</t>
  </si>
  <si>
    <t xml:space="preserve">294432c79b1b7f850985c5242d648547	</t>
  </si>
  <si>
    <t xml:space="preserve">	e:\GoogleDrive\articles\carr wu - Static Hedging of Standard Options.pdf				</t>
  </si>
  <si>
    <t xml:space="preserve">294ce22c02923be28da1a60d81498480	</t>
  </si>
  <si>
    <t xml:space="preserve">	e:\GoogleDrive\articles\wilmott\0403_bogni.pdf				</t>
  </si>
  <si>
    <t xml:space="preserve">295eb5e2a0f26529e605fa62345bf8c7	</t>
  </si>
  <si>
    <t xml:space="preserve">	e:\GoogleDrive\articles\wilmott\0705_binder.pdf				</t>
  </si>
  <si>
    <t xml:space="preserve">296f77668a87b7710f3d3e3e34cc1abb	</t>
  </si>
  <si>
    <t xml:space="preserve">	e:\GoogleDrive\articles\global risk 2007\day2\17.05 Kainth FINAL.pdf				</t>
  </si>
  <si>
    <t xml:space="preserve">29729e6e9851bf7fb804d5ffc5ed8090	</t>
  </si>
  <si>
    <t xml:space="preserve">	e:\GoogleDrive\articles\info - algo\kalman - A new approach to linear filtering and prediction probl	ems	.pdf		</t>
  </si>
  <si>
    <t xml:space="preserve">2995817c9c016c1072a1bd5e509f8db6	</t>
  </si>
  <si>
    <t xml:space="preserve">	e:\GoogleDrive\articles\fries - foresightbias.pdf				</t>
  </si>
  <si>
    <t xml:space="preserve">	e:\GoogleDrive\articles\fries_foresightbias.pdf				</t>
  </si>
  <si>
    <t xml:space="preserve">29a34a35cf70fcd4d807d891c4e07aff	</t>
  </si>
  <si>
    <t xml:space="preserve">	e:\GoogleDrive\articles\maths\solvers\backuper.hcs				</t>
  </si>
  <si>
    <t xml:space="preserve">29a61f1cfbfae7232fa404f5a818c9f8	</t>
  </si>
  <si>
    <t xml:space="preserve">	e:\GoogleDrive\articles\WBS IR modelling Course\Credit Derivatives and Hybrids\HY2.2Hunter_92.ppt				</t>
  </si>
  <si>
    <t xml:space="preserve">29b3bd8411b71ce6e183cef398b18ba6	</t>
  </si>
  <si>
    <t xml:space="preserve">	e:\GoogleDrive\articles\wilmott\0511_cohen.pdf				</t>
  </si>
  <si>
    <t xml:space="preserve">29b8f1054b48ad5d5b52ae79221fd489	</t>
  </si>
  <si>
    <t xml:space="preserve">	e:\GoogleDrive\articles\WBS IR modelling Course\IR Modelling\IRMWorkshop3_71.pdf				</t>
  </si>
  <si>
    <t xml:space="preserve">29ba04d03cbfc46cc04ecc461d7caa3e	</t>
  </si>
  <si>
    <t xml:space="preserve">	e:\GoogleDrive\desktop.ini				</t>
  </si>
  <si>
    <t xml:space="preserve">29fae0761dbe59a20e6b05b2c9d5845f	</t>
  </si>
  <si>
    <t xml:space="preserve">	e:\GoogleDrive\articles\fama - The behaviour of stock market prices.pdf				</t>
  </si>
  <si>
    <t xml:space="preserve">2a225e68b5f3efab56ae4a2d667fddd9	</t>
  </si>
  <si>
    <t xml:space="preserve">	e:\GoogleDrive\articles\wilmott\0503_thorp.pdf				</t>
  </si>
  <si>
    <t xml:space="preserve">2a2898f482d67dc9a42b1499223f1935	</t>
  </si>
  <si>
    <t xml:space="preserve">	e:\GoogleDrive\articles\data mining\ng - sigmod98 - succinct constraints.ps				</t>
  </si>
  <si>
    <t xml:space="preserve">2a36aed389ff3a164e5bea4c5877efce	</t>
  </si>
  <si>
    <t xml:space="preserve">	e:\GoogleDrive\articles\data mining\ECMLPKDD2004\workshops\W6.pdf				</t>
  </si>
  <si>
    <t xml:space="preserve">2a611b3110c4742cee70caa7d5a670bb	</t>
  </si>
  <si>
    <t xml:space="preserve">	e:\GoogleDrive\articles\wilmott\0403_fincad.pdf				</t>
  </si>
  <si>
    <t xml:space="preserve">2a71b287f610bbd32ed90f24069d03ff	</t>
  </si>
  <si>
    <t xml:space="preserve">	e:\GoogleDrive\articles\wilmott\0801_xenomorph.pdf				</t>
  </si>
  <si>
    <t xml:space="preserve">2a7377763dd74422450af64282f5c479	</t>
  </si>
  <si>
    <t xml:space="preserve">	e:\GoogleDrive\articles\Hughston hunter - LectureNotes.pdf				</t>
  </si>
  <si>
    <t xml:space="preserve">2a815f76fce12f51fe454f03c8ed7030	</t>
  </si>
  <si>
    <t xml:space="preserve">	e:\GoogleDrive\articles\maths\CS683 - Advanced algorithms\lec06.ps				</t>
  </si>
  <si>
    <t xml:space="preserve">2a876ebb1f5e85be40ac6390fa17950e	</t>
  </si>
  <si>
    <t xml:space="preserve">	e:\GoogleDrive\articles\wilmott\0709_staunton.pdf				</t>
  </si>
  <si>
    <t xml:space="preserve">2a8fd7465cbba189874c0c5b1c6714f8	</t>
  </si>
  <si>
    <t xml:space="preserve">	e:\GoogleDrive\articles\hagan - managing smile risk (original sabr paper).pdf				</t>
  </si>
  <si>
    <t xml:space="preserve">	e:\GoogleDrive\articles\hagan - sabrall.pdf				</t>
  </si>
  <si>
    <t xml:space="preserve">2ac42c71936c4e28cca552fb00543d8c	</t>
  </si>
  <si>
    <t xml:space="preserve">	e:\GoogleDrive\articles\Pixar - Spline tutorial notes.pdf				</t>
  </si>
  <si>
    <t xml:space="preserve">2ac8bb92591ffa2d63732b581dfee791	</t>
  </si>
  <si>
    <t xml:space="preserve">	e:\GoogleDrive\articles\wilmott\0211_brown.pdf				</t>
  </si>
  <si>
    <t xml:space="preserve">2adaac9d43aaae2bdf26a7ac6a429af7	</t>
  </si>
  <si>
    <t xml:space="preserve">	e:\GoogleDrive\articles\(phd) hunor\phd\figures\listingHackle.eps				</t>
  </si>
  <si>
    <t xml:space="preserve">2ade00e5848a137d43d848ad029d91f1	</t>
  </si>
  <si>
    <t xml:space="preserve">	e:\GoogleDrive\articles\lobaskin\0470529741.epub				</t>
  </si>
  <si>
    <t xml:space="preserve">2ae0a3921620f7b0ebda7b7c7c7e500b	</t>
  </si>
  <si>
    <t xml:space="preserve">	e:\GoogleDrive\articles\hobby\furnace-smelting.pdf				</t>
  </si>
  <si>
    <t xml:space="preserve">2b0429c24a1ae525b6cc11b30d6b2319	</t>
  </si>
  <si>
    <t xml:space="preserve">	e:\GoogleDrive\articles\global risk 2007\day2\09.30 Carr.zip				</t>
  </si>
  <si>
    <t xml:space="preserve">2b05e30f7ddaeaa4ffceef569c7a42b1	</t>
  </si>
  <si>
    <t xml:space="preserve">	e:\GoogleDrive\articles\info - graphics\Pollefeys  - Automatic 3D modelling from image sequences.pdf				</t>
  </si>
  <si>
    <t xml:space="preserve">2b0fc63f632fe75e3a56810932b7c1a4	</t>
  </si>
  <si>
    <t xml:space="preserve">	e:\GoogleDrive\articles\(phd) hunor\phd\LICENSE				</t>
  </si>
  <si>
    <t xml:space="preserve">2b1bd614823bbfbc07475c78635a8656	</t>
  </si>
  <si>
    <t xml:space="preserve">	e:\GoogleDrive\articles\(eBook) Jon Gregory - CreditRisk.pdf				</t>
  </si>
  <si>
    <t xml:space="preserve">2b2af4444e4d938bdf7480bddaef643b	</t>
  </si>
  <si>
    <t xml:space="preserve">	e:\GoogleDrive\articles\course - representation of Finite Groups.pdf				</t>
  </si>
  <si>
    <t xml:space="preserve">2b369b12a81a5671c72fdbab52ff12c3	</t>
  </si>
  <si>
    <t xml:space="preserve">	e:\GoogleDrive\articles\numericalR\c9-6.pdf				</t>
  </si>
  <si>
    <t xml:space="preserve">2b43fa3f34bd633dc56e293a72032324	</t>
  </si>
  <si>
    <t xml:space="preserve">	e:\GoogleDrive\articles\Intel architecture software developer's manual volume 2.pdf				</t>
  </si>
  <si>
    <t xml:space="preserve">2b445569e89d78e9a7226995793a201a	</t>
  </si>
  <si>
    <t xml:space="preserve">	e:\GoogleDrive\articles\gatheral_lecture4_2003.pdf				</t>
  </si>
  <si>
    <t xml:space="preserve">2b4b06259b507e9eaf8d8505b112c18b	</t>
  </si>
  <si>
    <t xml:space="preserve">	e:\GoogleDrive\articles\surface patches.pdf				</t>
  </si>
  <si>
    <t xml:space="preserve">2b560c9833ce7e74556eb6b6a2cf2435	</t>
  </si>
  <si>
    <t xml:space="preserve">	e:\GoogleDrive\articles\data mining\adm02 - prn.pdf				</t>
  </si>
  <si>
    <t xml:space="preserve">2b5982598e6e8cfc29bc848ad550cfc7	</t>
  </si>
  <si>
    <t xml:space="preserve">	e:\GoogleDrive\articles\yoshi yang - algorithmic hessians and the fast computation of cross gammas.	pdf			</t>
  </si>
  <si>
    <t xml:space="preserve">	e:\GoogleDrive\articles\yoshi yang - algorithmic hessionas and the fast computation of cross gamma	ris	k.pd	f	</t>
  </si>
  <si>
    <t xml:space="preserve">2b5b48acbdeda9048f8314cfd3af677d	</t>
  </si>
  <si>
    <t xml:space="preserve">	e:\GoogleDrive\articles\maths\solvers\NLPQLG.pdf				</t>
  </si>
  <si>
    <t xml:space="preserve">2b60391aae1c0e09a8d2e0e1f35feb71	</t>
  </si>
  <si>
    <t xml:space="preserve">	e:\GoogleDrive\articles\wilmott\0307_fraunhofer.pdf				</t>
  </si>
  <si>
    <t xml:space="preserve">2b696f8f2627477d19c80c3587fcf7ab	</t>
  </si>
  <si>
    <t xml:space="preserve">	e:\GoogleDrive\articles\(phd) hunor\phd\hackle\ICDM'03\review.bib				</t>
  </si>
  <si>
    <t xml:space="preserve">2b69e8c2968e8335714296aad8857203	</t>
  </si>
  <si>
    <t xml:space="preserve">	e:\GoogleDrive\articles\global risk 2007\day1\Hans Buehler - hedging options on variance.pdf				</t>
  </si>
  <si>
    <t xml:space="preserve">2b749ceea7dd0b3b9c0144b91a0f35bd	</t>
  </si>
  <si>
    <t xml:space="preserve">	e:\GoogleDrive\articles\wilmott\0811_grau.pdf				</t>
  </si>
  <si>
    <t xml:space="preserve">2b7edff96b8d9585ac49f02e6df25ad1	</t>
  </si>
  <si>
    <t xml:space="preserve">	e:\GoogleDrive\articles\data mining\lakshmanan - icde00CR - prn.ps				</t>
  </si>
  <si>
    <t xml:space="preserve">2b7f22a6840a337a35f7689599e55482	</t>
  </si>
  <si>
    <t xml:space="preserve">	e:\GoogleDrive\articles\maths\xcheng\week9.pdf				</t>
  </si>
  <si>
    <t xml:space="preserve">2b88976e8510a702f378c7469e79a36f	</t>
  </si>
  <si>
    <t xml:space="preserve">	e:\GoogleDrive\articles\data mining\ECMLPKDD2004\covers\W4.pdf				</t>
  </si>
  <si>
    <t xml:space="preserve">2b94910b8eefcd00b3dd1d8cb4570417	</t>
  </si>
  <si>
    <t xml:space="preserve">	e:\GoogleDrive\articles\vcubebbg1.pdf				</t>
  </si>
  <si>
    <t xml:space="preserve">2b95603a89de198ed3496c3cfd2a3eab	</t>
  </si>
  <si>
    <t xml:space="preserve">	e:\GoogleDrive\articles\wilmott\0701_das.pdf				</t>
  </si>
  <si>
    <t xml:space="preserve">2b998d2dce1ca98dd96545c7fe0e9d43	</t>
  </si>
  <si>
    <t xml:space="preserve">	e:\GoogleDrive\articles\numericalR\c5-1.pdf				</t>
  </si>
  <si>
    <t xml:space="preserve">2badba63965adaafd641654f0c12f8b6	</t>
  </si>
  <si>
    <t xml:space="preserve">	e:\GoogleDrive\articles\wilmott\0307_prast.pdf				</t>
  </si>
  <si>
    <t xml:space="preserve">2bbb066062f6e02cdf9e7a39e83da105	</t>
  </si>
  <si>
    <t xml:space="preserve">	e:\GoogleDrive\articles\(phd) hunor\phd\guide_ref_bib_2004.pdf				</t>
  </si>
  <si>
    <t xml:space="preserve">2bd7f1642a5b69efbeb3a8b735dec924	</t>
  </si>
  <si>
    <t xml:space="preserve">	e:\GoogleDrive\articles\management - HBR Hot Spot Article.pdf				</t>
  </si>
  <si>
    <t xml:space="preserve">2bdc6384bbfe5820b921c8849f582d57	</t>
  </si>
  <si>
    <t xml:space="preserve">	e:\GoogleDrive\articles\info - graphics\wang wan palmer - Automatic Reconstruction of 3D algorithm	s u	sing	r	eal terrain data structures and satelite imaging.pdf</t>
  </si>
  <si>
    <t xml:space="preserve">2be3fdb5f5aa8bafc1996a75116e9d9b	</t>
  </si>
  <si>
    <t xml:space="preserve">	e:\GoogleDrive\articles\journal of computational finance\v10n1a4.pdf				</t>
  </si>
  <si>
    <t xml:space="preserve">2bee0001964ef41f42bdf236fe50e40c	</t>
  </si>
  <si>
    <t xml:space="preserve">	e:\GoogleDrive\articles\maths\xcheng\WEEK14.doc				</t>
  </si>
  <si>
    <t xml:space="preserve">2bef49b9a362d55023e465c71dc12ee6	</t>
  </si>
  <si>
    <t xml:space="preserve">	e:\GoogleDrive\articles\fama french - Disappearing dividends changing firm characteristics or lower	pr	open	si	ty to pay.pdf</t>
  </si>
  <si>
    <t xml:space="preserve">2c000b0b538b690e91d1325b90a284c9	</t>
  </si>
  <si>
    <t xml:space="preserve">	e:\GoogleDrive\articles\cours finance\cours08.ps				</t>
  </si>
  <si>
    <t xml:space="preserve">2c0076e9efe94d20ea224c4aed5204d3	</t>
  </si>
  <si>
    <t xml:space="preserve">	e:\GoogleDrive\articles\eberly - Tessellation of a Unit Sphere Starting with an Inscribed Convex Tri	ang	ular	M	esh.pdf</t>
  </si>
  <si>
    <t xml:space="preserve">2c131e18d8f00a621aeb7c22dbb11dd0	</t>
  </si>
  <si>
    <t xml:space="preserve">	e:\GoogleDrive\articles\(ebook) - m”rters peres - brownian motion.pdf				</t>
  </si>
  <si>
    <t xml:space="preserve">2c219b9861bf69bf1bbe38d5fc3de8a7	</t>
  </si>
  <si>
    <t xml:space="preserve">	e:\GoogleDrive\articles\higham - Computing the Nearest Correlation Matrix a problem for finance (20	06)	.pdf		</t>
  </si>
  <si>
    <t xml:space="preserve">2c29c82e4167c9fb0c896544c5911649	</t>
  </si>
  <si>
    <t xml:space="preserve">	e:\GoogleDrive\articles\(phd) hunor\phd\these.lof				</t>
  </si>
  <si>
    <t xml:space="preserve">2c2cc1daa6853a7f5730a5a6f9b70e7e	</t>
  </si>
  <si>
    <t xml:space="preserve">	e:\GoogleDrive\articles\administratif\PASSWORT.doc				</t>
  </si>
  <si>
    <t xml:space="preserve">2c33f26fa556a4622037e26383b1a059	</t>
  </si>
  <si>
    <t xml:space="preserve">	e:\GoogleDrive\articles\info - algo\polik - conic optimization software.pdf				</t>
  </si>
  <si>
    <t xml:space="preserve">2c353ab9e9c26c68b1b8d3276a72f8f3	</t>
  </si>
  <si>
    <t xml:space="preserve">	e:\GoogleDrive\articles\wilmott\0401_bookreviews.pdf				</t>
  </si>
  <si>
    <t xml:space="preserve">2c3ecb66e4b359e5a138f190956ba6f9	</t>
  </si>
  <si>
    <t xml:space="preserve">	e:\GoogleDrive\articles\wilmott\0607_tavella.pdf				</t>
  </si>
  <si>
    <t xml:space="preserve">2c5666ac65147c2781bef6462c9b2247	</t>
  </si>
  <si>
    <t xml:space="preserve">	e:\GoogleDrive\articles\wilmott\0407_prast.pdf				</t>
  </si>
  <si>
    <t xml:space="preserve">2c6d6a5dac6ba315d120e43c33eceeb0	</t>
  </si>
  <si>
    <t xml:space="preserve">	e:\GoogleDrive\articles\WBS IR modelling Course\Credit Derivatives and Hybrids\CD2.2Vidler_82.pdf				</t>
  </si>
  <si>
    <t xml:space="preserve">2c7e9063b4411b255a5922e184ac3584	</t>
  </si>
  <si>
    <t xml:space="preserve">	e:\GoogleDrive\articles\references.jpg				</t>
  </si>
  <si>
    <t xml:space="preserve">2cb5c895a3c2a1ea106a771c6007c9d6	</t>
  </si>
  <si>
    <t xml:space="preserve">	e:\GoogleDrive\articles\(ebook) selesnick burrus - Digital Signal Processing Handbook\45.pdf				</t>
  </si>
  <si>
    <t xml:space="preserve">2cdbebcf575187d5db88aec21a0a666d	</t>
  </si>
  <si>
    <t xml:space="preserve">	e:\GoogleDrive\articles\journal of computational finance\v12n2a2.pdf				</t>
  </si>
  <si>
    <t xml:space="preserve">2cf25ff073b6ea84b643e4d582620cde	</t>
  </si>
  <si>
    <t xml:space="preserve">	e:\GoogleDrive\articles\pfeffer - issues in Pricing and Risk management of Derivatives.pdf				</t>
  </si>
  <si>
    <t xml:space="preserve">2cfd616e8a554913769f4d81f227ce25	</t>
  </si>
  <si>
    <t xml:space="preserve">	e:\GoogleDrive\articles\maths\exercices\ps5.pdf				</t>
  </si>
  <si>
    <t xml:space="preserve">2d07e4b736a363d25bc4d396036d2eea	</t>
  </si>
  <si>
    <t xml:space="preserve">	e:\GoogleDrive\articles\Schittkowski - NLPQLP A New Fortran Implementation of a Sequential Quadratic	Pr	ogra	mm	ing Algorithm for Parallel Computing.pdf</t>
  </si>
  <si>
    <t xml:space="preserve">	e:\GoogleDrive\articles\maths\solvers\nlpqlp - prn.pdf				</t>
  </si>
  <si>
    <t xml:space="preserve">2d0b7a5106f5d4c4a2dac4efcf055e44	</t>
  </si>
  <si>
    <t xml:space="preserve">	e:\GoogleDrive\articles\Kyprianou - Some Calculations for Israeli Options - prn.pdf				</t>
  </si>
  <si>
    <t xml:space="preserve">	e:\GoogleDrive\articles\Kyprianou - Some_Calculations_for_Israeli_Options_2002 - prn.pdf				</t>
  </si>
  <si>
    <t xml:space="preserve">2d1dc6ce9e604eb8dff5029aafbc65bf	</t>
  </si>
  <si>
    <t xml:space="preserve">	e:\GoogleDrive\articles\maths\exercices\midans.pdf				</t>
  </si>
  <si>
    <t xml:space="preserve">2d1e2733010ae5a629749e6a35aa8c40	</t>
  </si>
  <si>
    <t xml:space="preserve">	e:\GoogleDrive\articles\info - graphics\kazhdan bolitho hoppe - Poisson Surface Reconstruction.pdf				</t>
  </si>
  <si>
    <t xml:space="preserve">2d21d9dae744c3e53bfac643aeaea08b	</t>
  </si>
  <si>
    <t xml:space="preserve">	e:\GoogleDrive\articles\references algo numeriques.pdf				</t>
  </si>
  <si>
    <t xml:space="preserve">2d240b4f635d16f24f26226fda6ecdce	</t>
  </si>
  <si>
    <t xml:space="preserve">	e:\GoogleDrive\articles\maths sp‚\chapitre16 - surfaces.pdf				</t>
  </si>
  <si>
    <t xml:space="preserve">2d3ccf4ed5462fa34c9cb9a3c70e41a6	</t>
  </si>
  <si>
    <t xml:space="preserve">	e:\GoogleDrive\articles\brownian bridge\constructing a sequence of random walks strongly converging	.pd	f		</t>
  </si>
  <si>
    <t xml:space="preserve">2d641af3e19b6644a14a6231b6278f81	</t>
  </si>
  <si>
    <t xml:space="preserve">	e:\GoogleDrive\articles\(phd) hunor\phd\figures\original\adaptation1.tif				</t>
  </si>
  <si>
    <t xml:space="preserve">2d6ddc419ec20b95d54403d991e0e665	</t>
  </si>
  <si>
    <t xml:space="preserve">	e:\GoogleDrive\articles\(eBook) - ingles analysis of algorithms\capitulo9-ingles.pdf				</t>
  </si>
  <si>
    <t xml:space="preserve">2d827cac2344589088cffcf6f05799dd	</t>
  </si>
  <si>
    <t xml:space="preserve">	e:\GoogleDrive\articles\Tao-SOO-2013-05.pdf.autothumb.png				</t>
  </si>
  <si>
    <t xml:space="preserve">2d86d533f82beab2b55688bd434bf3e3	</t>
  </si>
  <si>
    <t xml:space="preserve">	e:\GoogleDrive\articles\(eBook) - ingles analysis of algorithms\capitulo1-29-40.pdf				</t>
  </si>
  <si>
    <t xml:space="preserve">2d8acdca214fe3211e9f8e804fa06876	</t>
  </si>
  <si>
    <t xml:space="preserve">	e:\GoogleDrive\articles\wilmott\0803_thulasidas.pdf				</t>
  </si>
  <si>
    <t xml:space="preserve">2d9d0fea9a66ce5099bd66860186f39b	</t>
  </si>
  <si>
    <t xml:space="preserve">	e:\GoogleDrive\articles\Blacher - fx_stochvol.pdf				</t>
  </si>
  <si>
    <t xml:space="preserve">2db43dca1ff91d9d9ac056ac43371c7f	</t>
  </si>
  <si>
    <t xml:space="preserve">	e:\GoogleDrive\articles\wilmott\0501_news.pdf				</t>
  </si>
  <si>
    <t xml:space="preserve">2ddda41a7809f1079fadac9c6d2d2dd0	</t>
  </si>
  <si>
    <t xml:space="preserve">	e:\GoogleDrive\articles\wilmott\0603_carreviews.pdf				</t>
  </si>
  <si>
    <t xml:space="preserve">2de3b2f34cdef632816755ebdc481661	</t>
  </si>
  <si>
    <t xml:space="preserve">	e:\GoogleDrive\articles\lecture - probability (grinstead and snell)\Chapter3.pdf				</t>
  </si>
  <si>
    <t xml:space="preserve">2e018846eb09561a04c22d299d0d1732	</t>
  </si>
  <si>
    <t xml:space="preserve">	e:\GoogleDrive\articles\numericalR\c8-1.pdf				</t>
  </si>
  <si>
    <t xml:space="preserve">2e0bb922cf2c06a94449b8e67a056659	</t>
  </si>
  <si>
    <t xml:space="preserve">	e:\GoogleDrive\articles\data mining\ECMLPKDD2004\images\bullet.gif				</t>
  </si>
  <si>
    <t xml:space="preserve">2e1308ef6eaf70c19b60e23c50c1629f	</t>
  </si>
  <si>
    <t xml:space="preserve">	e:\GoogleDrive\articles\(eBook) - Jackel\BrownianBridge\backuper.hcs				</t>
  </si>
  <si>
    <t xml:space="preserve">2e21aaa29c1d66d90b3183b88dafdf8f	</t>
  </si>
  <si>
    <t xml:space="preserve">	e:\GoogleDrive\articles\Nazarov treil volberg - Bellman function in stochastic control and harmoni	c a	naly	si	s.pdf</t>
  </si>
  <si>
    <t xml:space="preserve">2e59a25bc172e4ba6a3519899cee51de	</t>
  </si>
  <si>
    <t xml:space="preserve">	e:\GoogleDrive\articles\lobaskin\P.Kaufman.Trading Systems &amp; Methods\Kaufman - Trading Systems &amp; Met	hod	s -	Ch	ap10.doc</t>
  </si>
  <si>
    <t xml:space="preserve">2e6ca54e598f7358da80d4c05e3a8526	</t>
  </si>
  <si>
    <t xml:space="preserve">	e:\GoogleDrive\articles\global risk 2007\day2\Nasir Afaf - Paper.zip				</t>
  </si>
  <si>
    <t xml:space="preserve">2e74ba933d43e1fd929ee23828dfb01b	</t>
  </si>
  <si>
    <t xml:space="preserve">	e:\GoogleDrive\articles\pat - SABR - prn.pdf				</t>
  </si>
  <si>
    <t xml:space="preserve">2e9b58dace9c705a742414d75330fcfb	</t>
  </si>
  <si>
    <t xml:space="preserve">	e:\GoogleDrive\articles\data mining\ECMLPKDD2004\tutorials\T7_Part 3.pdf				</t>
  </si>
  <si>
    <t xml:space="preserve">2ec4d31fcbf733bd78ff3b26328d80e8	</t>
  </si>
  <si>
    <t xml:space="preserve">	e:\GoogleDrive\articles\wilmott\0711_guasoni.pdf				</t>
  </si>
  <si>
    <t xml:space="preserve">2ecc8d1dbd9e68736305a19db700657f	</t>
  </si>
  <si>
    <t xml:space="preserve">	e:\GoogleDrive\articles\Efficient Control Variates and Strategies for Bermudan Swapt.pdf				</t>
  </si>
  <si>
    <t xml:space="preserve">	e:\GoogleDrive\articles\svenstrup jensen - Efficient Control Variates and Strategies for Bermudan S	wap	tion	s	in a Libor Market Model.pdf</t>
  </si>
  <si>
    <t xml:space="preserve">2eccbbb1ec900421bc221b56cc95e6c2	</t>
  </si>
  <si>
    <t xml:space="preserve">	e:\GoogleDrive\articles\(eBook) - Trfethen\3 - all.pdf				</t>
  </si>
  <si>
    <t xml:space="preserve">2edc927676229b13eef195f080f9affc	</t>
  </si>
  <si>
    <t xml:space="preserve">	e:\GoogleDrive\articles\global risk 2007\day1\Shefrin FINAL.pdf				</t>
  </si>
  <si>
    <t xml:space="preserve">2ee9a246e20a4324eedc11afd8247e71	</t>
  </si>
  <si>
    <t xml:space="preserve">	e:\GoogleDrive\articles\stanford - convex optimisation\filters.pdf				</t>
  </si>
  <si>
    <t xml:space="preserve">2ef00d4e510965506c9290418f44391d	</t>
  </si>
  <si>
    <t xml:space="preserve">	e:\GoogleDrive\articles\chelyette - Markov Representation of the Heath-Jarrow-Morton Model.pdf				</t>
  </si>
  <si>
    <t xml:space="preserve">	e:\GoogleDrive\articles\chelyette - markov representation of the HJM model -prn.pdf				</t>
  </si>
  <si>
    <t xml:space="preserve">2ef15dfa194501d025e762b8b871952f	</t>
  </si>
  <si>
    <t xml:space="preserve">	e:\GoogleDrive\articles\WBS IR modelling Course\Credit Derivatives and Hybrids\HY1.1Geman_87.ppt				</t>
  </si>
  <si>
    <t xml:space="preserve">2ef9bee7814ce922cb6a30acdaccaba8	</t>
  </si>
  <si>
    <t xml:space="preserve">	e:\GoogleDrive\articles\(phd) hunor\phd\latex.aux				</t>
  </si>
  <si>
    <t xml:space="preserve">2f038eabc9cc3a6ae55cb83ba32e2974	</t>
  </si>
  <si>
    <t xml:space="preserve">	e:\GoogleDrive\articles\ye - Conic Linear Programming.pdf				</t>
  </si>
  <si>
    <t xml:space="preserve">2f207e6fef7e6e987a51daebbbac5683	</t>
  </si>
  <si>
    <t xml:space="preserve">	e:\GoogleDrive\articles\data mining\ECMLPKDD2004\covers\T5.pdf				</t>
  </si>
  <si>
    <t xml:space="preserve">2f2112d4ba1f9c347c9386c5ea1c4679	</t>
  </si>
  <si>
    <t xml:space="preserve">	e:\GoogleDrive\articles\milne\676sltn - solutions.dvi				</t>
  </si>
  <si>
    <t xml:space="preserve">2f28d9a4d37f74cca3c4c132496a2c75	</t>
  </si>
  <si>
    <t xml:space="preserve">	e:\GoogleDrive\articles\benett gill (Santander) - measuring historic volatility.pdf				</t>
  </si>
  <si>
    <t xml:space="preserve">	e:\GoogleDrive\articles\bennett - measuring historical volatility.pdf				</t>
  </si>
  <si>
    <t xml:space="preserve">2f374593a80f8814e6eaef36f48ad07a	</t>
  </si>
  <si>
    <t xml:space="preserve">	e:\GoogleDrive\articles\wilmott\0501_topper.pdf				</t>
  </si>
  <si>
    <t xml:space="preserve">2f3a80be3362111eb5ac286724a506af	</t>
  </si>
  <si>
    <t xml:space="preserve">	e:\GoogleDrive\articles\wilmott\0811_news.pdf				</t>
  </si>
  <si>
    <t xml:space="preserve">2f4d4e99b1f3d29fe65e06c7759536d4	</t>
  </si>
  <si>
    <t xml:space="preserve">	e:\GoogleDrive\articles\(eBook) dent mitchell - User's guide to cryptography and standards.pdf				</t>
  </si>
  <si>
    <t xml:space="preserve">2f4e7f8576af249fbf72c586f4e9f8dd	</t>
  </si>
  <si>
    <t xml:space="preserve">	e:\GoogleDrive\articles\numericalR\c13-9.pdf				</t>
  </si>
  <si>
    <t xml:space="preserve">2f7a6c2c824e76d1fa61263f099687da	</t>
  </si>
  <si>
    <t xml:space="preserve">	e:\GoogleDrive\articles\jaeckel - A practical method for the valuation of a variety of Hybrid produc	ts.	pdf		</t>
  </si>
  <si>
    <t xml:space="preserve">	e:\GoogleDrive\articles\peter jaeckel - multidimensional gaussian-hermite quadrature.pdf				</t>
  </si>
  <si>
    <t xml:space="preserve">2f823a928d7071c0d7a88b95a2fe0748	</t>
  </si>
  <si>
    <t xml:space="preserve">	e:\GoogleDrive\articles\(phd) hunor\phd\nMC.tex				</t>
  </si>
  <si>
    <t xml:space="preserve">2f84b6c43ea0f4eadac354e48df96319	</t>
  </si>
  <si>
    <t xml:space="preserve">	e:\GoogleDrive\articles\brownian bridge\469.pdf				</t>
  </si>
  <si>
    <t xml:space="preserve">2f889bebf6e3761ca17c00ea5f13f64f	</t>
  </si>
  <si>
    <t xml:space="preserve">	e:\GoogleDrive\articles\ayache henrotte nassar wang - Can Anyone Solve The Smile proble (2004).pd	f			</t>
  </si>
  <si>
    <t xml:space="preserve">	e:\GoogleDrive\articles\wilmott\0401_ayache2.pdf				</t>
  </si>
  <si>
    <t xml:space="preserve">2f8d5f22be94ca3cd2cd57cbf5390b26	</t>
  </si>
  <si>
    <t xml:space="preserve">	e:\GoogleDrive\articles\entropy\pietersz pelsser  - A Comparison of Single Factor Markov-functional	an	d Mu	lt	i Factor Market Models.pdf</t>
  </si>
  <si>
    <t xml:space="preserve">2fb237170bd75918653fb5cbafd14e60	</t>
  </si>
  <si>
    <t xml:space="preserve">	e:\GoogleDrive\articles\Multi-resolution dual contouring from volumetric  data.pdf				</t>
  </si>
  <si>
    <t xml:space="preserve">2fc621dd902adaf8f1edc88fa34c5a94	</t>
  </si>
  <si>
    <t xml:space="preserve">	e:\GoogleDrive\articles\(lecture notes) financial maths\chapter5.pdf				</t>
  </si>
  <si>
    <t xml:space="preserve">	e:\GoogleDrive\articles\lecture (financial mathematics)\chapter5.pdf				</t>
  </si>
  <si>
    <t xml:space="preserve">2fd17dd23b98e7862cfe27d6c1c50791	</t>
  </si>
  <si>
    <t xml:space="preserve">	e:\GoogleDrive\articles\(phd) hunor\neigbours\ann\ann_1.1.tar				</t>
  </si>
  <si>
    <t xml:space="preserve">2fd1f09b031da5551bf3f0df6aa6d6e0	</t>
  </si>
  <si>
    <t xml:space="preserve">	e:\GoogleDrive\articles\latex files\figures\dummy.ps				</t>
  </si>
  <si>
    <t xml:space="preserve">2fde390e340d46f0ee93750bd225abd3	</t>
  </si>
  <si>
    <t xml:space="preserve">	e:\GoogleDrive\articles\imf publications\world economic outlook 2003 april\chapter2.pdf				</t>
  </si>
  <si>
    <t xml:space="preserve">2fe909dc24e5d4642b49f745e0d853b7	</t>
  </si>
  <si>
    <t xml:space="preserve">	e:\GoogleDrive\articles\maths\point processes and martingales - solutions.pdf				</t>
  </si>
  <si>
    <t xml:space="preserve">3005b38128d1c161ce1853efa368a73b	</t>
  </si>
  <si>
    <t xml:space="preserve">	e:\GoogleDrive\articles\anagrammer\A modest STL tutorial.pdf				</t>
  </si>
  <si>
    <t xml:space="preserve">30098397897cef48f1bd675975db4e8f	</t>
  </si>
  <si>
    <t xml:space="preserve">	e:\GoogleDrive\articles\numericalR\c12-6.pdf				</t>
  </si>
  <si>
    <t xml:space="preserve">30123b4171723446940fac5787fec188	</t>
  </si>
  <si>
    <t xml:space="preserve">	e:\GoogleDrive\articles\(phd) hunor\phd\figures\original\hackleValidation1.tif				</t>
  </si>
  <si>
    <t xml:space="preserve">301520a9ae74768a92b69dd360493e14	</t>
  </si>
  <si>
    <t xml:space="preserve">	e:\GoogleDrive\articles\mark rubinstein\Evolution of Portfolio Insurance.doc				</t>
  </si>
  <si>
    <t xml:space="preserve">301affee1b07bd213339f774c59e67e3	</t>
  </si>
  <si>
    <t xml:space="preserve">	e:\GoogleDrive\articles\global derivatives 2008\peter jackel - gamma pool model.pdf				</t>
  </si>
  <si>
    <t xml:space="preserve">3023432af5cec188320c82c4ab3aec9c	</t>
  </si>
  <si>
    <t xml:space="preserve">	e:\GoogleDrive\articles\global risk 2007\day2\Daniel Bloch.zip				</t>
  </si>
  <si>
    <t xml:space="preserve">3028c2f64e8106b0654aa66bac1dd9ee	</t>
  </si>
  <si>
    <t xml:space="preserve">	e:\GoogleDrive\articles\(eBook) F# specification.pdf				</t>
  </si>
  <si>
    <t xml:space="preserve">30365fa4bbde78b33d33bf4c925a102a	</t>
  </si>
  <si>
    <t xml:space="preserve">	e:\GoogleDrive\articles\maths - Repeated Integrals and Fubini.doc				</t>
  </si>
  <si>
    <t xml:space="preserve">3041a338046ab3dc13d4306b3dffcd11	</t>
  </si>
  <si>
    <t xml:space="preserve">	e:\GoogleDrive\articles\lim - high speed multiplication and summation.pdf				</t>
  </si>
  <si>
    <t xml:space="preserve">3059a2b6390da1d58a7f4997328ad9f8	</t>
  </si>
  <si>
    <t xml:space="preserve">	e:\GoogleDrive\articles\wilmott\0403_spiegel.pdf				</t>
  </si>
  <si>
    <t xml:space="preserve">3063ce6b2bca712d6e2edee576d2c912	</t>
  </si>
  <si>
    <t xml:space="preserve">	e:\GoogleDrive\articles\numericalR\c10-2.pdf				</t>
  </si>
  <si>
    <t xml:space="preserve">30772dacef5b598eddd4e49eded7e5ce	</t>
  </si>
  <si>
    <t xml:space="preserve">	e:\GoogleDrive\articles\numericalR\c13-3.pdf				</t>
  </si>
  <si>
    <t xml:space="preserve">30bac14a0f43326a86c3ba667f49765a	</t>
  </si>
  <si>
    <t xml:space="preserve">	e:\GoogleDrive\articles\(ebook) - palgrave handbook of econometrics.pdf				</t>
  </si>
  <si>
    <t xml:space="preserve">30bae93bc98027bc8a99afb4429acfff	</t>
  </si>
  <si>
    <t xml:space="preserve">	e:\GoogleDrive\articles\allen karjaiainen - Using genetic algorithms to find techni.pdf				</t>
  </si>
  <si>
    <t xml:space="preserve">30c993f2deb1540f496d069dd99712d7	</t>
  </si>
  <si>
    <t xml:space="preserve">	e:\GoogleDrive\articles\albanese trovato - A stochastic volatility model for callable CMS swaps and	tr	ansl	at	ion invariant path dependent.pdf</t>
  </si>
  <si>
    <t xml:space="preserve">30ca57876269a07f7eda9602a6560bab	</t>
  </si>
  <si>
    <t xml:space="preserve">	e:\GoogleDrive\articles\Korn Wilmott - A general ramework wor hedging and speculati.pdf				</t>
  </si>
  <si>
    <t xml:space="preserve">	e:\GoogleDrive\articles\Korn Wilmott - A general ramework wor hedging and speculating with options.	pdf			</t>
  </si>
  <si>
    <t xml:space="preserve">30cc5a17063c8c9faf0e751a361c2af1	</t>
  </si>
  <si>
    <t xml:space="preserve">	e:\GoogleDrive\articles\data mining\ECMLPKDD2004\tutorials\T3.pdf				</t>
  </si>
  <si>
    <t xml:space="preserve">311f0060a311838ff178948367140c8a	</t>
  </si>
  <si>
    <t xml:space="preserve">	e:\GoogleDrive\articles\geman - Pure_Jump_Levy_Processes_for_Asset_Price_Modelling.pdf				</t>
  </si>
  <si>
    <t xml:space="preserve">	e:\GoogleDrive\articles\wystupp book\mm\PureJump.pdf				</t>
  </si>
  <si>
    <t xml:space="preserve">312b10db62c55e27ac2e0733a0ef5767	</t>
  </si>
  <si>
    <t xml:space="preserve">	e:\GoogleDrive\articles\numericalR\c12-5.pdf				</t>
  </si>
  <si>
    <t xml:space="preserve">312c085458d42b0b88213c00d5d168dc	</t>
  </si>
  <si>
    <t xml:space="preserve">	e:\GoogleDrive\articles\(ebook) selesnick burrus - Digital Signal Processing Handbook\41.pdf				</t>
  </si>
  <si>
    <t xml:space="preserve">314bb0871a83c3b3dbd32cc17b794dd5	</t>
  </si>
  <si>
    <t xml:space="preserve">	e:\GoogleDrive\articles\lecture notes (pittman probas)\lecture2.pdf				</t>
  </si>
  <si>
    <t xml:space="preserve">314f0a8052de7e70ce87e47bb49d3af8	</t>
  </si>
  <si>
    <t xml:space="preserve">	e:\GoogleDrive\articles\wilmott\0505_carreviews.pdf				</t>
  </si>
  <si>
    <t xml:space="preserve">315476d305c25c82c52da53bf4b3b137	</t>
  </si>
  <si>
    <t xml:space="preserve">	e:\GoogleDrive\articles\Bossu - Introduction to Option Trading and Variance Swaps.pdf				</t>
  </si>
  <si>
    <t xml:space="preserve">315dd1da1a91fd8e91822240b97e7173	</t>
  </si>
  <si>
    <t xml:space="preserve">	e:\GoogleDrive\articles\WBS IR modelling Course\IR Modelling\IR2.2.1Rebonato_99.pdf				</t>
  </si>
  <si>
    <t xml:space="preserve">31665dfe6f7c7f891b2476ee47c8e19d	</t>
  </si>
  <si>
    <t xml:space="preserve">	e:\GoogleDrive\articles\chassaing svante - a vervaat-like path transformation for the reflected bro	wni	an b	ri	dge.pdf</t>
  </si>
  <si>
    <t xml:space="preserve">3182d832d75c164a40249614a315757a	</t>
  </si>
  <si>
    <t xml:space="preserve">	e:\GoogleDrive\articles\Alliez Steiner Yvinec Desbrun -Variational Tetrahedral Meshing.pdf				</t>
  </si>
  <si>
    <t xml:space="preserve">31cdfb1ac5b71575da36d32298673a47	</t>
  </si>
  <si>
    <t xml:space="preserve">	e:\GoogleDrive\articles\glasserman - smoking adjoints.pdf				</t>
  </si>
  <si>
    <t xml:space="preserve">31d9b9de179635173806e10d97092908	</t>
  </si>
  <si>
    <t xml:space="preserve">	e:\GoogleDrive\articles\probas - chapter8.pdf				</t>
  </si>
  <si>
    <t xml:space="preserve">321e9ed4060ce114ddc465ae9545a20c	</t>
  </si>
  <si>
    <t xml:space="preserve">	e:\GoogleDrive\articles\data mining\ECMLPKDD2004\images\pushpin.png				</t>
  </si>
  <si>
    <t xml:space="preserve">3230c7e243280f366ffb02584c98a240	</t>
  </si>
  <si>
    <t xml:space="preserve">	e:\GoogleDrive\articles\vgood lecture\backuper.hcs				</t>
  </si>
  <si>
    <t xml:space="preserve">3238849aaacfb51284bc8dc1bb37c5f5	</t>
  </si>
  <si>
    <t xml:space="preserve">	e:\GoogleDrive\articles\swing options.pdf				</t>
  </si>
  <si>
    <t xml:space="preserve">323e0ecc0fd9dec08073c89509a5285d	</t>
  </si>
  <si>
    <t xml:space="preserve">	e:\GoogleDrive\articles\global risk 2007\day1\16.10 Renaud Huck.pdf				</t>
  </si>
  <si>
    <t xml:space="preserve">324775b7f23469522a70d5c0fadbdde7	</t>
  </si>
  <si>
    <t xml:space="preserve">	e:\GoogleDrive\articles\mercurio - interest rates and the credit crunch new formulas and amrket mod	els	.pdf		</t>
  </si>
  <si>
    <t xml:space="preserve">3251666aace65d9f2f175fb9e818c8e0	</t>
  </si>
  <si>
    <t xml:space="preserve">	e:\GoogleDrive\articles\wilmott\0403_news.pdf				</t>
  </si>
  <si>
    <t xml:space="preserve">326c59aeb83614e4eb5a890dd309e779	</t>
  </si>
  <si>
    <t xml:space="preserve">	e:\GoogleDrive\articles\maths\xcheng\week10.pdf				</t>
  </si>
  <si>
    <t xml:space="preserve">32705ff467e6706f09bd23967cb31982	</t>
  </si>
  <si>
    <t xml:space="preserve">	e:\GoogleDrive\articles\Sensitivity Analysis Estimating Derivatives and the Greeks.pdf				</t>
  </si>
  <si>
    <t xml:space="preserve">	e:\GoogleDrive\articles\Sensitivity AnalysisEstimating Derivatives and the Greeks.pdf				</t>
  </si>
  <si>
    <t xml:space="preserve">32902d00a4ffb6afbad8956346a1b450	</t>
  </si>
  <si>
    <t xml:space="preserve">	e:\GoogleDrive\articles\(phd) hunor\phd\hackle\ICDM'03\cinq_rr.bib				</t>
  </si>
  <si>
    <t xml:space="preserve">32a1b401352f41d473c14954691882f2	</t>
  </si>
  <si>
    <t xml:space="preserve">	e:\GoogleDrive\articles\latex files\Introduction to Binary Options.doc				</t>
  </si>
  <si>
    <t xml:space="preserve">32c50d216cc4d07bbba2db50a57280b9	</t>
  </si>
  <si>
    <t xml:space="preserve">	e:\GoogleDrive\articles\wilmott\0403_bellalah.pdf				</t>
  </si>
  <si>
    <t xml:space="preserve">32ca01b625e8c1e8179c5eed20a5c214	</t>
  </si>
  <si>
    <t xml:space="preserve">	e:\GoogleDrive\articles\(eBook) - Jackel\backuper.hcs				</t>
  </si>
  <si>
    <t xml:space="preserve">32e00f299e496b3c836bd6abf2867b0b	</t>
  </si>
  <si>
    <t xml:space="preserve">	e:\GoogleDrive\articles\global risk 2007\day2\Riccardo Rebonato FINAL.pdf				</t>
  </si>
  <si>
    <t xml:space="preserve">32f6416b69506128bdf8c9e895e5b04b	</t>
  </si>
  <si>
    <t xml:space="preserve">	e:\GoogleDrive\articles\(phd) hunor\phd\remerciements.aux				</t>
  </si>
  <si>
    <t xml:space="preserve">32f73e2885b12afea0b9da551d230d74	</t>
  </si>
  <si>
    <t xml:space="preserve">	e:\GoogleDrive\articles\moni - ast Americal Monte Carlo.pdf				</t>
  </si>
  <si>
    <t xml:space="preserve">33043e621e0892c2667ece5ab5032d6b	</t>
  </si>
  <si>
    <t xml:space="preserve">	e:\GoogleDrive\articles\posedel - Properties and Estimation of GARCH(11) Models.pdf				</t>
  </si>
  <si>
    <t xml:space="preserve">3309e323f41f85bb63740a089ac6fbc4	</t>
  </si>
  <si>
    <t xml:space="preserve">	e:\GoogleDrive\articles\the conditional probability density of a reflected brownian .pdf				</t>
  </si>
  <si>
    <t xml:space="preserve">	e:\GoogleDrive\articles\veestraeten - the conditional probability density of a reflected brownian .p	df			</t>
  </si>
  <si>
    <t xml:space="preserve">331acbd05d7c9b6dfd27e932b05fe467	</t>
  </si>
  <si>
    <t xml:space="preserve">	e:\GoogleDrive\articles\wilmott\0707_lindset.pdf				</t>
  </si>
  <si>
    <t xml:space="preserve">33340d9d579f467293a2295bcf51dadf	</t>
  </si>
  <si>
    <t xml:space="preserve">	e:\GoogleDrive\articles\info - graphics\skala - Length Area and Volume Computation in Homogeneous C	oor	dina	te	s.pdf</t>
  </si>
  <si>
    <t xml:space="preserve">33347855222f4e815e343053d4da9137	</t>
  </si>
  <si>
    <t xml:space="preserve">	e:\GoogleDrive\articles\wilmott\0309_jackel.pdf				</t>
  </si>
  <si>
    <t xml:space="preserve">333e4ba28b3a0ff7579d607804c02a4e	</t>
  </si>
  <si>
    <t xml:space="preserve">	e:\GoogleDrive\articles\numericalR\c6-6.pdf				</t>
  </si>
  <si>
    <t xml:space="preserve">3355dc8ffac81d60107601c31160d93f	</t>
  </si>
  <si>
    <t xml:space="preserve">	e:\GoogleDrive\articles\info - data mining\rsa_paper (touring award 2002).pdf				</t>
  </si>
  <si>
    <t xml:space="preserve">335afa36304a179bfd33b616dd6bceeb	</t>
  </si>
  <si>
    <t xml:space="preserve">	e:\GoogleDrive\articles\numericalR\c7-1.pdf				</t>
  </si>
  <si>
    <t xml:space="preserve">33737c932c49b31ec7f5b69c15771284	</t>
  </si>
  <si>
    <t xml:space="preserve">	e:\GoogleDrive\articles\maths\xcheng\week04.pdf				</t>
  </si>
  <si>
    <t xml:space="preserve">338f99a0d3c2438041f9ad2d27916a82	</t>
  </si>
  <si>
    <t xml:space="preserve">	e:\GoogleDrive\articles\a classer\diffandorjump22.ps				</t>
  </si>
  <si>
    <t xml:space="preserve">33a92d68759c91647c79b29ee3b6358e	</t>
  </si>
  <si>
    <t xml:space="preserve">	e:\GoogleDrive\articles\britten jones neuberger - regressions with overlapping obsrvations.pdf				</t>
  </si>
  <si>
    <t xml:space="preserve">33ae09b1dd1385bec343c3b03da883be	</t>
  </si>
  <si>
    <t xml:space="preserve">	e:\GoogleDrive\articles\convex analysis\04 - Functional Operations.pdf				</t>
  </si>
  <si>
    <t xml:space="preserve">33af63eed973b9e5a234d4bdb1e8b425	</t>
  </si>
  <si>
    <t xml:space="preserve">	e:\GoogleDrive\articles\gatheral_lecture6_2003.pdf				</t>
  </si>
  <si>
    <t xml:space="preserve">33b252936ebf8a51ccd4a22c78984975	</t>
  </si>
  <si>
    <t xml:space="preserve">	e:\GoogleDrive\articles\anagrammer\Inside ASP.NET Web Matrix.pdf				</t>
  </si>
  <si>
    <t xml:space="preserve">33f1f03a663f024d5a50c8d1fbb3a468	</t>
  </si>
  <si>
    <t xml:space="preserve">	e:\GoogleDrive\articles\(phd) hunor\phd\thesis01.aux				</t>
  </si>
  <si>
    <t xml:space="preserve">33f3de1a2c383fc5acaaf8d24f4fd7f8	</t>
  </si>
  <si>
    <t xml:space="preserve">	e:\GoogleDrive\articles\(phd) hunor\phd\figures\original\signatureCommune.TIF				</t>
  </si>
  <si>
    <t xml:space="preserve">33f6a427477c734d4beeef4209a9c7d9	</t>
  </si>
  <si>
    <t xml:space="preserve">	e:\GoogleDrive\articles\culture generale\wp03183.pdf				</t>
  </si>
  <si>
    <t xml:space="preserve">33fabf441f532e92c60842971ad5dce3	</t>
  </si>
  <si>
    <t xml:space="preserve">	e:\GoogleDrive\articles\anagrammer\Operating Systems Concepts - Sixth Edition.rar				</t>
  </si>
  <si>
    <t xml:space="preserve">340dd184a6d0e4ccd8d89baf4b466a6f	</t>
  </si>
  <si>
    <t xml:space="preserve">	e:\GoogleDrive\articles\wilmott\0301_korn.pdf				</t>
  </si>
  <si>
    <t xml:space="preserve">34189f374eb251caa142f2281858be34	</t>
  </si>
  <si>
    <t xml:space="preserve">	e:\GoogleDrive\articles\info - data mining\GAROFALAKIS - minig sequential patterns with regular expr	ess	ion	co	nstraints - spirit.PS</t>
  </si>
  <si>
    <t xml:space="preserve">342298f717043b16d1a4e7320217ee7b	</t>
  </si>
  <si>
    <t xml:space="preserve">	e:\GoogleDrive\articles\wilmott\0701_nail.pdf				</t>
  </si>
  <si>
    <t xml:space="preserve">342adbd3c4e61eeb8c0dd80a3a14df73	</t>
  </si>
  <si>
    <t xml:space="preserve">	e:\GoogleDrive\articles\wilmott\0309_osband.pdf				</t>
  </si>
  <si>
    <t xml:space="preserve">3432b6fb5f8d01bc84031217fa8bba3b	</t>
  </si>
  <si>
    <t xml:space="preserve">	e:\GoogleDrive\articles\culture generale\On the Quantification of the Financial Markets.doc				</t>
  </si>
  <si>
    <t xml:space="preserve">3433acb9573c744664293ec9a005791a	</t>
  </si>
  <si>
    <t xml:space="preserve">	e:\GoogleDrive\articles\random lattices -bias elimination.pdf				</t>
  </si>
  <si>
    <t xml:space="preserve">34367fa0cd0b561c9b1a0bc985e3091b	</t>
  </si>
  <si>
    <t xml:space="preserve">	e:\GoogleDrive\articles\oxford dpt of statistics\finan0 - Outlines.ps				</t>
  </si>
  <si>
    <t xml:space="preserve">343a41a84a1b1baf097be895154e0244	</t>
  </si>
  <si>
    <t xml:space="preserve">	e:\GoogleDrive\articles\rebonato - term structure models a review -prn.pdf				</t>
  </si>
  <si>
    <t xml:space="preserve">3442c3628b1dd14e55918ca89b85b56f	</t>
  </si>
  <si>
    <t xml:space="preserve">	e:\GoogleDrive\articles\ayache - CanAnyoneSolveTheSmileProblem - prn.pdf				</t>
  </si>
  <si>
    <t xml:space="preserve">344d6878a9cdeeea7aaeb05d1a486c2f	</t>
  </si>
  <si>
    <t xml:space="preserve">	e:\GoogleDrive\articles\zivot - Long Memory versus Structural Breaks in Modeling and Forecasting rea	liz	ed v	ol	atility.pdf</t>
  </si>
  <si>
    <t xml:space="preserve">3452cf4ff2d2b0eb732ccaf9624c69ef	</t>
  </si>
  <si>
    <t xml:space="preserve">	e:\GoogleDrive\articles\hooghiemistra - On the Occupation Time of Brownian Excursion (1999).pdf				</t>
  </si>
  <si>
    <t xml:space="preserve">	e:\GoogleDrive\articles\brownian bridge\paper8.pdf				</t>
  </si>
  <si>
    <t xml:space="preserve">345ecc0f6b32f675c0277100f49aa140	</t>
  </si>
  <si>
    <t xml:space="preserve">	e:\GoogleDrive\articles\Notes on Elementary Number Theory\05 - primes.ps				</t>
  </si>
  <si>
    <t xml:space="preserve">345fcae9df142b606a4d87892683f1ed	</t>
  </si>
  <si>
    <t xml:space="preserve">	e:\GoogleDrive\articles\(eBook) - kwok\Kwok_Chap_3.pdf				</t>
  </si>
  <si>
    <t xml:space="preserve">34672f3f6ae035855b62cd5d8187bbf8	</t>
  </si>
  <si>
    <t xml:space="preserve">	e:\GoogleDrive\articles\(eBook) - Trfethen\8 - all.pdf				</t>
  </si>
  <si>
    <t xml:space="preserve">3469a02d60f65000e9222071a55a42d3	</t>
  </si>
  <si>
    <t xml:space="preserve">	e:\GoogleDrive\articles\info - graphics\Cohen Cohen - finite-element methods for active contour mod	el	and	Ba	lloons for 2-D and 3-D Images.pdf</t>
  </si>
  <si>
    <t xml:space="preserve">349cf411aaedb5044444bd71b22c1c84	</t>
  </si>
  <si>
    <t xml:space="preserve">	e:\GoogleDrive\articles\Notes on Elementary Number Theory\24 - quadres.ps				</t>
  </si>
  <si>
    <t xml:space="preserve">349e843da65915f420fcfa73890df253	</t>
  </si>
  <si>
    <t xml:space="preserve">	e:\GoogleDrive\articles\numericalR\c3-1.pdf				</t>
  </si>
  <si>
    <t xml:space="preserve">34a24cc994c4a1ac5f44b4d32ec90b7b	</t>
  </si>
  <si>
    <t xml:space="preserve">	e:\GoogleDrive\articles\wilmott\0501_staunton.pdf				</t>
  </si>
  <si>
    <t xml:space="preserve">34b6390434e12a5c968bb4709ea94157	</t>
  </si>
  <si>
    <t xml:space="preserve">	e:\GoogleDrive\articles\numericalR\c10-5.pdf				</t>
  </si>
  <si>
    <t xml:space="preserve">34c9bec79f2f3c027ec5e484a0ac2574	</t>
  </si>
  <si>
    <t xml:space="preserve">	e:\GoogleDrive\articles\alizadeh goldfarb - second order cone programming.ps				</t>
  </si>
  <si>
    <t xml:space="preserve">34c9f5b91e83c2295eb38d078aaf67dc	</t>
  </si>
  <si>
    <t xml:space="preserve">	e:\GoogleDrive\articles\wilmott\2002_09_68to77_Onions.pdf				</t>
  </si>
  <si>
    <t xml:space="preserve">34ca61fad306fc0febe2ac1bcebe9eab	</t>
  </si>
  <si>
    <t xml:space="preserve">	e:\GoogleDrive\articles\gatheral - Arbitrage-free SVI volatility surfaces.pdf				</t>
  </si>
  <si>
    <t xml:space="preserve">34d0c587198c1610bba649df0a5a8626	</t>
  </si>
  <si>
    <t xml:space="preserve">	e:\GoogleDrive\articles\culture generale\economics\macroeconomics\LN - ch13 - credibility_analytics.	pdf			</t>
  </si>
  <si>
    <t xml:space="preserve">34d6098e90e41a8aad015d5118e909b6	</t>
  </si>
  <si>
    <t xml:space="preserve">	e:\GoogleDrive\articles\bioinformatique - Osada04.pdf				</t>
  </si>
  <si>
    <t xml:space="preserve">34dcbc7c39d18a112a152ee6c5aeb63c	</t>
  </si>
  <si>
    <t xml:space="preserve">	e:\GoogleDrive\articles\journal of computational finance\v10n3a1.pdf				</t>
  </si>
  <si>
    <t xml:space="preserve">34e2800c7284c8d12cda372b9d2f4f5a	</t>
  </si>
  <si>
    <t xml:space="preserve">	e:\GoogleDrive\articles\maths\semidefinite programming\Chapter4.pdf				</t>
  </si>
  <si>
    <t xml:space="preserve">34f6bd717092231fe6253e0f706f0169	</t>
  </si>
  <si>
    <t xml:space="preserve">	e:\GoogleDrive\articles\(ebook) selesnick burrus - Digital Signal Processing Handbook\28.pdf				</t>
  </si>
  <si>
    <t xml:space="preserve">350d73553fadee71cec0a407c0a1ce8b	</t>
  </si>
  <si>
    <t xml:space="preserve">	e:\GoogleDrive\articles\carmona durrleman - pricing and hedging of spread options (2003).ps				</t>
  </si>
  <si>
    <t xml:space="preserve">3528734b9b03485255c41deb11d44e13	</t>
  </si>
  <si>
    <t xml:space="preserve">	e:\GoogleDrive\articles\(phd) hunor\phd\kn08.dvi				</t>
  </si>
  <si>
    <t xml:space="preserve">352cc9c4318d4b0162fe4bbd39c5a231	</t>
  </si>
  <si>
    <t xml:space="preserve">	e:\GoogleDrive\articles\HF trading\dupuuis olsen - high frequency finance - using scaling laws to b	uil	d tr	ad	ing model.pdf</t>
  </si>
  <si>
    <t xml:space="preserve">35521e1b951b63d6e8004cc4354fdfea	</t>
  </si>
  <si>
    <t xml:space="preserve">	e:\GoogleDrive\articles\wilmott\0705_xenomorph.pdf				</t>
  </si>
  <si>
    <t xml:space="preserve">3558088fcee1a9ab83a4bca95c23cc29	</t>
  </si>
  <si>
    <t xml:space="preserve">	e:\GoogleDrive\articles\(phd) hunor\phd\appendix-a.log				</t>
  </si>
  <si>
    <t xml:space="preserve">355a8bac0530c89d14d5b7427999e747	</t>
  </si>
  <si>
    <t xml:space="preserve">	e:\GoogleDrive\articles\engle - price impact of trades.pdf				</t>
  </si>
  <si>
    <t xml:space="preserve">3561751938f9c684a91b2a252d6d518d	</t>
  </si>
  <si>
    <t xml:space="preserve">	e:\GoogleDrive\articles\P‚bay - Formulas for Robust One-Pass Parallel Computation of Covariances an	d A	rbit	ra	ry-Order Statistical Moments.pdf</t>
  </si>
  <si>
    <t xml:space="preserve">35818bee6794dbf5d73d64e427d303e2	</t>
  </si>
  <si>
    <t xml:space="preserve">	e:\GoogleDrive\articles\wilmott\0611_staunton.pdf				</t>
  </si>
  <si>
    <t xml:space="preserve">358d74158a7c6a4bb5d5e04adb707c11	</t>
  </si>
  <si>
    <t xml:space="preserve">	e:\GoogleDrive\articles\info - algo\aho sethi ullman - A formal approach to code optimization.pdf				</t>
  </si>
  <si>
    <t xml:space="preserve">3598f717218c5aa88b22f1037b434587	</t>
  </si>
  <si>
    <t xml:space="preserve">	e:\GoogleDrive\articles\guide to Latex.pdf				</t>
  </si>
  <si>
    <t xml:space="preserve">35b19bf30e80b91c9072880fba545459	</t>
  </si>
  <si>
    <t xml:space="preserve">	e:\GoogleDrive\articles\higham - narep126.pdf				</t>
  </si>
  <si>
    <t xml:space="preserve">35bfc5ccf2f759ab33303ab66b6426cf	</t>
  </si>
  <si>
    <t xml:space="preserve">	e:\GoogleDrive\articles\wilmott\0605_prast.pdf				</t>
  </si>
  <si>
    <t xml:space="preserve">35c7252f839c54c5b1e3e07b1614f2a7	</t>
  </si>
  <si>
    <t xml:space="preserve">	e:\GoogleDrive\articles\brownian bridge\563.ps.Z				</t>
  </si>
  <si>
    <t xml:space="preserve">35c80af2214bf23e13bdd257584b9a51	</t>
  </si>
  <si>
    <t xml:space="preserve">	e:\GoogleDrive\articles\Pykhtin - Modeling Counterparty Credit Exposure (2011).pdf				</t>
  </si>
  <si>
    <t xml:space="preserve">	e:\GoogleDrive\articles\Pykhtin - modelling counterparty credit risk.pdf				</t>
  </si>
  <si>
    <t xml:space="preserve">35ec32ff80fd18c46b5c5e8355151c70	</t>
  </si>
  <si>
    <t xml:space="preserve">	e:\GoogleDrive\articles\numericalR\c2-7.pdf				</t>
  </si>
  <si>
    <t xml:space="preserve">360d6f143fb92b2979f92156c79a670a	</t>
  </si>
  <si>
    <t xml:space="preserve">	e:\GoogleDrive\articles\equity\Volume5.doc				</t>
  </si>
  <si>
    <t xml:space="preserve">	e:\GoogleDrive\articles\equity (lehman brothers)\Volume5.doc				</t>
  </si>
  <si>
    <t xml:space="preserve">361f6678eb64dd255c075db1b9a6cdc2	</t>
  </si>
  <si>
    <t xml:space="preserve">	e:\GoogleDrive\articles\(ebook) selesnick burrus - Digital Signal Processing Handbook\04.pdf				</t>
  </si>
  <si>
    <t xml:space="preserve">3621c9a3cd796035a4ddadc641eae3c8	</t>
  </si>
  <si>
    <t xml:space="preserve">	e:\GoogleDrive\articles\bass hsu - The Semimartingale Structure of Reflecting Brownian Motion.pdf				</t>
  </si>
  <si>
    <t xml:space="preserve">3641bc208c44e59e0cf847c10537d817	</t>
  </si>
  <si>
    <t xml:space="preserve">	e:\GoogleDrive\articles\maths\exercices\ps3ans.pdf				</t>
  </si>
  <si>
    <t xml:space="preserve">36456a1ad0875eead8d4ad70f41e4ca8	</t>
  </si>
  <si>
    <t xml:space="preserve">	e:\GoogleDrive\articles\Notes on Elementary Number Theory\19 - phifun.ps				</t>
  </si>
  <si>
    <t xml:space="preserve">36593a1da20362a9ceb36def9226886b	</t>
  </si>
  <si>
    <t xml:space="preserve">	e:\GoogleDrive\articles\carmona durrleman - lognormal spread options.pdf				</t>
  </si>
  <si>
    <t xml:space="preserve">366397a4be1f563800da3652a16f6105	</t>
  </si>
  <si>
    <t xml:space="preserve">	e:\GoogleDrive\articles\stats\12 - SimpleLinearRegression.pdf				</t>
  </si>
  <si>
    <t xml:space="preserve">367ab527c2c3ffaabce06f4c210cc48d	</t>
  </si>
  <si>
    <t xml:space="preserve">	e:\GoogleDrive\articles\a classer\superficial definitions.pdf				</t>
  </si>
  <si>
    <t xml:space="preserve">3684c16ffa36e8a0ff77cb93ca356072	</t>
  </si>
  <si>
    <t xml:space="preserve">	e:\GoogleDrive\articles\latex files\figures\variance.txt				</t>
  </si>
  <si>
    <t xml:space="preserve">368670d906545480e95b0fcd6dce92f3	</t>
  </si>
  <si>
    <t xml:space="preserve">	e:\GoogleDrive\articles\marc chesney - brownian excursions forparisian barrier options.ps				</t>
  </si>
  <si>
    <t xml:space="preserve">	e:\GoogleDrive\articles\brownian bridge\chesney - parisian options -prn.ps				</t>
  </si>
  <si>
    <t xml:space="preserve">3689f629e52daeae003354b39f4fc42d	</t>
  </si>
  <si>
    <t xml:space="preserve">	e:\GoogleDrive\articles\administratif\ddt.doc				</t>
  </si>
  <si>
    <t xml:space="preserve">36910b73cf4b4001598d1fc703d63358	</t>
  </si>
  <si>
    <t xml:space="preserve">	e:\GoogleDrive\articles\anagrammer\Programming the Microsoft Windows Driver Model.chm				</t>
  </si>
  <si>
    <t xml:space="preserve">36a98fb486397a772403c475ba3de9f2	</t>
  </si>
  <si>
    <t xml:space="preserve">	e:\GoogleDrive\articles\imf publications\RPI_Brief_Guide_2003.pdf				</t>
  </si>
  <si>
    <t xml:space="preserve">36b0e968eee1868dd45b9bc5cc0fce9c	</t>
  </si>
  <si>
    <t xml:space="preserve">	e:\GoogleDrive\articles\info - algo\url.txt				</t>
  </si>
  <si>
    <t xml:space="preserve">36b284a92ee8745469f92e2d37be404b	</t>
  </si>
  <si>
    <t xml:space="preserve">	e:\GoogleDrive\articles\journal of computational finance\v11n2a3.pdf				</t>
  </si>
  <si>
    <t xml:space="preserve">36ced21af4c8c99a136fbe7f365aefb5	</t>
  </si>
  <si>
    <t xml:space="preserve">	e:\GoogleDrive\articles\culture generale\economics\lecture\reading\ch3 - aghion.pdf				</t>
  </si>
  <si>
    <t xml:space="preserve">36e55ba8524406a9bc1c395b12c7be5b	</t>
  </si>
  <si>
    <t xml:space="preserve">	e:\GoogleDrive\articles\kleinert - path integrals 15.pdf				</t>
  </si>
  <si>
    <t xml:space="preserve">36e80f44c91581e7b563215ff61b07af	</t>
  </si>
  <si>
    <t xml:space="preserve">	e:\GoogleDrive\articles\culture generale\economics\lecture\5 - lucas.pdf				</t>
  </si>
  <si>
    <t xml:space="preserve">36ed32b44dededbc2f05ac8a1cf0489a	</t>
  </si>
  <si>
    <t xml:space="preserve">	e:\GoogleDrive\articles\(ebook) selesnick burrus - Digital Signal Processing Handbook\76.pdf				</t>
  </si>
  <si>
    <t xml:space="preserve">36edbdedb90dd7ff64476cb8344c7c51	</t>
  </si>
  <si>
    <t xml:space="preserve">	e:\GoogleDrive\articles\Zakharov - Legendre Polynomials.pdf				</t>
  </si>
  <si>
    <t xml:space="preserve">36f0a8635da90afd888a74209eb6abda	</t>
  </si>
  <si>
    <t xml:space="preserve">	e:\GoogleDrive\articles\wilmott\0507_thorp.pdf				</t>
  </si>
  <si>
    <t xml:space="preserve">371f76259d81f077f8060f7596c8d9b8	</t>
  </si>
  <si>
    <t xml:space="preserve">	e:\GoogleDrive\articles\wilmott\0605_bogni.pdf				</t>
  </si>
  <si>
    <t xml:space="preserve">3725979dab99fa1d7c13468284fafd69	</t>
  </si>
  <si>
    <t xml:space="preserve">	e:\GoogleDrive\articles\(phd) hunor\phd\these01.doc				</t>
  </si>
  <si>
    <t xml:space="preserve">372ed070291d5716bfa03af88fb6cbf4	</t>
  </si>
  <si>
    <t xml:space="preserve">	e:\GoogleDrive\articles\wilmott\0407_bookclub.pdf				</t>
  </si>
  <si>
    <t xml:space="preserve">37377f624bd316390d23c83b57495a94	</t>
  </si>
  <si>
    <t xml:space="preserve">	e:\GoogleDrive\articles\(eBook) - Trfethen\6 - all.pdf				</t>
  </si>
  <si>
    <t xml:space="preserve">373ad48b252f08741ef456efad850322	</t>
  </si>
  <si>
    <t xml:space="preserve">	e:\GoogleDrive\articles\data mining\ECMLPKDD2004\covers\T3.pdf				</t>
  </si>
  <si>
    <t xml:space="preserve">3745ae48d9fbbbb2142cd42b90c7e9f6	</t>
  </si>
  <si>
    <t xml:space="preserve">	e:\GoogleDrive\articles\wilmott\0809_thulasidas.pdf				</t>
  </si>
  <si>
    <t xml:space="preserve">37468d44b1dde6ea003ed97164c67065	</t>
  </si>
  <si>
    <t xml:space="preserve">	e:\GoogleDrive\articles\davies &amp; higham99 - numerically stable generation of correlation matrices.pd	f			</t>
  </si>
  <si>
    <t xml:space="preserve">374e47648a1ffb289285bdb663f419c8	</t>
  </si>
  <si>
    <t xml:space="preserve">	e:\GoogleDrive\articles\data mining\ECMLPKDD2004\images\sponsors\pascal.png				</t>
  </si>
  <si>
    <t xml:space="preserve">3758dddd2128ba0e2903191a6e2e118e	</t>
  </si>
  <si>
    <t xml:space="preserve">	e:\GoogleDrive\articles\numericalR\c3-5.pdf				</t>
  </si>
  <si>
    <t xml:space="preserve">375c697f6ace4870cb8b687e51e14b91	</t>
  </si>
  <si>
    <t xml:space="preserve">	e:\GoogleDrive\articles\maths\xcheng\week24.pdf				</t>
  </si>
  <si>
    <t xml:space="preserve">3763e4f122cd4db4a7b0ce0deecac5db	</t>
  </si>
  <si>
    <t xml:space="preserve">	e:\GoogleDrive\articles\(phd) hunor\openBGM3.zip				</t>
  </si>
  <si>
    <t xml:space="preserve">376837c4ced730b2a25ba0a8398c3871	</t>
  </si>
  <si>
    <t xml:space="preserve">	e:\GoogleDrive\articles\loop c. - smooth subdivision surfaces based on triangles (1987).pdf				</t>
  </si>
  <si>
    <t xml:space="preserve">3768f9913adb142fcf5764e4eb6dd530	</t>
  </si>
  <si>
    <t xml:space="preserve">	e:\GoogleDrive\articles\Architecture Software Developer's Manual Volume 2B - 25366720.pdf				</t>
  </si>
  <si>
    <t xml:space="preserve">37724c6e43f03762d756c863f64be73a	</t>
  </si>
  <si>
    <t xml:space="preserve">	e:\GoogleDrive\articles\wilmott\0707_drz.pdf				</t>
  </si>
  <si>
    <t xml:space="preserve">379abd8db777a1ef94ea3721337646ee	</t>
  </si>
  <si>
    <t xml:space="preserve">	e:\GoogleDrive\articles\(phd) hunor\phd\thesis01.log				</t>
  </si>
  <si>
    <t xml:space="preserve">379e5698937afab71372ee03bccd7998	</t>
  </si>
  <si>
    <t xml:space="preserve">	e:\GoogleDrive\articles\culture generale\how_to_prep.pdf				</t>
  </si>
  <si>
    <t xml:space="preserve">379ea59a7ee5a986b8959a754f7e626b	</t>
  </si>
  <si>
    <t xml:space="preserve">	e:\GoogleDrive\articles\journal of computational finance\v11n2a4.pdf				</t>
  </si>
  <si>
    <t xml:space="preserve">37a1103a25e7d390af203d6b1e7bbb92	</t>
  </si>
  <si>
    <t xml:space="preserve">	e:\GoogleDrive\articles\Theorie des valeurs extremes.pdf				</t>
  </si>
  <si>
    <t xml:space="preserve">37af7fa543e6dd2c5b8c6d407c76a516	</t>
  </si>
  <si>
    <t xml:space="preserve">	e:\GoogleDrive\articles\numericalR\c11-0 Eigensystems.pdf				</t>
  </si>
  <si>
    <t xml:space="preserve">37b650a13b3c27fbc2750f49676495a8	</t>
  </si>
  <si>
    <t xml:space="preserve">	e:\GoogleDrive\articles\data mining\ECMLPKDD2004\images\sponsors\news.png				</t>
  </si>
  <si>
    <t xml:space="preserve">37d1bd50bbcce781db8cc15898dbefbc	</t>
  </si>
  <si>
    <t xml:space="preserve">	e:\GoogleDrive\articles\definitions\Fixed income markets.pdf				</t>
  </si>
  <si>
    <t xml:space="preserve">37ecd19051f549a7b19576929a36a9b8	</t>
  </si>
  <si>
    <t xml:space="preserve">	e:\GoogleDrive\articles\(ebook) Go - gokyoshumyo-dbl.pdf				</t>
  </si>
  <si>
    <t xml:space="preserve">38076b969cca61210d3619ee10d16a32	</t>
  </si>
  <si>
    <t xml:space="preserve">	e:\GoogleDrive\articles\marcusevans05 - unit7.pdf				</t>
  </si>
  <si>
    <t xml:space="preserve">381120afff1051b5731e94c2f98a7dcd	</t>
  </si>
  <si>
    <t xml:space="preserve">	e:\GoogleDrive\articles\info - algo\(phd) park - dynamic data structures for geometric search and re	tri	eval	.p	df</t>
  </si>
  <si>
    <t xml:space="preserve">382d05c2c8a075cee8daaf686b7de232	</t>
  </si>
  <si>
    <t xml:space="preserve">	e:\GoogleDrive\articles\Kalogerakis Hertzmann Singh - Learning 3D Mesh Segmentation and Labeling (	Sig	grap	h	2010).pdf</t>
  </si>
  <si>
    <t xml:space="preserve">3855f7f22c9efbabb91c042250d27a51	</t>
  </si>
  <si>
    <t xml:space="preserve">	e:\GoogleDrive\articles\mark rubinstein\Replicating Options with Positions in Stock and Cash.doc				</t>
  </si>
  <si>
    <t xml:space="preserve">386253d084aea05c7f42c33ecf6a14a8	</t>
  </si>
  <si>
    <t xml:space="preserve">	e:\GoogleDrive\articles\culture generale\economics\econ320\1 - aggregate.pdf				</t>
  </si>
  <si>
    <t xml:space="preserve">386462acf8e851c6301b8b3d0dc13b86	</t>
  </si>
  <si>
    <t xml:space="preserve">	e:\GoogleDrive\articles\maths sp‚\chapitre20 - systemes et equations differentiels.pdf				</t>
  </si>
  <si>
    <t xml:space="preserve">386df7ccdd3845cc015c91f2dba6f5ae	</t>
  </si>
  <si>
    <t xml:space="preserve">	e:\GoogleDrive\articles\latex files\Corridors\fig_fixedcorridor.pdf				</t>
  </si>
  <si>
    <t xml:space="preserve">38716e993937dc7223f0c972fa0e4f53	</t>
  </si>
  <si>
    <t xml:space="preserve">	e:\GoogleDrive\articles\administratif\adsl free.pdf				</t>
  </si>
  <si>
    <t xml:space="preserve">387d923480211f5ceccf4c0c6b1f76af	</t>
  </si>
  <si>
    <t xml:space="preserve">	e:\GoogleDrive\articles\kcl seminars\Shaw - Quantile mechanics and dependency without copulas.pdf				</t>
  </si>
  <si>
    <t xml:space="preserve">38857f653595216b25584a4cf9808968	</t>
  </si>
  <si>
    <t xml:space="preserve">	e:\GoogleDrive\articles\(eBook) - Jackel\BrownianBridge\BrownianBridge.cpp				</t>
  </si>
  <si>
    <t xml:space="preserve">388974d65309a66061534b1baeb68d12	</t>
  </si>
  <si>
    <t xml:space="preserve">	e:\GoogleDrive\articles\(ebook) - a non random walk down Wall street\front.pdf				</t>
  </si>
  <si>
    <t xml:space="preserve">388fb300a1b3d6c624ff703ef255ee3b	</t>
  </si>
  <si>
    <t xml:space="preserve">	e:\GoogleDrive\articles\wilmott\2002_09_64to67_Country_Risk.pdf				</t>
  </si>
  <si>
    <t xml:space="preserve">3898b1034453f5eb3cc1e21ac2a9daa7	</t>
  </si>
  <si>
    <t xml:space="preserve">	e:\GoogleDrive\articles\wilmott\0809_drz.pdf				</t>
  </si>
  <si>
    <t xml:space="preserve">389a0306ccca929f41b2fa3360d81a11	</t>
  </si>
  <si>
    <t xml:space="preserve">	e:\GoogleDrive\articles\(phd) hunor\phd\part1.log				</t>
  </si>
  <si>
    <t xml:space="preserve">389d9cbaac656851986184cfb122b970	</t>
  </si>
  <si>
    <t xml:space="preserve">	e:\GoogleDrive\articles\info - graphics\maya_tutorial (unwrella).pdf				</t>
  </si>
  <si>
    <t xml:space="preserve">38be80a81b6c84263ca5b3e687c55187	</t>
  </si>
  <si>
    <t xml:space="preserve">	e:\GoogleDrive\articles\data mining\ECMLPKDD2004\workshops\DC.pdf				</t>
  </si>
  <si>
    <t xml:space="preserve">38f3c93c8434307892e95de3b9f917bc	</t>
  </si>
  <si>
    <t xml:space="preserve">	e:\GoogleDrive\articles\culture generale\economics\lecture\reading\ch3 - romer.pdf				</t>
  </si>
  <si>
    <t xml:space="preserve">3902d5cdb390e424bdd4b2803d519728	</t>
  </si>
  <si>
    <t xml:space="preserve">	e:\GoogleDrive\articles\Boyarchenko Levendorskii - valuation of continously monitored double barrie	r o	ptio	ns	and related securities(FFT).pdf</t>
  </si>
  <si>
    <t xml:space="preserve">390897949bda58b9b8dadcd7a8d7731b	</t>
  </si>
  <si>
    <t xml:space="preserve">	e:\GoogleDrive\articles\Low-constant Parallel Algorithms for Finite Element Simulations using Linear	Oc	tree	s.	pdf</t>
  </si>
  <si>
    <t xml:space="preserve">	e:\GoogleDrive\articles\info - algo\Low-constant Parallel Algorithms for Finite Element Simulations	usi	ng L	in	ear Octrees.pdf</t>
  </si>
  <si>
    <t xml:space="preserve">39146c3079b6c9ed8e437f054a7bb63f	</t>
  </si>
  <si>
    <t xml:space="preserve">	e:\GoogleDrive\articles\(phd) hunor\phd\remerciements.log				</t>
  </si>
  <si>
    <t xml:space="preserve">3921de1f4861e144865c0bab4830ee1e	</t>
  </si>
  <si>
    <t xml:space="preserve">	e:\GoogleDrive\articles\Levy processes\url.txt				</t>
  </si>
  <si>
    <t xml:space="preserve">393d027c966f678c75c6f95d3bab5f04	</t>
  </si>
  <si>
    <t xml:space="preserve">	e:\GoogleDrive\articles\culture generale\economics\lecture\reading\ch7 - keynes.pdf				</t>
  </si>
  <si>
    <t xml:space="preserve">39525d66d13bf3dfa0cc49745b5bde20	</t>
  </si>
  <si>
    <t xml:space="preserve">	e:\GoogleDrive\articles\(eBook) - Jackel\GreeksWithMonteCarlo\GreeksWithMonteCarlo.xls				</t>
  </si>
  <si>
    <t xml:space="preserve">395d10f9165c8837061dc1edb8f5aeaa	</t>
  </si>
  <si>
    <t xml:space="preserve">	e:\GoogleDrive\articles\risk20_0707_technical_volatility.pdf				</t>
  </si>
  <si>
    <t xml:space="preserve">395d9eb47ac5ef182eb80b5159483e91	</t>
  </si>
  <si>
    <t xml:space="preserve">	e:\GoogleDrive\articles\ecuyer - recent advances in randomized qmc methods 01.ps				</t>
  </si>
  <si>
    <t xml:space="preserve">39625d7fb218bd95b76e80bfae053b79	</t>
  </si>
  <si>
    <t xml:space="preserve">	e:\GoogleDrive\articles\wilmott\0405_ilinski.pdf				</t>
  </si>
  <si>
    <t xml:space="preserve">3969e65451ccc00e51a0d9abe276b86e	</t>
  </si>
  <si>
    <t xml:space="preserve">	e:\GoogleDrive\articles\data mining\jiawei - cikm02 - prn.pdf				</t>
  </si>
  <si>
    <t xml:space="preserve">39783d906e78f100451a52b7173b3ee8	</t>
  </si>
  <si>
    <t xml:space="preserve">	e:\GoogleDrive\articles\Linear systems\chap5.pdf				</t>
  </si>
  <si>
    <t xml:space="preserve">39890154af671a67b0336e4d76b07cef	</t>
  </si>
  <si>
    <t xml:space="preserve">	e:\GoogleDrive\articles\jackwerth - The Price of a Smile Hedging and Spanning in Op.pdf				</t>
  </si>
  <si>
    <t xml:space="preserve">	e:\GoogleDrive\articles\jackwerth - The Price of a Smile Hedging and Spanning in Option Markets.pdf				</t>
  </si>
  <si>
    <t xml:space="preserve">39b8c11b46b63a41b5d14013cc4e700f	</t>
  </si>
  <si>
    <t xml:space="preserve">	e:\GoogleDrive\articles\wilmott\0507_libor.pdf				</t>
  </si>
  <si>
    <t xml:space="preserve">39cb70243d857be76e30ba4edd2b8b59	</t>
  </si>
  <si>
    <t xml:space="preserve">	e:\GoogleDrive\articles\(ebook) selesnick burrus - Digital Signal Processing Handbook\57.pdf				</t>
  </si>
  <si>
    <t xml:space="preserve">3a05d98b17e35b20073b63a78eba82fc	</t>
  </si>
  <si>
    <t xml:space="preserve">	e:\GoogleDrive\articles\(eBook) Standard american english.pdf				</t>
  </si>
  <si>
    <t xml:space="preserve">3a09d4d6d92f2930b253ec85ad250082	</t>
  </si>
  <si>
    <t xml:space="preserve">	e:\GoogleDrive\articles\complex diff\S31.pdf				</t>
  </si>
  <si>
    <t xml:space="preserve">3a0b45199b363e55884ee2518e3b6c9e	</t>
  </si>
  <si>
    <t xml:space="preserve">	e:\GoogleDrive\articles\maths\set theory.pdf				</t>
  </si>
  <si>
    <t xml:space="preserve">3a399d26aa34b16a3f7087dcce725b94	</t>
  </si>
  <si>
    <t xml:space="preserve">	e:\GoogleDrive\articles\numericalR\c7-4.pdf				</t>
  </si>
  <si>
    <t xml:space="preserve">3a5224162f2913b69d8f2554d5881f49	</t>
  </si>
  <si>
    <t xml:space="preserve">	e:\GoogleDrive\articles\global risk 2007\day2\09.30 Crider.zip				</t>
  </si>
  <si>
    <t xml:space="preserve">3a586b4b0aadc1659e50f869ded51be8	</t>
  </si>
  <si>
    <t xml:space="preserve">	e:\GoogleDrive\articles\(ebook) Go - cho-1-elementary-dbl.pdf				</t>
  </si>
  <si>
    <t xml:space="preserve">3a612dacebf18aba77a6c747908621ac	</t>
  </si>
  <si>
    <t xml:space="preserve">	e:\GoogleDrive\articles\hagan - bermproc.pdf				</t>
  </si>
  <si>
    <t xml:space="preserve">3a6e0607d85231397c2550f3fbe6223d	</t>
  </si>
  <si>
    <t xml:space="preserve">	e:\GoogleDrive\articles\lobaskin\P.Kaufman.Trading Systems &amp; Methods\Kaufman - Trading Systems &amp; Met	hod	s -	Co	ntents.doc</t>
  </si>
  <si>
    <t xml:space="preserve">3a6e26c8adc8a63aca7da9fba0e4b3ee	</t>
  </si>
  <si>
    <t xml:space="preserve">	e:\GoogleDrive\articles\culture generale\vernimmen no 27.pdf				</t>
  </si>
  <si>
    <t xml:space="preserve">3a71647f29b150d628074cec1dcb45c8	</t>
  </si>
  <si>
    <t xml:space="preserve">	e:\GoogleDrive\articles\krekel - The Pricing of Asian Spot with Average Strike (2005).pdf				</t>
  </si>
  <si>
    <t xml:space="preserve">	e:\GoogleDrive\articles\wilmott\0307_martin.pdf				</t>
  </si>
  <si>
    <t xml:space="preserve">3a7592d7726499e525efee34158a2094	</t>
  </si>
  <si>
    <t xml:space="preserve">	e:\GoogleDrive\articles\Zhu sun turk - Terrain Synthesis from Digital Elevation Models (2007).pdf				</t>
  </si>
  <si>
    <t xml:space="preserve">3ac3f6d1e0af9864ea32f451fc0dce92	</t>
  </si>
  <si>
    <t xml:space="preserve">	e:\GoogleDrive\articles\gotsman gu sheffer - Fundamentals of Spherical Parameterization for 3D Mes	hes	.pdf		</t>
  </si>
  <si>
    <t xml:space="preserve">3ac4e46c126f42353f4c9dd79a928f72	</t>
  </si>
  <si>
    <t xml:space="preserve">	e:\GoogleDrive\articles\course - Galois theory.pdf				</t>
  </si>
  <si>
    <t xml:space="preserve">3ac68e1a45a726aac73b42f59fff7f3f	</t>
  </si>
  <si>
    <t xml:space="preserve">	e:\GoogleDrive\articles\anagrammer\Learn Microsoft Assembler in a Day.pdf				</t>
  </si>
  <si>
    <t xml:space="preserve">3aea4ef49405816e659828383de9c3ba	</t>
  </si>
  <si>
    <t xml:space="preserve">	e:\GoogleDrive\articles\walter lopez - Is Implied Correlation Worth Calculating Evidence from Fore	ign	Exc	ha	nge Options and Historical Data.pdf</t>
  </si>
  <si>
    <t xml:space="preserve">3aebb80589a145e7c575147669f63a59	</t>
  </si>
  <si>
    <t xml:space="preserve">	e:\GoogleDrive\articles\jourdain - los of martingality in stochastic vol - prn.pdf				</t>
  </si>
  <si>
    <t xml:space="preserve">3b04da1f07086076829b6b3618800dd0	</t>
  </si>
  <si>
    <t xml:space="preserve">	e:\GoogleDrive\articles\wilmott\0701_carreviews.pdf				</t>
  </si>
  <si>
    <t xml:space="preserve">3b092f73a7c1ce9571c6a9d0717b4fb0	</t>
  </si>
  <si>
    <t xml:space="preserve">	e:\GoogleDrive\articles\info - data mining\guralnik Srivastava - Event detection from time series d	ata	(kd	d	1991).pdf</t>
  </si>
  <si>
    <t xml:space="preserve">3b137f9a6a710faac417af9f29e0496f	</t>
  </si>
  <si>
    <t xml:space="preserve">	e:\GoogleDrive\articles\wilmott\0305_osband.pdf				</t>
  </si>
  <si>
    <t xml:space="preserve">3b17465177e4c9368e2fc97e9493a923	</t>
  </si>
  <si>
    <t xml:space="preserve">	e:\GoogleDrive\articles\wilmott\0607_microsoft.pdf				</t>
  </si>
  <si>
    <t xml:space="preserve">3b4306a4e6e7f5668520dc77be25340e	</t>
  </si>
  <si>
    <t xml:space="preserve">	e:\GoogleDrive\articles\global risk 2007\day2\16.20 Balland.pdf				</t>
  </si>
  <si>
    <t xml:space="preserve">3b5b12c0667a255981f6a9de137ef1d4	</t>
  </si>
  <si>
    <t xml:space="preserve">	e:\GoogleDrive\articles\global risk 2007\day2\16.20 _KAPOOR.pdf				</t>
  </si>
  <si>
    <t xml:space="preserve">3b6364d8b6dc8daf10b9df438a8f0209	</t>
  </si>
  <si>
    <t xml:space="preserve">	e:\GoogleDrive\articles\maths\xcheng\rsa.pdf				</t>
  </si>
  <si>
    <t xml:space="preserve">3b72503eb7aa72c71e0aeda38cb2328f	</t>
  </si>
  <si>
    <t xml:space="preserve">	e:\GoogleDrive\articles\introduction to monte carlo methods.ps				</t>
  </si>
  <si>
    <t xml:space="preserve">3b7513f3bfda9f49f8a75b4dcad1344b	</t>
  </si>
  <si>
    <t xml:space="preserve">	e:\GoogleDrive\articles\an introduction to R.pdf				</t>
  </si>
  <si>
    <t xml:space="preserve">3b78260ad923553d9ff29f9310ef9be5	</t>
  </si>
  <si>
    <t xml:space="preserve">	e:\GoogleDrive\articles\Improved algorithms for ear-clipping triangulation.pdf				</t>
  </si>
  <si>
    <t xml:space="preserve">3b7feae991e07421e58608cf389fee1c	</t>
  </si>
  <si>
    <t xml:space="preserve">	e:\GoogleDrive\articles\wilmott\0805_albanese.pdf				</t>
  </si>
  <si>
    <t xml:space="preserve">3b809c05da5feae32608c2f01aa2bd40	</t>
  </si>
  <si>
    <t xml:space="preserve">	e:\GoogleDrive\articles\van loan - Block Matrix Computation and Singular value decomposition.pdf				</t>
  </si>
  <si>
    <t xml:space="preserve">3b9415e7cc9b90f5e1f63709b4a2b13d	</t>
  </si>
  <si>
    <t xml:space="preserve">	e:\GoogleDrive\articles\(eBook) - Jackel\Halton\main.cpp				</t>
  </si>
  <si>
    <t xml:space="preserve">3bade1f02d49c4d8e0c51cb847ba390f	</t>
  </si>
  <si>
    <t xml:space="preserve">	e:\GoogleDrive\articles\numericalR\c9-4.pdf				</t>
  </si>
  <si>
    <t xml:space="preserve">3bb6df1122dd516c2dbbefa9a5364ba8	</t>
  </si>
  <si>
    <t xml:space="preserve">	e:\GoogleDrive\articles\hunor - IR Modelling _ Mar 09.pdf				</t>
  </si>
  <si>
    <t xml:space="preserve">3bc086240515baadb1edbd71f90bbf1a	</t>
  </si>
  <si>
    <t xml:space="preserve">	e:\GoogleDrive\articles\maths\CS683 - Advanced algorithms\lec14.ps				</t>
  </si>
  <si>
    <t xml:space="preserve">3bc0ae2e0e154e86272c5c1b4f9dc576	</t>
  </si>
  <si>
    <t xml:space="preserve">	e:\GoogleDrive\articles\journal of computational finance\v9n3a3 - piterbarg on convexity.pdf				</t>
  </si>
  <si>
    <t xml:space="preserve">3bdbce229e11949123004af9f7dc2afd	</t>
  </si>
  <si>
    <t xml:space="preserve">	e:\GoogleDrive\articles\imf publications\world economic outlook 2003 septembre\appendix.pdf				</t>
  </si>
  <si>
    <t xml:space="preserve">3c1c69e37fb49d3e1f4c75580db7c618	</t>
  </si>
  <si>
    <t xml:space="preserve">	e:\GoogleDrive\articles\wilmott\0701_ahmad.pdf				</t>
  </si>
  <si>
    <t xml:space="preserve">3c2d27a68e84618dba2642b7e4b7dd9b	</t>
  </si>
  <si>
    <t xml:space="preserve">	e:\GoogleDrive\articles\slides - Long dated FX products.pdf				</t>
  </si>
  <si>
    <t xml:space="preserve">3c32bf368cc051cbec131f79b26b4fb9	</t>
  </si>
  <si>
    <t xml:space="preserve">	e:\GoogleDrive\articles\google\dp0906e.pdf				</t>
  </si>
  <si>
    <t xml:space="preserve">3c34ed410b1f3d6a89d3c8dad613f66f	</t>
  </si>
  <si>
    <t xml:space="preserve">	e:\GoogleDrive\articles\wilmott\0807_bogni.pdf				</t>
  </si>
  <si>
    <t xml:space="preserve">3c45534e1b84f84926b39c422ae511eb	</t>
  </si>
  <si>
    <t xml:space="preserve">	e:\GoogleDrive\articles\info - graphics\Medeiros Velho hoppe - A Topological Framework for Advanci	ng	Fron	t	Triangulation.pdf</t>
  </si>
  <si>
    <t xml:space="preserve">3c48a9e0427e6561c8140b9c06f7b3cc	</t>
  </si>
  <si>
    <t xml:space="preserve">	e:\GoogleDrive\articles\american options with convex optimisation.ps				</t>
  </si>
  <si>
    <t xml:space="preserve">	e:\GoogleDrive\articles\pennanen - american options with convex optimisation.ps				</t>
  </si>
  <si>
    <t xml:space="preserve">3c4cfe32d42013918240467325bd0001	</t>
  </si>
  <si>
    <t xml:space="preserve">	e:\GoogleDrive\articles\wilmott\0809_carreviews.pdf				</t>
  </si>
  <si>
    <t xml:space="preserve">3c67bd9fc310e448347470a1533db345	</t>
  </si>
  <si>
    <t xml:space="preserve">	e:\GoogleDrive\articles\wilmott\0407_news.pdf				</t>
  </si>
  <si>
    <t xml:space="preserve">3c6fd94b4a1de943057f0f13325c480d	</t>
  </si>
  <si>
    <t xml:space="preserve">	e:\GoogleDrive\articles\stochastic_local_correlation[1].pdf				</t>
  </si>
  <si>
    <t xml:space="preserve">3c8690c0bc5b2ecdb186a045c1345755	</t>
  </si>
  <si>
    <t xml:space="preserve">	e:\GoogleDrive\articles\maths\optimisation\Selected Bibliography for Optimisation.doc				</t>
  </si>
  <si>
    <t xml:space="preserve">3c8c4d0c39e5c1baaed6a8ccf9d0f08a	</t>
  </si>
  <si>
    <t xml:space="preserve">	e:\GoogleDrive\articles\london school of economics &amp; political science (dpt of mathemati\chapter5 -	Sto	chas	ti	c processes and Brownian motion.pdf</t>
  </si>
  <si>
    <t xml:space="preserve">3cb4bc4696e47c09baed6dd7e6dd2c7d	</t>
  </si>
  <si>
    <t xml:space="preserve">	e:\GoogleDrive\articles\(eBook) privault - Notes on Stochastic Finance.pdf				</t>
  </si>
  <si>
    <t xml:space="preserve">3cb57b18f804288c152438c28e77825e	</t>
  </si>
  <si>
    <t xml:space="preserve">	e:\GoogleDrive\articles\global risk 2007\day1\16.50 Hull - creditL.pdf				</t>
  </si>
  <si>
    <t xml:space="preserve">3ce38b2d062c6e4eb5d6aeab1f784734	</t>
  </si>
  <si>
    <t xml:space="preserve">	e:\GoogleDrive\articles\probas - chapter6.pdf				</t>
  </si>
  <si>
    <t xml:space="preserve">3cee6bea9d32ca7331bbdb91fd12a13a	</t>
  </si>
  <si>
    <t xml:space="preserve">	e:\GoogleDrive\articles\Subdivision for Modeling and Animation tutorial SIGGRAPH 2000 course notes.	pdf			</t>
  </si>
  <si>
    <t xml:space="preserve">3cf30c1b9b0d59554504c00f23dc5914	</t>
  </si>
  <si>
    <t xml:space="preserve">	e:\GoogleDrive\articles\Inference about multivariate normal distribution.pdf				</t>
  </si>
  <si>
    <t xml:space="preserve">3cf4d950027b3d259beb29249e3ffb6a	</t>
  </si>
  <si>
    <t xml:space="preserve">	e:\GoogleDrive\articles\(ebook) - a non random walk down Wall street\figures.pdf				</t>
  </si>
  <si>
    <t xml:space="preserve">3d2a19c2835f5ae2609878aed2ec9122	</t>
  </si>
  <si>
    <t xml:space="preserve">	e:\GoogleDrive\articles\gatheral - lecture4 asymptotics and dynamics.pdf				</t>
  </si>
  <si>
    <t xml:space="preserve">	e:\GoogleDrive\articles\Gatheral - Lecture4_Fall2002.pdf				</t>
  </si>
  <si>
    <t xml:space="preserve">3d2b7f35bc3690fc9bb694298710fa45	</t>
  </si>
  <si>
    <t xml:space="preserve">	e:\GoogleDrive\articles\Gatheral - lecture1_2005.pdf				</t>
  </si>
  <si>
    <t xml:space="preserve">3d30cd54e9e65554e252d2cb0be0634d	</t>
  </si>
  <si>
    <t xml:space="preserve">	e:\GoogleDrive\articles\pratt64 - risk aversion in the Small and in the Large.pdf				</t>
  </si>
  <si>
    <t xml:space="preserve">3d33a8783062422dde79e615e327f72c	</t>
  </si>
  <si>
    <t xml:space="preserve">	e:\GoogleDrive\articles\maths\CS683 - Advanced algorithms\lec07.ps				</t>
  </si>
  <si>
    <t xml:space="preserve">3d3443ffbe3a3db06d018b7509420cc6	</t>
  </si>
  <si>
    <t xml:space="preserve">	e:\GoogleDrive\articles\data mining\ECMLPKDD2004\images\fromBrigthToBrighter.png				</t>
  </si>
  <si>
    <t xml:space="preserve">	e:\GoogleDrive\articles\data mining\ECMLPKDD2004\images\sponsors\fromBrigthToBrighter.png				</t>
  </si>
  <si>
    <t xml:space="preserve">3d3cd7b889de64bee26ccf5a47e23c77	</t>
  </si>
  <si>
    <t xml:space="preserve">	e:\GoogleDrive\articles\a classer\memoire de DEA - autocorelation des actions.pdf				</t>
  </si>
  <si>
    <t xml:space="preserve">3d3f3f3128f2169290b5ce2f3ccb94e9	</t>
  </si>
  <si>
    <t xml:space="preserve">	e:\GoogleDrive\articles\Notes on Elementary Number Theory\30 - percfrac.ps				</t>
  </si>
  <si>
    <t xml:space="preserve">3d581aba38c31d5d50a46cb2a1156a69	</t>
  </si>
  <si>
    <t xml:space="preserve">	e:\GoogleDrive\articles\wilmott\0301_bookclub.pdf				</t>
  </si>
  <si>
    <t xml:space="preserve">3d59dc99bae80ddbe4dbf98b5aed1ea8	</t>
  </si>
  <si>
    <t xml:space="preserve">	e:\GoogleDrive\articles\(ebook) selesnick burrus - Digital Signal Processing Handbook\61.pdf				</t>
  </si>
  <si>
    <t xml:space="preserve">3d5ad7f60c4daa6543a5b663d6fdde62	</t>
  </si>
  <si>
    <t xml:space="preserve">	e:\GoogleDrive\articles\pirsic - a software implementation of niederreiter-xing sequences - prn.ps				</t>
  </si>
  <si>
    <t xml:space="preserve">3d65a7886deb501eeaa9ec2861feda4f	</t>
  </si>
  <si>
    <t xml:space="preserve">	e:\GoogleDrive\articles\global risk 2007\day2\Zhenyu Duanmu.pdf				</t>
  </si>
  <si>
    <t xml:space="preserve">3d67aab681e80320ae2a222c4aa0fb4a	</t>
  </si>
  <si>
    <t xml:space="preserve">	e:\GoogleDrive\articles\(ebook) selesnick burrus - Digital Signal Processing Handbook\38.pdf				</t>
  </si>
  <si>
    <t xml:space="preserve">3d9e730564dbcbd9fb548d374b46310f	</t>
  </si>
  <si>
    <t xml:space="preserve">	e:\GoogleDrive\articles\dorey joubert - modelling copulas an overview.pdf				</t>
  </si>
  <si>
    <t xml:space="preserve">3d9f67d82a7ceef51c8dd84fcf8f560e	</t>
  </si>
  <si>
    <t xml:space="preserve">	e:\GoogleDrive\articles\blackandscholes81 - the pricing of options and corporate lia.pdf				</t>
  </si>
  <si>
    <t xml:space="preserve">3dc26f15f44c47dcee5984c8ec57a8dc	</t>
  </si>
  <si>
    <t xml:space="preserve">	e:\GoogleDrive\articles\(ebook) - Analyse numerique\chap4.pdf				</t>
  </si>
  <si>
    <t xml:space="preserve">3ddae2c072fb9e8e244973f760305ab6	</t>
  </si>
  <si>
    <t xml:space="preserve">	e:\GoogleDrive\articles\(eBook) - Jackel\PrimitivePolynomialsModuloTwo\backuper.hcs				</t>
  </si>
  <si>
    <t xml:space="preserve">3df709e28c7e0882417cce4b57a47a2c	</t>
  </si>
  <si>
    <t xml:space="preserve">	e:\GoogleDrive\articles\wilmott\0407_lyceum.pdf				</t>
  </si>
  <si>
    <t xml:space="preserve">3dfbd0e60dd3b2fdaac328b81b62c998	</t>
  </si>
  <si>
    <t xml:space="preserve">	e:\GoogleDrive\articles\Notes on Elementary Number Theory\10 - dioph.ps				</t>
  </si>
  <si>
    <t xml:space="preserve">3e05cf9da6b8ee802280570145302310	</t>
  </si>
  <si>
    <t xml:space="preserve">	e:\GoogleDrive\articles\metwally atiya - using brownian bridge for fast simulation of jump-diffusio	n p	roce	ss	es abd barrier options.pdf</t>
  </si>
  <si>
    <t xml:space="preserve">	e:\GoogleDrive\articles\brownian bridge\barrier - prn.pdf				</t>
  </si>
  <si>
    <t xml:space="preserve">3e22c54d266cb75b8fa74ef4db96f01a	</t>
  </si>
  <si>
    <t xml:space="preserve">	e:\GoogleDrive\articles\numericalR\c3-0.pdf				</t>
  </si>
  <si>
    <t xml:space="preserve">3e2482ecb79179a6a1b8de44803d11d7	</t>
  </si>
  <si>
    <t xml:space="preserve">	e:\GoogleDrive\articles\wilmott\0507_zakamoul.pdf				</t>
  </si>
  <si>
    <t xml:space="preserve">3e3ac4fbeabe53eb2f6a3ea55071a2fe	</t>
  </si>
  <si>
    <t xml:space="preserve">	e:\GoogleDrive\articles\ebook with cev chapter\Chapter4 - multinomial.doc				</t>
  </si>
  <si>
    <t xml:space="preserve">3e42e2e77aa754c273b60ea06e5705ec	</t>
  </si>
  <si>
    <t xml:space="preserve">	e:\GoogleDrive\articles\fox - nonparametric-regression.pdf				</t>
  </si>
  <si>
    <t xml:space="preserve">3e59c43ebbbf412c35418d90625b1acb	</t>
  </si>
  <si>
    <t xml:space="preserve">	e:\GoogleDrive\articles\hobby\Holderread - raising the hiome duck flock.pdf				</t>
  </si>
  <si>
    <t xml:space="preserve">3e67d9ced889c1a2690ffeca39ec9ab7	</t>
  </si>
  <si>
    <t xml:space="preserve">	e:\GoogleDrive\articles\wilmott\0503_editorial.pdf				</t>
  </si>
  <si>
    <t xml:space="preserve">3e759c44f12a5f156bb9abf3190d94ca	</t>
  </si>
  <si>
    <t xml:space="preserve">	e:\GoogleDrive\articles\a classer\broadie - American Option Valuation New Bounds Approximati.pdf				</t>
  </si>
  <si>
    <t xml:space="preserve">3e79eba95cc65011618ac7d69aae20a2	</t>
  </si>
  <si>
    <t xml:space="preserve">	e:\GoogleDrive\articles\numericalR\c2-0.pdf				</t>
  </si>
  <si>
    <t xml:space="preserve">3e823a301a9e22d7e27a5fefbe3db79d	</t>
  </si>
  <si>
    <t xml:space="preserve">	e:\GoogleDrive\articles\(eBook) - Trfethen\1 - all.pdf				</t>
  </si>
  <si>
    <t xml:space="preserve">3e8a393ed806f816fca70b21e043df22	</t>
  </si>
  <si>
    <t xml:space="preserve">	e:\GoogleDrive\articles\masaaki et al - A Note on Construction of Multiple Swap Curves with and with	out	col	la	teral.pdf</t>
  </si>
  <si>
    <t xml:space="preserve">3e9b41452860a4acfb9f799fa0259ce6	</t>
  </si>
  <si>
    <t xml:space="preserve">	e:\GoogleDrive\articles\journal of computational finance\v9n2a1 - credit.pdf				</t>
  </si>
  <si>
    <t xml:space="preserve">3eb8b3c23393fd0ea3ba5b5295152a59	</t>
  </si>
  <si>
    <t xml:space="preserve">	e:\GoogleDrive\articles\wu zhu - optimal static ositioning of a small number of options.pdf				</t>
  </si>
  <si>
    <t xml:space="preserve">3eba5bc3af4b71cf1acffe91ca976277	</t>
  </si>
  <si>
    <t xml:space="preserve">	e:\GoogleDrive\articles\Hagan convexit.pdf				</t>
  </si>
  <si>
    <t xml:space="preserve">3eba7244ff760d1f1ff9d1deeb8b8ed5	</t>
  </si>
  <si>
    <t xml:space="preserve">	e:\GoogleDrive\articles\kleinert - path integrals 06.pdf				</t>
  </si>
  <si>
    <t xml:space="preserve">3ebc458e21684a8017bd199ab6c76c2b	</t>
  </si>
  <si>
    <t xml:space="preserve">	e:\GoogleDrive\articles\wilmott\0505_bogni.pdf				</t>
  </si>
  <si>
    <t xml:space="preserve">3ecbb3310fd4b742892b54a1ee8a5c40	</t>
  </si>
  <si>
    <t xml:space="preserve">	e:\GoogleDrive\articles\griewank - advanced optimization algorithms.pdf				</t>
  </si>
  <si>
    <t xml:space="preserve">3ecee6fb13e54dfc1134e1eb62aa8be5	</t>
  </si>
  <si>
    <t xml:space="preserve">	e:\GoogleDrive\articles\(phd) hunor\annsample (k-neighbours extraction).zip				</t>
  </si>
  <si>
    <t xml:space="preserve">3ed57f0960ae2fed6fec4458cf2f15be	</t>
  </si>
  <si>
    <t xml:space="preserve">	e:\GoogleDrive\articles\numericalR\c12-4.pdf				</t>
  </si>
  <si>
    <t xml:space="preserve">3edfe1282b7a02387319ab43a006850b	</t>
  </si>
  <si>
    <t xml:space="preserve">	e:\GoogleDrive\articles\Notes on Elementary Number Theory\08 - fundth.ps				</t>
  </si>
  <si>
    <t xml:space="preserve">3ee74da91f6467a7aaf982ff0f213273	</t>
  </si>
  <si>
    <t xml:space="preserve">	e:\GoogleDrive\articles\mark rubinstein\backuper.hcs				</t>
  </si>
  <si>
    <t xml:space="preserve">3ee7639695c9c98d35de1a049ee99657	</t>
  </si>
  <si>
    <t xml:space="preserve">	e:\GoogleDrive\articles\wilmott\0505_news.pdf				</t>
  </si>
  <si>
    <t xml:space="preserve">3f2e275bc4d526886f71ce52588dd9b0	</t>
  </si>
  <si>
    <t xml:space="preserve">	e:\GoogleDrive\articles\wilmott\0805_editorial.pdf				</t>
  </si>
  <si>
    <t xml:space="preserve">3f3cad0fcae744f131dfc5b266e40d5f	</t>
  </si>
  <si>
    <t xml:space="preserve">	e:\GoogleDrive\articles\Introduction-to-Probability.pdf				</t>
  </si>
  <si>
    <t xml:space="preserve">3f55e46f9a48f69c14a6bd33fbb3a5f2	</t>
  </si>
  <si>
    <t xml:space="preserve">	e:\GoogleDrive\articles\applied probability.pdf				</t>
  </si>
  <si>
    <t xml:space="preserve">3f6ace650679cea1978be00f55d1d6f0	</t>
  </si>
  <si>
    <t xml:space="preserve">	e:\GoogleDrive\articles\(ebook) selesnick burrus - Digital Signal Processing Handbook\58.pdf				</t>
  </si>
  <si>
    <t xml:space="preserve">3f8b4dd850d34fddb1b39524655bee95	</t>
  </si>
  <si>
    <t xml:space="preserve">	e:\GoogleDrive\articles\latex files\Threshold Options\ThresholdOptions.tex				</t>
  </si>
  <si>
    <t xml:space="preserve">3f8bbc1d01fdc468633fa3fcfd1032be	</t>
  </si>
  <si>
    <t xml:space="preserve">	e:\GoogleDrive\articles\mn480 - computational techniques\append1.pdf				</t>
  </si>
  <si>
    <t xml:space="preserve">3f961b1e30394334fc240079793b609e	</t>
  </si>
  <si>
    <t xml:space="preserve">	e:\GoogleDrive\articles\wilmott\0303_lyceum.pdf				</t>
  </si>
  <si>
    <t xml:space="preserve">3fa48694ea2d78aab2b6e9e9a5a4f6b5	</t>
  </si>
  <si>
    <t xml:space="preserve">	e:\GoogleDrive\articles\info - algo\interval heaps.ppt				</t>
  </si>
  <si>
    <t xml:space="preserve">3fa847dfac4fe5519793d8ce193a8cbe	</t>
  </si>
  <si>
    <t xml:space="preserve">	e:\GoogleDrive\articles\global derivatives 2008\riccardo rebonato - caplets and swaptions.pdf				</t>
  </si>
  <si>
    <t xml:space="preserve">3fad65a21523cc87a545215568cdd34a	</t>
  </si>
  <si>
    <t xml:space="preserve">	e:\GoogleDrive\articles\numericalR\c8-6.pdf				</t>
  </si>
  <si>
    <t xml:space="preserve">3fad6a039b4a782e5d70e6db98e108c7	</t>
  </si>
  <si>
    <t xml:space="preserve">	e:\GoogleDrive\articles\wilmott\0603_coverstory.pdf				</t>
  </si>
  <si>
    <t xml:space="preserve">3fc02eaf9c342fbbbc0771dc6c29210a	</t>
  </si>
  <si>
    <t xml:space="preserve">	e:\GoogleDrive\articles\Carol alexander - common correlation and calibrating the lognormal forward r	ate	mod	el	(2002 long).pdf</t>
  </si>
  <si>
    <t xml:space="preserve">3fc12063fa0ed059e3555e7ab78cc7c3	</t>
  </si>
  <si>
    <t xml:space="preserve">	e:\GoogleDrive\articles\Roger Lee - Implied Volatility -  Statics Dynamics and Probabilistic Interp	ret	atio	n.	pdf</t>
  </si>
  <si>
    <t xml:space="preserve">3fc886d8fb6862ce65d264179d3b641e	</t>
  </si>
  <si>
    <t xml:space="preserve">	e:\GoogleDrive\articles\(phd) hunor\phd\figures\original\scenarii.TIF				</t>
  </si>
  <si>
    <t xml:space="preserve">3fd3983e1a62b44218286243d5b5bdf8	</t>
  </si>
  <si>
    <t xml:space="preserve">	e:\GoogleDrive\articles\LTCM report.pdf				</t>
  </si>
  <si>
    <t xml:space="preserve">3fd3b8455e23b6fae4f236ff1bde8024	</t>
  </si>
  <si>
    <t xml:space="preserve">	e:\GoogleDrive\articles\WBS IR modelling Course\IR Modelling\IR2.3Antonov_102.pdf				</t>
  </si>
  <si>
    <t xml:space="preserve">3fd6bdb8ad45bd8fecb70aebccd874d0	</t>
  </si>
  <si>
    <t xml:space="preserve">	e:\GoogleDrive\articles\wilmott\2002_09_44to45_%20Ed_Thorp.pdf				</t>
  </si>
  <si>
    <t xml:space="preserve">3fdc0354ee39a74fc8bfd30668a78bd6	</t>
  </si>
  <si>
    <t xml:space="preserve">	e:\GoogleDrive\articles\(eBook) West - Graph Theory.djvu				</t>
  </si>
  <si>
    <t xml:space="preserve">3fdccc6075bb1cb9457eed5b37611b01	</t>
  </si>
  <si>
    <t xml:space="preserve">	e:\GoogleDrive\articles\Notes on Elementary Number Theory\17 - pseudo.ps				</t>
  </si>
  <si>
    <t xml:space="preserve">3ffd4b50dc7e50f764e908011a01a584	</t>
  </si>
  <si>
    <t xml:space="preserve">	e:\GoogleDrive\articles\wilmott\0511_duffy.pdf				</t>
  </si>
  <si>
    <t xml:space="preserve">400029b1be43ca532e483f013d4d5fdf	</t>
  </si>
  <si>
    <t xml:space="preserve">	e:\GoogleDrive\articles\numericalR\c10-7.pdf				</t>
  </si>
  <si>
    <t xml:space="preserve">40059a3516948f04b99d9ee1fc563ad9	</t>
  </si>
  <si>
    <t xml:space="preserve">	e:\GoogleDrive\articles\(eBook) - statistical methods\chapter03.pdf				</t>
  </si>
  <si>
    <t xml:space="preserve">40070090bc27355b981beaa0d5b3564d	</t>
  </si>
  <si>
    <t xml:space="preserve">	e:\GoogleDrive\articles\inflation - 576081_new.pdf				</t>
  </si>
  <si>
    <t xml:space="preserve">4009d090de3824e768e7fbd2bf7be86e	</t>
  </si>
  <si>
    <t xml:space="preserve">	e:\GoogleDrive\articles\wilmott\0811_eurex.pdf				</t>
  </si>
  <si>
    <t xml:space="preserve">402ffada4948a30014adea002203c29b	</t>
  </si>
  <si>
    <t xml:space="preserve">	e:\GoogleDrive\articles\info - algo\sylabbus - scheduler for schools and colleges.pdf				</t>
  </si>
  <si>
    <t xml:space="preserve">403a6a156ef080684c6748507a4dbe4a	</t>
  </si>
  <si>
    <t xml:space="preserve">	e:\GoogleDrive\articles\inflation - sandra IFL_TechDocBig.pdf				</t>
  </si>
  <si>
    <t xml:space="preserve">403c20e834f31b5c30f423afc208ce46	</t>
  </si>
  <si>
    <t xml:space="preserve">	e:\GoogleDrive\articles\culture generale\economics\macroeconomics\LN_ch3.pdf				</t>
  </si>
  <si>
    <t xml:space="preserve">404061afdcafa5f6d1715c63c5e8198c	</t>
  </si>
  <si>
    <t xml:space="preserve">	e:\GoogleDrive\articles\info - algo\boost_geometry_2010_slides.pdf				</t>
  </si>
  <si>
    <t xml:space="preserve">4048da0c966094d6e7d6dc9d53d146d1	</t>
  </si>
  <si>
    <t xml:space="preserve">	e:\GoogleDrive\articles\definitions\backuper.hcs				</t>
  </si>
  <si>
    <t xml:space="preserve">404d87392314f1be26ba36ac339eff3a	</t>
  </si>
  <si>
    <t xml:space="preserve">	e:\GoogleDrive\articles\anagrammer\Windows Assembly Language &amp; System Programming 2nd ed.pdf				</t>
  </si>
  <si>
    <t xml:space="preserve">406066a08f64b7ccb4747cce7ca3ebfe	</t>
  </si>
  <si>
    <t xml:space="preserve">	e:\GoogleDrive\articles\West - calibration of the SABR model in illiquid markets(2004).pdf				</t>
  </si>
  <si>
    <t xml:space="preserve">407f5c8a0c58fa307dc532f993c90ca7	</t>
  </si>
  <si>
    <t xml:space="preserve">	e:\GoogleDrive\articles\numericalR\c2-9.pdf				</t>
  </si>
  <si>
    <t xml:space="preserve">4091bf5fed656993e8982bb2c4d643a7	</t>
  </si>
  <si>
    <t xml:space="preserve">	e:\GoogleDrive\articles\numerix_helpguide.pdf				</t>
  </si>
  <si>
    <t xml:space="preserve">40a9805d7e210772c6a7edb8f3cb07df	</t>
  </si>
  <si>
    <t xml:space="preserve">	e:\GoogleDrive\articles\fitzsimmons rajeev - A New Approach to the Martingale Representation Theore	m (	2004	).	pdf</t>
  </si>
  <si>
    <t xml:space="preserve">	e:\GoogleDrive\articles\martingale representation theorem.pdf				</t>
  </si>
  <si>
    <t xml:space="preserve">40af64132e49d887beeb5c620e510897	</t>
  </si>
  <si>
    <t xml:space="preserve">	e:\GoogleDrive\articles\doornik hansen - An Omnibus Test for Univariate and Multivariate normality.	pdf			</t>
  </si>
  <si>
    <t xml:space="preserve">40b10ec5d720d27822c7cfef9a87cc79	</t>
  </si>
  <si>
    <t xml:space="preserve">	e:\GoogleDrive\articles\anagrammer\Assembly Language Step by Step code\BYTE2STR.SRC				</t>
  </si>
  <si>
    <t xml:space="preserve">40c02461e0b18205bbc94b1b6e9ebb4d	</t>
  </si>
  <si>
    <t xml:space="preserve">	e:\GoogleDrive\articles\maths\CS683 - Advanced algorithms\lec04.ps				</t>
  </si>
  <si>
    <t xml:space="preserve">40c5b2b72377abb8e3eb42439a9fb88b	</t>
  </si>
  <si>
    <t xml:space="preserve">	e:\GoogleDrive\articles\numericalR\c13-5.pdf				</t>
  </si>
  <si>
    <t xml:space="preserve">40c8ff0757c48536badcd5793e0e809f	</t>
  </si>
  <si>
    <t xml:space="preserve">	e:\GoogleDrive\articles\wilmott\0611_naundorf.pdf				</t>
  </si>
  <si>
    <t xml:space="preserve">40ca67bb6efb67f26cc259a97cd20bc5	</t>
  </si>
  <si>
    <t xml:space="preserve">	e:\GoogleDrive\articles\hanson - stochastic control techniques.pdf				</t>
  </si>
  <si>
    <t xml:space="preserve">40d34044434505facf1804f0eaf5246e	</t>
  </si>
  <si>
    <t xml:space="preserve">	e:\GoogleDrive\articles\Svoboda-LMM_with_SV.pdf				</t>
  </si>
  <si>
    <t xml:space="preserve">40db0872d2bd3206679115d9a33b2956	</t>
  </si>
  <si>
    <t xml:space="preserve">	e:\GoogleDrive\articles\maths - Continuity.doc				</t>
  </si>
  <si>
    <t xml:space="preserve">40e50225a69716a3d80e93939282f090	</t>
  </si>
  <si>
    <t xml:space="preserve">	e:\GoogleDrive\articles\numericalR\c12-2.pdf				</t>
  </si>
  <si>
    <t xml:space="preserve">40f1c31e793841e0986141b0b969fe1b	</t>
  </si>
  <si>
    <t xml:space="preserve">	e:\GoogleDrive\articles\(lecture notes) financial maths\chapter2.pdf				</t>
  </si>
  <si>
    <t xml:space="preserve">	e:\GoogleDrive\articles\lecture (financial mathematics)\chapter2.pdf				</t>
  </si>
  <si>
    <t xml:space="preserve">410bb1e84a3ff188dcb43e0393e4138a	</t>
  </si>
  <si>
    <t xml:space="preserve">	e:\GoogleDrive\articles\masaaki et al - Collateral Posting and Choice of Collateral Currency.pdf				</t>
  </si>
  <si>
    <t xml:space="preserve">410e904ba079690205762042ac6c2b01	</t>
  </si>
  <si>
    <t xml:space="preserve">	e:\GoogleDrive\articles\OJS_file.pdf				</t>
  </si>
  <si>
    <t xml:space="preserve">4114a4e63d8cac7a4f52840de4ebbade	</t>
  </si>
  <si>
    <t xml:space="preserve">	e:\GoogleDrive\articles\wilmott\0805_carreviews.pdf				</t>
  </si>
  <si>
    <t xml:space="preserve">4120d0f5ba34c2d78b779e58e108fbf5	</t>
  </si>
  <si>
    <t xml:space="preserve">	e:\GoogleDrive\articles\har-peled raichel - Net and Prune A Linear Time Algorithm for Euclidean Dis	tan	ce P	ro	blems.pdf</t>
  </si>
  <si>
    <t xml:space="preserve">41408fc3300c793a8bb4fabfe28611ff	</t>
  </si>
  <si>
    <t xml:space="preserve">	e:\GoogleDrive\articles\Ghosh Raychaudhuri - an adaptive approach to filter a time series data.pdf				</t>
  </si>
  <si>
    <t xml:space="preserve">41437b3095af3152c13d22e4ab9bd17f	</t>
  </si>
  <si>
    <t xml:space="preserve">	e:\GoogleDrive\articles\wystupp book\mm\kyprianou.pdf				</t>
  </si>
  <si>
    <t xml:space="preserve">414e9ff91a291db28bb4c11817e290e2	</t>
  </si>
  <si>
    <t xml:space="preserve">	e:\GoogleDrive\articles\(ebook) - Joshi - The concept of mathematical finance.pdf				</t>
  </si>
  <si>
    <t xml:space="preserve">4154c6bb52480b01df2dbb7d0401570e	</t>
  </si>
  <si>
    <t xml:space="preserve">	e:\GoogleDrive\articles\Lamberton Lapeyre Introduction au calcul stochastique appliqu‚ en finance.pd	f			</t>
  </si>
  <si>
    <t xml:space="preserve">415c617c425024d234bdf1046d0cd425	</t>
  </si>
  <si>
    <t xml:space="preserve">	e:\GoogleDrive\articles\Ouwehand West - Pricing rainbow options(2006).pdf				</t>
  </si>
  <si>
    <t xml:space="preserve">4197142dbbf218407ad54a83e8178bab	</t>
  </si>
  <si>
    <t xml:space="preserve">	e:\GoogleDrive\articles\lecture - probability (grinstead and snell)\Chapter7.pdf				</t>
  </si>
  <si>
    <t xml:space="preserve">419de02d423646ed88e1a8ad7d3ab7df	</t>
  </si>
  <si>
    <t xml:space="preserve">	e:\GoogleDrive\articles\latex files\Corridors\Corridors.tex				</t>
  </si>
  <si>
    <t xml:space="preserve">41af92bef05e3c73218f372531114da8	</t>
  </si>
  <si>
    <t xml:space="preserve">	e:\GoogleDrive\articles\cuda\gpu - Kepler GK110 Whitepaper.pdf				</t>
  </si>
  <si>
    <t xml:space="preserve">41b3654216c6cf43f4f5840fc38d2a5d	</t>
  </si>
  <si>
    <t xml:space="preserve">	e:\GoogleDrive\articles\maths sp‚\pr!s_DS2.ppt				</t>
  </si>
  <si>
    <t xml:space="preserve">41f9fa7b71c70340b048b559cc125fd9	</t>
  </si>
  <si>
    <t xml:space="preserve">	e:\GoogleDrive\articles\wilmott\0709_ITO33.pdf				</t>
  </si>
  <si>
    <t xml:space="preserve">420278bfc7ebceb0a3ac93e3e8dd03b4	</t>
  </si>
  <si>
    <t xml:space="preserve">	e:\GoogleDrive\articles\(ebook) - a non random walk down Wall street\chapt6.pdf				</t>
  </si>
  <si>
    <t xml:space="preserve">420a822f002bc914f21d9ff4c6a4c1ab	</t>
  </si>
  <si>
    <t xml:space="preserve">	e:\GoogleDrive\articles\culture generale\economics\macroeconomics\LN - ch4 - golden_rule.pdf				</t>
  </si>
  <si>
    <t xml:space="preserve">42230d8241b8e2a922c5c29641669a13	</t>
  </si>
  <si>
    <t xml:space="preserve">	e:\GoogleDrive\articles\culture generale\Advanced Models for Pricing Interest Rate Derivatives.ppt				</t>
  </si>
  <si>
    <t xml:space="preserve">4224f6d0636e21fd2d489f473e06e838	</t>
  </si>
  <si>
    <t xml:space="preserve">	e:\GoogleDrive\articles\merton72 - An analyticl derivation of the efficient portfoli.pdf				</t>
  </si>
  <si>
    <t xml:space="preserve">425accb151d17956d239b7123daa1d33	</t>
  </si>
  <si>
    <t xml:space="preserve">	e:\GoogleDrive\articles\wilmott\0705_news.pdf				</t>
  </si>
  <si>
    <t xml:space="preserve">426b8bb3ed39cab92c98e8ba53944720	</t>
  </si>
  <si>
    <t xml:space="preserve">	e:\GoogleDrive\articles\Brigo Mercurio Rapisarda - Pricing the smile in a forward LIBOR market mod	el	#NAME?	n.	pdf</t>
  </si>
  <si>
    <t xml:space="preserve">426cf1be41507cba9eb3b62b24bec2e0	</t>
  </si>
  <si>
    <t xml:space="preserve">	e:\GoogleDrive\articles\bergomi - correlations in asynchronous markets.pdf				</t>
  </si>
  <si>
    <t xml:space="preserve">42719251dbadbaa9c38df97b3012337e	</t>
  </si>
  <si>
    <t xml:space="preserve">	e:\GoogleDrive\articles\info - graphics\zorin - mesh data structures.pdf				</t>
  </si>
  <si>
    <t xml:space="preserve">428710cc3f38319a4500adc3ac679f1d	</t>
  </si>
  <si>
    <t xml:space="preserve">	e:\GoogleDrive\articles\info - data mining\david mount - An Optimal Algorithm for Approximate Neares	t N	eigh	bo	r Searching in Fixed Dimensions.pdf</t>
  </si>
  <si>
    <t xml:space="preserve">	e:\GoogleDrive\articles\(phd) hunor\neigbours\dist.pdf				</t>
  </si>
  <si>
    <t xml:space="preserve">429fb6cb29664abbb854ff4331d68144	</t>
  </si>
  <si>
    <t xml:space="preserve">	e:\GoogleDrive\articles\culture generale\economics\econ320\4 - consume.pdf				</t>
  </si>
  <si>
    <t xml:space="preserve">42a29d6658b412b369412db2b29288d9	</t>
  </si>
  <si>
    <t xml:space="preserve">	e:\GoogleDrive\articles\maths\set theory from Cantor to Cohen.ps				</t>
  </si>
  <si>
    <t xml:space="preserve">42a3d495f5ff79fbf46a41b7a0329a07	</t>
  </si>
  <si>
    <t xml:space="preserve">	e:\GoogleDrive\articles\data mining\ng - tods02.ps				</t>
  </si>
  <si>
    <t xml:space="preserve">42aebe4f1be9f7ed28146bcf9fa1dcbd	</t>
  </si>
  <si>
    <t xml:space="preserve">	e:\GoogleDrive\articles\(Ebook) - Maple Operations Research.zip				</t>
  </si>
  <si>
    <t xml:space="preserve">	e:\GoogleDrive\articles\(eBook) Maple - Operations Research.zip				</t>
  </si>
  <si>
    <t xml:space="preserve">42c86c09e2b4be4b99da74b5e8a7780f	</t>
  </si>
  <si>
    <t xml:space="preserve">	e:\GoogleDrive\articles\numericalR\c8-0 Sorting.pdf				</t>
  </si>
  <si>
    <t xml:space="preserve">42c9e077eda294d932c8855c384ba291	</t>
  </si>
  <si>
    <t xml:space="preserve">	e:\GoogleDrive\articles\wilmott\0609_editorial.pdf				</t>
  </si>
  <si>
    <t xml:space="preserve">42cb4aab0e39358cb81c3b716b29c279	</t>
  </si>
  <si>
    <t xml:space="preserve">	e:\GoogleDrive\articles\data mining\ECMLPKDD2004\tutorials\The Distributed Data Mining Bibliography_	fil	es\i	ma	ge001.jpg</t>
  </si>
  <si>
    <t xml:space="preserve">	e:\GoogleDrive\articles\data mining\ECMLPKDD2004\tutorials\The Distributed Data Mining Bibliography_	fil	es\l	og	oheader.jpg</t>
  </si>
  <si>
    <t xml:space="preserve">42d087605b5a8c96b3bf30819f56de3c	</t>
  </si>
  <si>
    <t xml:space="preserve">	e:\GoogleDrive\articles\data mining\ECMLPKDD2004\images\sponsors\logotalent.gif				</t>
  </si>
  <si>
    <t xml:space="preserve">42d41b514904d79e10bd755b28fde7d8	</t>
  </si>
  <si>
    <t xml:space="preserve">	e:\GoogleDrive\articles\wilmott\0311_news.pdf				</t>
  </si>
  <si>
    <t xml:space="preserve">42dfb56b37bc88eda518c5ff728a1ed3	</t>
  </si>
  <si>
    <t xml:space="preserve">	e:\GoogleDrive\articles\latex files\figures\calibrating_k.txt				</t>
  </si>
  <si>
    <t xml:space="preserve">42e4fa8a44b24b0410e1f471b664b71f	</t>
  </si>
  <si>
    <t xml:space="preserve">	e:\GoogleDrive\articles\culture generale\economics\econ320\3 - lucas.pdf				</t>
  </si>
  <si>
    <t xml:space="preserve">42f25b8d60f2f3216a86c5b153560e6f	</t>
  </si>
  <si>
    <t xml:space="preserve">	e:\GoogleDrive\articles\stanford - convex optimisation\backuper.hcs				</t>
  </si>
  <si>
    <t xml:space="preserve">43177fb5f64ec5b0382830ede8a392a8	</t>
  </si>
  <si>
    <t xml:space="preserve">	e:\GoogleDrive\articles\info - graphics\Khoshelham Elberink - Accuracy and Resolution of Kinect Dep	th	Data	f	or Indoor mapping applications.pdf</t>
  </si>
  <si>
    <t xml:space="preserve">432a5b3d128c7f475cb19c27cd25e4c6	</t>
  </si>
  <si>
    <t xml:space="preserve">	e:\GoogleDrive\articles\maths\CS683 - Advanced algorithms\lec18.ps				</t>
  </si>
  <si>
    <t xml:space="preserve">4338c25e6cbe62e8b9f3ba2a4a65112d	</t>
  </si>
  <si>
    <t xml:space="preserve">	e:\GoogleDrive\articles\lecture notes (pittman probas)\levy.pdf				</t>
  </si>
  <si>
    <t xml:space="preserve">43487f602605dbf78202f0e916a2f1ec	</t>
  </si>
  <si>
    <t xml:space="preserve">	e:\GoogleDrive\articles\lecture\Lecture5.pdf				</t>
  </si>
  <si>
    <t xml:space="preserve">435795ddf089e51a220c13375e95840f	</t>
  </si>
  <si>
    <t xml:space="preserve">	e:\GoogleDrive\articles\administratif\caf2.doc				</t>
  </si>
  <si>
    <t xml:space="preserve">436b2976c472ccf2435a20920694f119	</t>
  </si>
  <si>
    <t xml:space="preserve">	e:\GoogleDrive\articles\(eBook) - ingles analysis of algorithms\capitulo14-ingles.pdf				</t>
  </si>
  <si>
    <t xml:space="preserve">436f5b2e55403d23ef8aa06acee670f8	</t>
  </si>
  <si>
    <t xml:space="preserve">	e:\GoogleDrive\articles\(lecture notes) Schwab - Computational Methods for Quantitative finance.pdf				</t>
  </si>
  <si>
    <t xml:space="preserve">437aba1b69ed1cb0189db21e23e58ce9	</t>
  </si>
  <si>
    <t xml:space="preserve">	e:\GoogleDrive\articles\(phd) hunor\phd\nMC.aux				</t>
  </si>
  <si>
    <t xml:space="preserve">437be1b6475e62ba0ee0f1716b72ff3f	</t>
  </si>
  <si>
    <t xml:space="preserve">	e:\GoogleDrive\articles\maths\CS683 - Advanced algorithms\lec21.ps				</t>
  </si>
  <si>
    <t xml:space="preserve">438eb9afa0e18881d8d392755f4e3cf3	</t>
  </si>
  <si>
    <t xml:space="preserve">	e:\GoogleDrive\articles\(eBook) - Jackel\Plot Scripts\Plot				</t>
  </si>
  <si>
    <t xml:space="preserve">439e2673f2615c8c21f791d9538b0eb5	</t>
  </si>
  <si>
    <t xml:space="preserve">	e:\GoogleDrive\articles\wystupp book\mm\CA3M.pdf				</t>
  </si>
  <si>
    <t xml:space="preserve">439fcc7fef6f296269f8d9ac78d2987f	</t>
  </si>
  <si>
    <t xml:space="preserve">	e:\GoogleDrive\articles\maths - trig01.bmp				</t>
  </si>
  <si>
    <t xml:space="preserve">43aefe4e8c92f404439287b664d4b538	</t>
  </si>
  <si>
    <t xml:space="preserve">	e:\GoogleDrive\articles\wilmott\0505_coverstory.pdf				</t>
  </si>
  <si>
    <t xml:space="preserve">43b10846386bd5f68b2cec67ad9ac866	</t>
  </si>
  <si>
    <t xml:space="preserve">	e:\GoogleDrive\articles\latex files\girsanov.tex				</t>
  </si>
  <si>
    <t xml:space="preserve">43b9e1deb92a6ccc8de5288c65a70085	</t>
  </si>
  <si>
    <t xml:space="preserve">	e:\GoogleDrive\articles\wilmott\0407_haug_lrg.pdf				</t>
  </si>
  <si>
    <t xml:space="preserve">43c013d17d529756ab1994a1ef388a68	</t>
  </si>
  <si>
    <t xml:space="preserve">	e:\GoogleDrive\articles\cours finance\cours10.ps				</t>
  </si>
  <si>
    <t xml:space="preserve">43c2ba29d30bf8471fe05bfbc49dbaab	</t>
  </si>
  <si>
    <t xml:space="preserve">	e:\GoogleDrive\articles\lobaskin\P.Kaufman.Trading Systems &amp; Methods\Kaufman - Trading Systems &amp; Met	hod	s -	Ch	ap02 24-28.doc</t>
  </si>
  <si>
    <t xml:space="preserve">43c36c605eb9022c7a22913daf3049e6	</t>
  </si>
  <si>
    <t xml:space="preserve">	e:\GoogleDrive\articles\kwon lewis - picing barrier options with FDM and MC.pdf				</t>
  </si>
  <si>
    <t xml:space="preserve">43ce736e0d4312dc754adbce99b2e307	</t>
  </si>
  <si>
    <t xml:space="preserve">	e:\GoogleDrive\articles\(ebook) Go - cho-2-intermediate-mobile.pdf				</t>
  </si>
  <si>
    <t xml:space="preserve">43dd0257def741cc0019356288ed5a1c	</t>
  </si>
  <si>
    <t xml:space="preserve">	e:\GoogleDrive\articles\info - graphics\Prusinkiewicz hammel hanan mech - L-systems from the theo	ry	to v	is	ual models of plants (1996).pdf</t>
  </si>
  <si>
    <t xml:space="preserve">43f3caee9ebcafc3bd37b8bc579de43c	</t>
  </si>
  <si>
    <t xml:space="preserve">	e:\GoogleDrive\articles\(eBook) - statistical methods\chapter01.pdf				</t>
  </si>
  <si>
    <t xml:space="preserve">4412f3357e13e49748e0eb97c61c7696	</t>
  </si>
  <si>
    <t xml:space="preserve">	e:\GoogleDrive\articles\libcurl in visual_studio.pdf				</t>
  </si>
  <si>
    <t xml:space="preserve">441a15f1bf4a247ffadeec8ada425231	</t>
  </si>
  <si>
    <t xml:space="preserve">	e:\GoogleDrive\articles\numericalR\c14-5.pdf				</t>
  </si>
  <si>
    <t xml:space="preserve">441b01f500fc202ed8af5bd63d9bdb15	</t>
  </si>
  <si>
    <t xml:space="preserve">	e:\GoogleDrive\articles\(ebook) Go - gzp1-mobile.pdf				</t>
  </si>
  <si>
    <t xml:space="preserve">4423fc1753f66603354f1f661a47459a	</t>
  </si>
  <si>
    <t xml:space="preserve">	e:\GoogleDrive\articles\matacz - Path Dependent Option Pricing the path integral partial averaging	met	hod.	pd	f</t>
  </si>
  <si>
    <t xml:space="preserve">442c53a3a5d876317572aa3e629ffadb	</t>
  </si>
  <si>
    <t xml:space="preserve">	e:\GoogleDrive\articles\lecture - probability (grinstead and snell)\Chapter4.pdf				</t>
  </si>
  <si>
    <t xml:space="preserve">445579371a9ce109cb63f56d3b98a9e7	</t>
  </si>
  <si>
    <t xml:space="preserve">	e:\GoogleDrive\articles\maths - trig05.bmp				</t>
  </si>
  <si>
    <t xml:space="preserve">44671ec4d6d97a97044f3c2da40130d7	</t>
  </si>
  <si>
    <t xml:space="preserve">	e:\GoogleDrive\articles\kcl seminars\Pricing and hedging in carbon emissions markets.pdf				</t>
  </si>
  <si>
    <t xml:space="preserve">4467d4b6d60745fb0508fb06c55f309c	</t>
  </si>
  <si>
    <t xml:space="preserve">	e:\GoogleDrive\articles\(ebook) selesnick burrus - Digital Signal Processing Handbook\09.pdf				</t>
  </si>
  <si>
    <t xml:space="preserve">4470ee63fb901eef773892082fe9218b	</t>
  </si>
  <si>
    <t xml:space="preserve">	e:\GoogleDrive\articles\stresstesting\Stephan%20Bellarz.pdf				</t>
  </si>
  <si>
    <t xml:space="preserve">44722d9e84e16433b3c3b7fd3427e25a	</t>
  </si>
  <si>
    <t xml:space="preserve">	e:\GoogleDrive\articles\(eBook) - statistical methods\chapter12.pdf				</t>
  </si>
  <si>
    <t xml:space="preserve">447b231493e0859eb3f95aef335452ce	</t>
  </si>
  <si>
    <t xml:space="preserve">	e:\GoogleDrive\articles\london school of economics &amp; political science (dpt of mathemati\solution Mo	ck.	pdf		</t>
  </si>
  <si>
    <t xml:space="preserve">448c59fa6d678dd4f94703ffb42bfa57	</t>
  </si>
  <si>
    <t xml:space="preserve">	e:\GoogleDrive\articles\(ebook) mardal - automated solutions of differetial equation.pdf				</t>
  </si>
  <si>
    <t xml:space="preserve">44a31b2c04ed6e85051407b0914d419f	</t>
  </si>
  <si>
    <t xml:space="preserve">	e:\GoogleDrive\articles\moodys - correlation_emp_assesment - prn.pdf				</t>
  </si>
  <si>
    <t xml:space="preserve">44b4cc2c8cd7239497a69b85b69fe314	</t>
  </si>
  <si>
    <t xml:space="preserve">	e:\GoogleDrive\articles\brigo - chapter6 - prn.pdf				</t>
  </si>
  <si>
    <t xml:space="preserve">44baff400e1be9ee0caafef9befbde91	</t>
  </si>
  <si>
    <t xml:space="preserve">	e:\GoogleDrive\articles\Lourakis - minimization levenmar mar.pdf				</t>
  </si>
  <si>
    <t xml:space="preserve">44bd73f4564fa1087756cbae87495536	</t>
  </si>
  <si>
    <t xml:space="preserve">	e:\GoogleDrive\articles\wilmott\0403_bookreviews.pdf				</t>
  </si>
  <si>
    <t xml:space="preserve">44c5b118bfac94785c70fdc3eec73b61	</t>
  </si>
  <si>
    <t xml:space="preserve">	e:\GoogleDrive\articles\(phd) hunor\phd\hackle\ICDM'03\sigkkdd.bbl				</t>
  </si>
  <si>
    <t xml:space="preserve">44dcc126f9a1a38b5b8b778d6463fe46	</t>
  </si>
  <si>
    <t xml:space="preserve">	e:\GoogleDrive\articles\(eBook) kolb koch - Dynamic 3D Imaging.pdf				</t>
  </si>
  <si>
    <t xml:space="preserve">44e039d875b3aa111d7f80cee3c08684	</t>
  </si>
  <si>
    <t xml:space="preserve">	e:\GoogleDrive\articles\lobaskin\P.Kaufman.Trading Systems &amp; Methods\Kaufman - Trading Systems &amp; Met	hod	s -	Ch	ap02 4-13.doc</t>
  </si>
  <si>
    <t xml:space="preserve">44e09149d42ff342e5cf73673a63c589	</t>
  </si>
  <si>
    <t xml:space="preserve">	e:\GoogleDrive\articles\cont tabkov - calibration of jump diffusion models.pdf				</t>
  </si>
  <si>
    <t xml:space="preserve">	e:\GoogleDrive\articles\entropy\cont1.pdf				</t>
  </si>
  <si>
    <t xml:space="preserve">	e:\GoogleDrive\articles\wystupp book\mm\cont1.pdf				</t>
  </si>
  <si>
    <t xml:space="preserve">44e935f114f81697a176cf9295297abb	</t>
  </si>
  <si>
    <t xml:space="preserve">	e:\GoogleDrive\articles\data mining\ECMLPKDD2004\workshops\W2.pdf				</t>
  </si>
  <si>
    <t xml:space="preserve">44fe606b6f5b8e76c2108004d8d7b598	</t>
  </si>
  <si>
    <t xml:space="preserve">	e:\GoogleDrive\articles\global derivatives 2008\ziggy jonsson - correlation trading.pdf				</t>
  </si>
  <si>
    <t xml:space="preserve">45031efaf3a9c7ca302f4e1c16893a46	</t>
  </si>
  <si>
    <t xml:space="preserve">	e:\GoogleDrive\articles\(eBook) - statistical methods\chapter08.pdf				</t>
  </si>
  <si>
    <t xml:space="preserve">4506395ed7e58501b07b3403dbee5f87	</t>
  </si>
  <si>
    <t xml:space="preserve">	e:\GoogleDrive\articles\culture generale\economics\econ320\6 - rbc.pdf				</t>
  </si>
  <si>
    <t xml:space="preserve">450b226a8ebd202cd6682a626e76d8ae	</t>
  </si>
  <si>
    <t xml:space="preserve">	e:\GoogleDrive\articles\JarrowRudd_OptPrice_withSkewKurt.pdf				</t>
  </si>
  <si>
    <t xml:space="preserve">451cd485cbb253950b02d095bfc0b3b4	</t>
  </si>
  <si>
    <t xml:space="preserve">	e:\GoogleDrive\articles\chan golub leveque - updatinf formulae and pairwise algorithm for computin	g s	ampl	e	variances.pdf</t>
  </si>
  <si>
    <t xml:space="preserve">	e:\GoogleDrive\articles\Chan Golub LeVeque - UPDATING FORMULAE AND A PAIRWISE ALGORITHM FOR COMPUT	ING	SAM	PL	E VARIANCES.pdf</t>
  </si>
  <si>
    <t xml:space="preserve">	e:\GoogleDrive\articles\chan golub leveque - Updating Formulae and a Pnirwise Algorithm for comput	ing	sam	pl	e variances.pdf</t>
  </si>
  <si>
    <t xml:space="preserve">4529246075fa530784282e68ca62a64a	</t>
  </si>
  <si>
    <t xml:space="preserve">	e:\GoogleDrive\articles\info - graphics\clockwise orderin of polygons.docx				</t>
  </si>
  <si>
    <t xml:space="preserve">4535df1b36010db2a4f46109c398e6d2	</t>
  </si>
  <si>
    <t xml:space="preserve">	e:\GoogleDrive\articles\(ebook) Go - cho-1-elementary.pdf				</t>
  </si>
  <si>
    <t xml:space="preserve">	e:\GoogleDrive\articles\hobby\Go - Cho Chikun Vol1 - Encyclopedia of life and death - elementary pro	ble	ms.p	df	</t>
  </si>
  <si>
    <t xml:space="preserve">455eb038021ea22cfd50ac853e455869	</t>
  </si>
  <si>
    <t xml:space="preserve">	e:\GoogleDrive\articles\schoenmakers - calibration of LIBOR models to caps and swaptions a way arou	nd	intr	in	sic istabilities via parsimonious structures and a collateral market criterion.pdf</t>
  </si>
  <si>
    <t xml:space="preserve">456cabfe5d03b3b042a4d999c71729ad	</t>
  </si>
  <si>
    <t xml:space="preserve">	e:\GoogleDrive\articles\info - algo\wagner broenink - RTnet A Flexible Hard Real-Time Networking F	ram	ewor	k.	pdf</t>
  </si>
  <si>
    <t xml:space="preserve">457af9908fca8c6a1bb1d3ad5e9f90c7	</t>
  </si>
  <si>
    <t xml:space="preserve">	e:\GoogleDrive\articles\burdzy - excursions laws and exceptional points of brownian paths.pdf				</t>
  </si>
  <si>
    <t xml:space="preserve">459b51b53629cb5e64b8199e3f46a460	</t>
  </si>
  <si>
    <t xml:space="preserve">	e:\GoogleDrive\articles\(phd) hunor\phd\backuper.hcs				</t>
  </si>
  <si>
    <t xml:space="preserve">45a043787adbe53bdbacd8c75612fbff	</t>
  </si>
  <si>
    <t xml:space="preserve">	e:\GoogleDrive\articles\maths\311Galois - prn.pdf				</t>
  </si>
  <si>
    <t xml:space="preserve">45a06cb0eee808644e95ced2bb2f0b82	</t>
  </si>
  <si>
    <t xml:space="preserve">	e:\GoogleDrive\articles\Skoula Borthwick - Overcoming the Difficulties Related to the Discretizatio	n o	f Co	mp	licated Topologies via the Advancing Front Technique.pdf</t>
  </si>
  <si>
    <t xml:space="preserve">45a47848e8bd30c6d1013f9948ca09cb	</t>
  </si>
  <si>
    <t xml:space="preserve">	e:\GoogleDrive\articles\wilmott\0811_bogni.pdf				</t>
  </si>
  <si>
    <t xml:space="preserve">45cdaec42132b0dc7dad54d22a89f304	</t>
  </si>
  <si>
    <t xml:space="preserve">	e:\GoogleDrive\articles\(eBook) A Practical Programming Model for the Multi-Core Era.pdf				</t>
  </si>
  <si>
    <t xml:space="preserve">45d65ba578ee5c2dff20c432b85f20f6	</t>
  </si>
  <si>
    <t xml:space="preserve">	e:\GoogleDrive\articles\(phd) hunor\phd\bibliography.blg				</t>
  </si>
  <si>
    <t xml:space="preserve">45eccc9a815533fa66d9f7bb46687ed7	</t>
  </si>
  <si>
    <t xml:space="preserve">	e:\GoogleDrive\articles\kawai jackel - An Asymptotic FX Option Formula in the Cross Currency Libor	Mar	ket	Mo	del.pdf</t>
  </si>
  <si>
    <t xml:space="preserve">	e:\GoogleDrive\articles\wilmott\0703_jackel.pdf				</t>
  </si>
  <si>
    <t xml:space="preserve">45f5e0e5c622000b498758ce7f0137fb	</t>
  </si>
  <si>
    <t xml:space="preserve">	e:\GoogleDrive\articles\(ebook) Go - gokyoshumyo.pdf				</t>
  </si>
  <si>
    <t xml:space="preserve">45f9fe81bbc801453a4c7dcf82252dc7	</t>
  </si>
  <si>
    <t xml:space="preserve">	e:\GoogleDrive\articles\(ebook) selesnick burrus - Digital Signal Processing Handbook\26.pdf				</t>
  </si>
  <si>
    <t xml:space="preserve">45fcc9833d0d92ef449d732c3e43d2b6	</t>
  </si>
  <si>
    <t xml:space="preserve">	e:\GoogleDrive\articles\(phd) hunor\phd\hackle\ICDM'03\sigkkdd.tex				</t>
  </si>
  <si>
    <t xml:space="preserve">460dccd5c890c622094ae599335a6d21	</t>
  </si>
  <si>
    <t xml:space="preserve">	e:\GoogleDrive\articles\bergomi - bergomi - correlations in asynchronous markets - presentation.pdf				</t>
  </si>
  <si>
    <t xml:space="preserve">46108ec10b98ab9a624e758fec2e3b4f	</t>
  </si>
  <si>
    <t xml:space="preserve">	e:\GoogleDrive\articles\Notes on Elementary Number Theory\11 - cong.ps				</t>
  </si>
  <si>
    <t xml:space="preserve">462bf8cae6fbba496b063c6d77500dd1	</t>
  </si>
  <si>
    <t xml:space="preserve">	e:\GoogleDrive\articles\Notes on Elementary Number Theory\22 - subciph.ps				</t>
  </si>
  <si>
    <t xml:space="preserve">4631e460f1f2b580e0a811863aaff952	</t>
  </si>
  <si>
    <t xml:space="preserve">	e:\GoogleDrive\articles\(ebook) - Handbook of applied cryptography\chap15.pdf				</t>
  </si>
  <si>
    <t xml:space="preserve">463a0cac3bae3a847281e1bf203dbcf7	</t>
  </si>
  <si>
    <t xml:space="preserve">	e:\GoogleDrive\articles\wilmott\0709_hpc.pdf				</t>
  </si>
  <si>
    <t xml:space="preserve">463bf25a2356661f8d515969e9327a72	</t>
  </si>
  <si>
    <t xml:space="preserve">	e:\GoogleDrive\articles\meyer desbrun schroder barr - Discrete Differential Geometry Operators fo	r T	rian	gu	lated 2-Manifolds.pdf</t>
  </si>
  <si>
    <t xml:space="preserve">463eda4ab8ad84236f587279dfb52e2d	</t>
  </si>
  <si>
    <t xml:space="preserve">	e:\GoogleDrive\articles\math - Lognormal distribution.doc				</t>
  </si>
  <si>
    <t xml:space="preserve">46425b3a37831365264ed87a8044272e	</t>
  </si>
  <si>
    <t xml:space="preserve">	e:\GoogleDrive\articles\administratif\rachat pret.doc				</t>
  </si>
  <si>
    <t xml:space="preserve">4665c601d81f0db0ffb5c0f25b5b499d	</t>
  </si>
  <si>
    <t xml:space="preserve">	e:\GoogleDrive\articles\wilmott\0805_coverstory.pdf				</t>
  </si>
  <si>
    <t xml:space="preserve">4677bb09425471e0fecd4f2619b68dc2	</t>
  </si>
  <si>
    <t xml:space="preserve">	e:\GoogleDrive\articles\Thalmann Shen Chauvineau - Fast Realistic Human Body Deformations for Anim	ati	on a	nd	VR Applications.pdf</t>
  </si>
  <si>
    <t xml:space="preserve">467f5c5ff048216446c34a334be8c175	</t>
  </si>
  <si>
    <t xml:space="preserve">	e:\GoogleDrive\articles\maths - Fourier Transform Properties.doc				</t>
  </si>
  <si>
    <t xml:space="preserve">468281b450267537be712bf83743221e	</t>
  </si>
  <si>
    <t xml:space="preserve">	e:\GoogleDrive\articles\wilmott\0805_jain.pdf				</t>
  </si>
  <si>
    <t xml:space="preserve">4693ce1ba9217d3f92f1fc7f06442bb4	</t>
  </si>
  <si>
    <t xml:space="preserve">	e:\GoogleDrive\articles\Brown - fun with measure theory.pdf				</t>
  </si>
  <si>
    <t xml:space="preserve">46ca1474e09ddd8c068092585ed945cb	</t>
  </si>
  <si>
    <t xml:space="preserve">	e:\GoogleDrive\articles\numericalR\c1-0.pdf				</t>
  </si>
  <si>
    <t xml:space="preserve">46e47ae12de7641d240194916911f5f4	</t>
  </si>
  <si>
    <t xml:space="preserve">	e:\GoogleDrive\articles\wilmott\0611_editorial.pdf				</t>
  </si>
  <si>
    <t xml:space="preserve">46f3e733ee2f96626348fc88fa498bfa	</t>
  </si>
  <si>
    <t xml:space="preserve">	e:\GoogleDrive\articles\(eBook) - Jackel\PrimitivePolynomialsModuloTwo\TRANS.TBL				</t>
  </si>
  <si>
    <t xml:space="preserve">46fa36fa370d86010a3c976466e3e12f	</t>
  </si>
  <si>
    <t xml:space="preserve">	e:\GoogleDrive\articles\culture generale\economics\macroeconomics\LN_ch2.pdf				</t>
  </si>
  <si>
    <t xml:space="preserve">46fc45bc4a87e9797f78d6fd02bc589a	</t>
  </si>
  <si>
    <t xml:space="preserve">	e:\GoogleDrive\articles\piterbarg- a stochastic volatility LMM with a term structure of volatility s	mil	es -	p	rn.pdf</t>
  </si>
  <si>
    <t xml:space="preserve">471532a754136c6e93bf15c6658affb3	</t>
  </si>
  <si>
    <t xml:space="preserve">	e:\GoogleDrive\articles\maths\lemmermayer\hwntha2.pdf				</t>
  </si>
  <si>
    <t xml:space="preserve">4719847eee3b1aa82eb061e3d072f720	</t>
  </si>
  <si>
    <t xml:space="preserve">	e:\GoogleDrive\articles\maths\CS683 - Advanced algorithms\lec12.ps				</t>
  </si>
  <si>
    <t xml:space="preserve">471aadf7e497713235bf1febc4b963b2	</t>
  </si>
  <si>
    <t xml:space="preserve">	e:\GoogleDrive\articles\grubisic pietersz - Efficient Rank Reduction of Correlation Matrices.pdf				</t>
  </si>
  <si>
    <t xml:space="preserve">4722008dda274dee6c5487fe43d1e04a	</t>
  </si>
  <si>
    <t xml:space="preserve">	e:\GoogleDrive\articles\global risk 2007\day3\Lionel Greene.zip				</t>
  </si>
  <si>
    <t xml:space="preserve">4722ec723f55c1a841faaedb2b153855	</t>
  </si>
  <si>
    <t xml:space="preserve">	e:\GoogleDrive\articles\wilmott\0407_haug.pdf				</t>
  </si>
  <si>
    <t xml:space="preserve">472a0ebb2dd4d70f228a9e4100d3defc	</t>
  </si>
  <si>
    <t xml:space="preserve">	e:\GoogleDrive\articles\wystup - Foreign exchange rainbow options; how the Greeks would have hedged	cor	rela	ti	on risk.ps</t>
  </si>
  <si>
    <t xml:space="preserve">4742f5b9065c9c89f030e6da1358cfd5	</t>
  </si>
  <si>
    <t xml:space="preserve">	e:\GoogleDrive\articles\faure - variations of (0 s)-sequences.ps				</t>
  </si>
  <si>
    <t xml:space="preserve">474a8a548d2725e74b0e6b97903a3e4b	</t>
  </si>
  <si>
    <t xml:space="preserve">	e:\GoogleDrive\articles\lobaskin\P.Kaufman.Trading Systems &amp; Methods\Kaufman - Trading Systems &amp; Met	hod	s -	Bi	blog.doc</t>
  </si>
  <si>
    <t xml:space="preserve">474f15e40d3d02331baa78ab00d4da80	</t>
  </si>
  <si>
    <t xml:space="preserve">	e:\GoogleDrive\articles\wilmott\0605_ouwehand.pdf				</t>
  </si>
  <si>
    <t xml:space="preserve">475c55655dbd58793f4c4754aaa8b018	</t>
  </si>
  <si>
    <t xml:space="preserve">	e:\GoogleDrive\articles\vcubebbg4.pdf				</t>
  </si>
  <si>
    <t xml:space="preserve">476a639204f200787bdff321af1f43ce	</t>
  </si>
  <si>
    <t xml:space="preserve">	e:\GoogleDrive\articles\maths sp‚\chapitre03 - suites.pdf				</t>
  </si>
  <si>
    <t xml:space="preserve">4770bd7f189bca64cd41f1261a68cb8b	</t>
  </si>
  <si>
    <t xml:space="preserve">	e:\GoogleDrive\articles\wilmott\0509_Guillaume.pdf				</t>
  </si>
  <si>
    <t xml:space="preserve">478fc964e5bc66658342d6c824e012bf	</t>
  </si>
  <si>
    <t xml:space="preserve">	e:\GoogleDrive\articles\Blattberg74 - A comparison.pdf				</t>
  </si>
  <si>
    <t xml:space="preserve">4799ba7bc8544d9269b144ced61d5af4	</t>
  </si>
  <si>
    <t xml:space="preserve">	e:\GoogleDrive\articles\(phd) hunor\phd\README				</t>
  </si>
  <si>
    <t xml:space="preserve">47a341a3ee40dbfefa9b7a8c601b03c1	</t>
  </si>
  <si>
    <t xml:space="preserve">	e:\GoogleDrive\articles\cdf of multivariate normal distribution.pdf				</t>
  </si>
  <si>
    <t xml:space="preserve">47b0a5290863ceca6056383898763e7c	</t>
  </si>
  <si>
    <t xml:space="preserve">	e:\GoogleDrive\articles\zivot - Split-Sample Score Tests in Linear Instrumental variables regression	.pd	f		</t>
  </si>
  <si>
    <t xml:space="preserve">47c727cdaca89fddfb91d4208cc9bb0c	</t>
  </si>
  <si>
    <t xml:space="preserve">	e:\GoogleDrive\articles\(phd) hunor\phd\figures\hackleValidation1.eps				</t>
  </si>
  <si>
    <t xml:space="preserve">47c7845f7395f3865ab1b440edddd805	</t>
  </si>
  <si>
    <t xml:space="preserve">	e:\GoogleDrive\articles\wilmott\0701_albrecher.pdf				</t>
  </si>
  <si>
    <t xml:space="preserve">47dd812ebd47a350f279a66c271690fa	</t>
  </si>
  <si>
    <t xml:space="preserve">	e:\GoogleDrive\articles\anagrammer\Assembly Language Step by Step code\VIDBLAST.ASM				</t>
  </si>
  <si>
    <t xml:space="preserve">47e4d64b660bdaf9cb12053c0c22bebd	</t>
  </si>
  <si>
    <t xml:space="preserve">	e:\GoogleDrive\articles\lobaskin\P.Kaufman.Trading Systems &amp; Methods\Kaufman - Trading Systems &amp; Met	hod	s -	Ch	ap21.doc</t>
  </si>
  <si>
    <t xml:space="preserve">47f4f6a57606a78993e6be60ab1c972d	</t>
  </si>
  <si>
    <t xml:space="preserve">	e:\GoogleDrive\articles\stresstesting\Toby%20Goodworth.pdf				</t>
  </si>
  <si>
    <t xml:space="preserve">47fb28b28816ac8915727983cdd2de7a	</t>
  </si>
  <si>
    <t xml:space="preserve">	e:\GoogleDrive\articles\barrier - bbg_vannavolgafxcorrections.pdf				</t>
  </si>
  <si>
    <t xml:space="preserve">47fc0315f87ce6456656f83f629d21f5	</t>
  </si>
  <si>
    <t xml:space="preserve">	e:\GoogleDrive\articles\wilmott\0709_haug.pdf				</t>
  </si>
  <si>
    <t xml:space="preserve">480102c0775efc1d22b3920587595568	</t>
  </si>
  <si>
    <t xml:space="preserve">	e:\GoogleDrive\articles\wilmott\0609_coverstory.pdf				</t>
  </si>
  <si>
    <t xml:space="preserve">481fab8038054d46b81781f15c209246	</t>
  </si>
  <si>
    <t xml:space="preserve">	e:\GoogleDrive\articles\Notes on Elementary Number Theory\02 - sumnot.ps				</t>
  </si>
  <si>
    <t xml:space="preserve">483366ee3ff2c10e06a5171dfd9d29f3	</t>
  </si>
  <si>
    <t xml:space="preserve">	e:\GoogleDrive\articles\hagan - callable range notes methodology.pdf				</t>
  </si>
  <si>
    <t xml:space="preserve">4838c15dfabf8f64028ff76018c68f93	</t>
  </si>
  <si>
    <t xml:space="preserve">	e:\GoogleDrive\articles\global risk 2007\day1\16.50 Henry-Labordere FINAL.pdf				</t>
  </si>
  <si>
    <t xml:space="preserve">48459e24eae4a1264e1da1adf87f2199	</t>
  </si>
  <si>
    <t xml:space="preserve">	e:\GoogleDrive\articles\chan chen - Structural and Return Characteristics of Small and large firms	(19	91).	pd	f</t>
  </si>
  <si>
    <t xml:space="preserve">484c1a5cf829317ca62214a40e9771e1	</t>
  </si>
  <si>
    <t xml:space="preserve">	e:\GoogleDrive\articles\global derivatives 2008\peter jaeckel - discrete gamma pool paper.pdf				</t>
  </si>
  <si>
    <t xml:space="preserve">48564128b6aa7d93c639e71cdc593bd2	</t>
  </si>
  <si>
    <t xml:space="preserve">	e:\GoogleDrive\articles\wilmott\0407_bogni.pdf				</t>
  </si>
  <si>
    <t xml:space="preserve">4862d147b0ae3021c9b61f2ea9f79c62	</t>
  </si>
  <si>
    <t xml:space="preserve">	e:\GoogleDrive\articles\wystupp book\mm\pdappjc.pdf				</t>
  </si>
  <si>
    <t xml:space="preserve">48af0d863c7babbfbc3849553a3ef843	</t>
  </si>
  <si>
    <t xml:space="preserve">	e:\GoogleDrive\articles\culture generale\economics\lecture\reading\ch6 - christiano.pdf				</t>
  </si>
  <si>
    <t xml:space="preserve">48bc9d2d8366860121c37fce15a2c7f6	</t>
  </si>
  <si>
    <t xml:space="preserve">	e:\GoogleDrive\articles\info - algo\Fletcher - The Kalman filter explained.pdf				</t>
  </si>
  <si>
    <t xml:space="preserve">48ca465f3c7c1ff0753b8dd659bfb99a	</t>
  </si>
  <si>
    <t xml:space="preserve">	e:\GoogleDrive\articles\info - algo\maple - sde.pdf				</t>
  </si>
  <si>
    <t xml:space="preserve">48cd561c4d1c64a5d43ce2173834737a	</t>
  </si>
  <si>
    <t xml:space="preserve">	e:\GoogleDrive\articles\global risk 2007\day2\Nasir Afaf - Paper.pdf				</t>
  </si>
  <si>
    <t xml:space="preserve">48de551e48df779c015fad76a7d93a20	</t>
  </si>
  <si>
    <t xml:space="preserve">	e:\GoogleDrive\articles\(eBook) Topper - Financial engineering with finite elements.pdf				</t>
  </si>
  <si>
    <t xml:space="preserve">48f91d786b34ffd127a3cc2888cebb1c	</t>
  </si>
  <si>
    <t xml:space="preserve">	e:\GoogleDrive\articles\balland hughston - Markov Market Model Consistent with cap smile.pdf				</t>
  </si>
  <si>
    <t xml:space="preserve">48ff25a1455a841b71c35d54ad3e1ff9	</t>
  </si>
  <si>
    <t xml:space="preserve">	e:\GoogleDrive\articles\Shiu Yao - Closed form formulas for generalised CIR.pdf				</t>
  </si>
  <si>
    <t xml:space="preserve">	e:\GoogleDrive\articles\Shiu Yao - closed form formulas for generalized CIR.pdf				</t>
  </si>
  <si>
    <t xml:space="preserve">4910aa5d9745166f4825b53782e2a6ac	</t>
  </si>
  <si>
    <t xml:space="preserve">	e:\GoogleDrive\articles\wilmott\0409_bookreviews.pdf				</t>
  </si>
  <si>
    <t xml:space="preserve">491826dc39c5315029c7cc443574e8e5	</t>
  </si>
  <si>
    <t xml:space="preserve">	e:\GoogleDrive\articles\london school of economics &amp; political science (dpt of mathemati\Exam Mock.p	df			</t>
  </si>
  <si>
    <t xml:space="preserve">4919fb2585f1a2cb27a677c6d3780cb0	</t>
  </si>
  <si>
    <t xml:space="preserve">	e:\GoogleDrive\articles\wilmott\0407_coverstory.pdf				</t>
  </si>
  <si>
    <t xml:space="preserve">492943cc921423d948f1dd204285fe39	</t>
  </si>
  <si>
    <t xml:space="preserve">	e:\GoogleDrive\articles\(eBook) - ingles analysis of algorithms\capitulo16-ingles.pdf				</t>
  </si>
  <si>
    <t xml:space="preserve">493879e9b7d06eed453d8f769f4f85ab	</t>
  </si>
  <si>
    <t xml:space="preserve">	e:\GoogleDrive\articles\culture generale\economics\lecture\reading\ch6 - mankiw.pdf				</t>
  </si>
  <si>
    <t xml:space="preserve">	e:\GoogleDrive\articles\culture generale\economics\lecture\reading\mankiw.pdf				</t>
  </si>
  <si>
    <t xml:space="preserve">4957890022c5ed314bddabdf549739ad	</t>
  </si>
  <si>
    <t xml:space="preserve">	e:\GoogleDrive\articles\numericalR\c9-5.pdf				</t>
  </si>
  <si>
    <t xml:space="preserve">496d84412a5af3b24a742da4a05dbe2b	</t>
  </si>
  <si>
    <t xml:space="preserve">	e:\GoogleDrive\articles\(eBook) Jeffrey Scott Vitter - Algorithms and data structures for external m	emo	ry.p	df	</t>
  </si>
  <si>
    <t xml:space="preserve">496d9471129901f155fbcc91e69daf19	</t>
  </si>
  <si>
    <t xml:space="preserve">	e:\GoogleDrive\articles\wilmott\0703_nag.pdf				</t>
  </si>
  <si>
    <t xml:space="preserve">497047d5cdcedc35c4eed7187a93a650	</t>
  </si>
  <si>
    <t xml:space="preserve">	e:\GoogleDrive\articles\(phd) hunor\phd\figures\eusa5.eps				</t>
  </si>
  <si>
    <t xml:space="preserve">49c0f529b262ce44b55b2bad5aec01bd	</t>
  </si>
  <si>
    <t xml:space="preserve">	e:\GoogleDrive\articles\wilmott\0807_bookclub.pdf				</t>
  </si>
  <si>
    <t xml:space="preserve">49e231ac34a68650df0dada45f631e09	</t>
  </si>
  <si>
    <t xml:space="preserve">	e:\GoogleDrive\articles\lecture (financial mathematics)\backuper.hcs				</t>
  </si>
  <si>
    <t xml:space="preserve">49e889ba225cf3bb1137c46a13271aec	</t>
  </si>
  <si>
    <t xml:space="preserve">	e:\GoogleDrive\articles\Fisher Black and Myron Scholes - The pricing of options and .pdf				</t>
  </si>
  <si>
    <t xml:space="preserve">49eac1c03854475a591cf36ec4022bb4	</t>
  </si>
  <si>
    <t xml:space="preserve">	e:\GoogleDrive\articles\min kwok wu- shouting policies.pdf				</t>
  </si>
  <si>
    <t xml:space="preserve">49edc48bf95e8ae0984594af39b7f7e4	</t>
  </si>
  <si>
    <t xml:space="preserve">	e:\GoogleDrive\articles\wilmott\0309_prast.pdf				</t>
  </si>
  <si>
    <t xml:space="preserve">49ee098968d45feac431fb3a14269a16	</t>
  </si>
  <si>
    <t xml:space="preserve">	e:\GoogleDrive\articles\demeterfi derman kamal zhou - more than you ever anted to know about vola	til	ity	sw	aps.pdf</t>
  </si>
  <si>
    <t xml:space="preserve">	e:\GoogleDrive\articles\derman - more than you ever wanted to know about volatility swaps.pdf				</t>
  </si>
  <si>
    <t xml:space="preserve">4a026ceef50199c87760b16ed5907e87	</t>
  </si>
  <si>
    <t xml:space="preserve">	e:\GoogleDrive\articles\latex files\the dvega methodology03b.tex				</t>
  </si>
  <si>
    <t xml:space="preserve">4a04c2fd6752d1dc1404c16ccd2aa1d5	</t>
  </si>
  <si>
    <t xml:space="preserve">	e:\GoogleDrive\articles\ebook with cev chapter\Chapter7 - B&amp;S.doc				</t>
  </si>
  <si>
    <t xml:space="preserve">4a099a8d2551df5ff86ff03c42c46fde	</t>
  </si>
  <si>
    <t xml:space="preserve">	e:\GoogleDrive\articles\maths\exercices\ps3.pdf				</t>
  </si>
  <si>
    <t xml:space="preserve">4a37f1575a5dd72b02a7cbd437bfa1f0	</t>
  </si>
  <si>
    <t xml:space="preserve">	e:\GoogleDrive\articles\derman - risk-regimes_of_volatility.pdf				</t>
  </si>
  <si>
    <t xml:space="preserve">4a52b307d3151c03ca5fbe92a54883b5	</t>
  </si>
  <si>
    <t xml:space="preserve">	e:\GoogleDrive\articles\(phd) hunor\phd\figures\systemeDeTrading.eps				</t>
  </si>
  <si>
    <t xml:space="preserve">4a53225459ac937e1e81e377b05e505e	</t>
  </si>
  <si>
    <t xml:space="preserve">	e:\GoogleDrive\articles\wilmott\0303_haug.pdf				</t>
  </si>
  <si>
    <t xml:space="preserve">4a62f69d710a9d3bb8f285e16abeb28f	</t>
  </si>
  <si>
    <t xml:space="preserve">	e:\GoogleDrive\articles\(phd) hunor\phd\hackle\balancing08.doc				</t>
  </si>
  <si>
    <t xml:space="preserve">4a6fdd2aebb67a13b08b2f76668d4482	</t>
  </si>
  <si>
    <t xml:space="preserve">	e:\GoogleDrive\articles\data mining\ECMLPKDD2004\images\sponsors\logokluwer.gif				</t>
  </si>
  <si>
    <t xml:space="preserve">4a9b8c2e7e4c935a51ba52880a834adc	</t>
  </si>
  <si>
    <t xml:space="preserve">	e:\GoogleDrive\articles\LMM with smile - mercurio (shifted lognormal).pdf				</t>
  </si>
  <si>
    <t xml:space="preserve">4ad4664d4b3f479a008a587f02b4ef8d	</t>
  </si>
  <si>
    <t xml:space="preserve">	e:\GoogleDrive\articles\wilmott\0503_news.pdf				</t>
  </si>
  <si>
    <t xml:space="preserve">4ad73ad17dd44130019e91446d5b8579	</t>
  </si>
  <si>
    <t xml:space="preserve">	e:\GoogleDrive\articles\imf publications\backuper.hcs				</t>
  </si>
  <si>
    <t xml:space="preserve">4b0156a7280dca832a5a78ce06e30eda	</t>
  </si>
  <si>
    <t xml:space="preserve">	e:\GoogleDrive\articles\(phd) hunor\phd\hackle\kleene.ppt				</t>
  </si>
  <si>
    <t xml:space="preserve">4b028a20b52640a52c5855a8ae1cbaaf	</t>
  </si>
  <si>
    <t xml:space="preserve">	e:\GoogleDrive\articles\jensen svenstrup - Efficient Control Variates and Strategies for Bermudan S	wap	tion	s	in a Libor Market Model (2002).pdf</t>
  </si>
  <si>
    <t xml:space="preserve">4b0a4303ba9be62ddaa0a824059fa7e0	</t>
  </si>
  <si>
    <t xml:space="preserve">	e:\GoogleDrive\articles\(phd) hunor\phd\hackle\ICDM'03\Version_longue1.doc				</t>
  </si>
  <si>
    <t xml:space="preserve">4b18b70604d2bd349884f8572789144a	</t>
  </si>
  <si>
    <t xml:space="preserve">	e:\GoogleDrive\articles\inflation - ssrn-id583642.pdf				</t>
  </si>
  <si>
    <t xml:space="preserve">4b1a922e0b5c10c75af8e3e5b6073a06	</t>
  </si>
  <si>
    <t xml:space="preserve">	e:\GoogleDrive\articles\west - SABR for risk management.pdf				</t>
  </si>
  <si>
    <t xml:space="preserve">4b2779a18d1fc1cfe72a46697137aa34	</t>
  </si>
  <si>
    <t xml:space="preserve">	e:\GoogleDrive\articles\(ebook) selesnick burrus - Digital Signal Processing Handbook\77.pdf				</t>
  </si>
  <si>
    <t xml:space="preserve">4b556ee315770834d41a3898d36a106b	</t>
  </si>
  <si>
    <t xml:space="preserve">	e:\GoogleDrive\articles\wilmott\0807_sybase.pdf				</t>
  </si>
  <si>
    <t xml:space="preserve">4b6a441055841b7486dd66d06863fb78	</t>
  </si>
  <si>
    <t xml:space="preserve">	e:\GoogleDrive\articles\Fourier Series Solution Of The Heat Equation.pdf				</t>
  </si>
  <si>
    <t xml:space="preserve">4b70811d1e875a4f2b8800291d6066ff	</t>
  </si>
  <si>
    <t xml:space="preserve">	e:\GoogleDrive\articles\articles carl.zip				</t>
  </si>
  <si>
    <t xml:space="preserve">4b7ed8efc8a7634e9518a6cbed822791	</t>
  </si>
  <si>
    <t xml:space="preserve">	e:\GoogleDrive\articles\wilmott\0305_travel.pdf				</t>
  </si>
  <si>
    <t xml:space="preserve">4badad621a836d0c991db84ab5153fa0	</t>
  </si>
  <si>
    <t xml:space="preserve">	e:\GoogleDrive\articles\wilmott\0805_drz.pdf				</t>
  </si>
  <si>
    <t xml:space="preserve">4bbc7bba0d79d81baf92e84028325bb4	</t>
  </si>
  <si>
    <t xml:space="preserve">	e:\GoogleDrive\articles\lobaskin\rebonato - plight of the fortune tellers.pdf				</t>
  </si>
  <si>
    <t xml:space="preserve">4bc52077b7cf3ba62ff4e9b7a06a0e8b	</t>
  </si>
  <si>
    <t xml:space="preserve">	e:\GoogleDrive\articles\(phd) hunor\phd\hackle\ICDM'03\optimisations.doc				</t>
  </si>
  <si>
    <t xml:space="preserve">4bc767ed29fa390ac8288e6e1f84239a	</t>
  </si>
  <si>
    <t xml:space="preserve">	e:\GoogleDrive\articles\administratif\cpam.doc				</t>
  </si>
  <si>
    <t xml:space="preserve">4bcfb39e4daa8cdce7150df6f0169eed	</t>
  </si>
  <si>
    <t xml:space="preserve">	e:\GoogleDrive\articles\Mathematical Foundations of Computer Science 2009.pdf				</t>
  </si>
  <si>
    <t xml:space="preserve">4bd21b5547fd85a7ccbfd89c8b10891b	</t>
  </si>
  <si>
    <t xml:space="preserve">	e:\GoogleDrive\articles\Thaler &amp; de Bondt 85- Does stock market overreact.ps				</t>
  </si>
  <si>
    <t xml:space="preserve">4be58b3b2af80959289af98b0c2ec4a1	</t>
  </si>
  <si>
    <t xml:space="preserve">	e:\GoogleDrive\articles\(eBook) - Brigo Mercurio - Interest Rate Models Theory and Practice.pdf				</t>
  </si>
  <si>
    <t xml:space="preserve">	e:\GoogleDrive\articles\(eBook) Brigo Mercurio - Interest Rate Models Theory and Practice.pdf				</t>
  </si>
  <si>
    <t xml:space="preserve">4c260495f6472c69ff1992547c38bb80	</t>
  </si>
  <si>
    <t xml:space="preserve">	e:\GoogleDrive\articles\hagan - Probability Distribution in the SABR HAGAN model.pdf				</t>
  </si>
  <si>
    <t xml:space="preserve">4c3f99c7355583d489dcf5303ceb6836	</t>
  </si>
  <si>
    <t xml:space="preserve">	e:\GoogleDrive\articles\culture generale\imf - wp03245 - prn.pdf				</t>
  </si>
  <si>
    <t xml:space="preserve">4c49ed639b860233fd19cd433676d580	</t>
  </si>
  <si>
    <t xml:space="preserve">	e:\GoogleDrive\articles\wilmott\0607_carreviews.pdf				</t>
  </si>
  <si>
    <t xml:space="preserve">4c5c54b27a9aec78fbb647e8d2b029fd	</t>
  </si>
  <si>
    <t xml:space="preserve">	e:\GoogleDrive\articles\magdon ismail et al. - On the Maximum Drawdown of a Brownian.pdf				</t>
  </si>
  <si>
    <t xml:space="preserve">4c5e5eb4fbdf24fcc7e0cf7ea2309a5b	</t>
  </si>
  <si>
    <t xml:space="preserve">	e:\GoogleDrive\articles\anagrammer\Assembly Language Step by Step code\EAT5.ASM				</t>
  </si>
  <si>
    <t xml:space="preserve">4c5fb8ee95f889a7a45c42620d997343	</t>
  </si>
  <si>
    <t xml:space="preserve">	e:\GoogleDrive\articles\wilmott\0309_editorial.pdf				</t>
  </si>
  <si>
    <t xml:space="preserve">4c641d5b07489873b8e7f91d7402cafe	</t>
  </si>
  <si>
    <t xml:space="preserve">	e:\GoogleDrive\articles\cours finance\cours05.ps				</t>
  </si>
  <si>
    <t xml:space="preserve">4c670c49c316934646d0ad26ac573a03	</t>
  </si>
  <si>
    <t xml:space="preserve">	e:\GoogleDrive\articles\wilmott\0601_ziemba.pdf				</t>
  </si>
  <si>
    <t xml:space="preserve">4c6dd7b39489a39f00dac9a711fd7d2e	</t>
  </si>
  <si>
    <t xml:space="preserve">	e:\GoogleDrive\articles\administratif\Piscine de Nanterre.doc				</t>
  </si>
  <si>
    <t xml:space="preserve">4c8714c09929a014e27e3f1d99bfc58a	</t>
  </si>
  <si>
    <t xml:space="preserve">	e:\GoogleDrive\articles\wilmott\0511_potter.pdf				</t>
  </si>
  <si>
    <t xml:space="preserve">4c8af17f450a6bceb239b27e0772e31e	</t>
  </si>
  <si>
    <t xml:space="preserve">	e:\GoogleDrive\articles\numericalR\c13-11.pdf				</t>
  </si>
  <si>
    <t xml:space="preserve">4c9973dafadb6b3e8c7a2a756edce0a4	</t>
  </si>
  <si>
    <t xml:space="preserve">	e:\GoogleDrive\articles\maths\lemmermayer\hwf03.pdf				</t>
  </si>
  <si>
    <t xml:space="preserve">4ca058f5cad007576b38063299326120	</t>
  </si>
  <si>
    <t xml:space="preserve">	e:\GoogleDrive\articles\maths\CS683 - Advanced algorithms\lec10.ps				</t>
  </si>
  <si>
    <t xml:space="preserve">4cc9fd405b7c575b44eae82da91dc369	</t>
  </si>
  <si>
    <t xml:space="preserve">	e:\GoogleDrive\articles\kleinert - path integrals 12.pdf				</t>
  </si>
  <si>
    <t xml:space="preserve">4cecc52139afa591f0aa16127ef6c5b5	</t>
  </si>
  <si>
    <t xml:space="preserve">	e:\GoogleDrive\articles\wilmott\2002_09_54to56_Kent_Osband.pdf				</t>
  </si>
  <si>
    <t xml:space="preserve">4d038a4f0a115e5e6d0dd3bc6274d57d	</t>
  </si>
  <si>
    <t xml:space="preserve">	e:\GoogleDrive\articles\ribeiro webber - Valuing path dependent options by MC with a gamma bridgeg.	pdf			</t>
  </si>
  <si>
    <t xml:space="preserve">4d1a873e5b3a9eabd645d5003bb69814	</t>
  </si>
  <si>
    <t xml:space="preserve">	e:\GoogleDrive\articles\wilmott\0703_drz.pdf				</t>
  </si>
  <si>
    <t xml:space="preserve">4d1fc7dfc8cd2abdd0691927b4b61d9d	</t>
  </si>
  <si>
    <t xml:space="preserve">	e:\GoogleDrive\articles\lu han feng - Stock movement prediction and N-dimensional Inter-Transactio	n a	ssoc	ia	tion rules - prn.pdf</t>
  </si>
  <si>
    <t xml:space="preserve">4d213b4d453b99e4ec93705513145db7	</t>
  </si>
  <si>
    <t xml:space="preserve">	e:\GoogleDrive\articles\lu lorasso schaffer warren - Dual Contouring of Hermite Data (sigg 2004).	pdf			</t>
  </si>
  <si>
    <t xml:space="preserve">4d2c1f88135847cafe1ee6e980351990	</t>
  </si>
  <si>
    <t xml:space="preserve">	e:\GoogleDrive\articles\(eBook) - Jackel\AUTORUN.INF				</t>
  </si>
  <si>
    <t xml:space="preserve">4d3350872b17f0dfce65edadbf322b50	</t>
  </si>
  <si>
    <t xml:space="preserve">	e:\GoogleDrive\articles\wilmott\0409_news.pdf				</t>
  </si>
  <si>
    <t xml:space="preserve">4d5576bd605e5cb16687c35aff4718c0	</t>
  </si>
  <si>
    <t xml:space="preserve">	e:\GoogleDrive\articles\data mining\ECMLPKDD2004\images\sideMenuToBright.png				</t>
  </si>
  <si>
    <t xml:space="preserve">	e:\GoogleDrive\articles\data mining\ECMLPKDD2004\images\sponsors\sideMenuToBright.png				</t>
  </si>
  <si>
    <t xml:space="preserve">4d583cf8fb0685732c1df3573e206901	</t>
  </si>
  <si>
    <t xml:space="preserve">	e:\GoogleDrive\articles\Notes on Elementary Number Theory\09 - factor.ps				</t>
  </si>
  <si>
    <t xml:space="preserve">4d78f1432411af36c2bb39c2e661bbc6	</t>
  </si>
  <si>
    <t xml:space="preserve">	e:\GoogleDrive\articles\pilz schlogl - Calibration of the Multi-Currency LIBOR Market Model.pdf				</t>
  </si>
  <si>
    <t xml:space="preserve">4d86509373dcf0c51cbd3ef05b08c5ab	</t>
  </si>
  <si>
    <t xml:space="preserve">	e:\GoogleDrive\articles\wilmott\0501_drz.pdf				</t>
  </si>
  <si>
    <t xml:space="preserve">4d8f05951f859bb28eab048d28be4100	</t>
  </si>
  <si>
    <t xml:space="preserve">	e:\GoogleDrive\articles\wilmott\0503_awards2004.pdf				</t>
  </si>
  <si>
    <t xml:space="preserve">4dab8ea46529ba567255d9c9cf3783e4	</t>
  </si>
  <si>
    <t xml:space="preserve">	e:\GoogleDrive\articles\wilmott\2002_09_38to42_Antimatter.pdf				</t>
  </si>
  <si>
    <t xml:space="preserve">4db3abdcd9ec89f0010c22f532ae1b41	</t>
  </si>
  <si>
    <t xml:space="preserve">	e:\GoogleDrive\articles\info - graphics\hughes cottrell bazilevs - Isogeometric analysis CAD fini	te	elem	en	ts nurbs exact geometry and mesh refinement.pdf</t>
  </si>
  <si>
    <t xml:space="preserve">4de54b6183944a4664f5f62f9e1fac73	</t>
  </si>
  <si>
    <t xml:space="preserve">	e:\GoogleDrive\articles\(phd) hunor\phd\figures\fptreeExample1.eps				</t>
  </si>
  <si>
    <t xml:space="preserve">4dea750757ecb74138ad4ea73c5e9861	</t>
  </si>
  <si>
    <t xml:space="preserve">	e:\GoogleDrive\articles\wilmott\0311_martin.pdf				</t>
  </si>
  <si>
    <t xml:space="preserve">4e1d1c84a5cdcc8fe2270d0f2ad2770d	</t>
  </si>
  <si>
    <t xml:space="preserve">	e:\GoogleDrive\articles\mercurio moreni - stochastic inflation.pdf				</t>
  </si>
  <si>
    <t xml:space="preserve">4e1ea90c864546d8b692eac45e48459a	</t>
  </si>
  <si>
    <t xml:space="preserve">	e:\GoogleDrive\articles\(ebook) selesnick burrus - Digital Signal Processing Handbook\56.pdf				</t>
  </si>
  <si>
    <t xml:space="preserve">4e2011b005776fcd782583f811b02c17	</t>
  </si>
  <si>
    <t xml:space="preserve">	e:\GoogleDrive\articles\culture generale\economics\lecture\reading\ch10 - cogley.pdf				</t>
  </si>
  <si>
    <t xml:space="preserve">4e22859a3b4bfb1714e192f0963acb30	</t>
  </si>
  <si>
    <t xml:space="preserve">	e:\GoogleDrive\articles\info - graphics\Kolahdouzan shahabi - Voronoi-Based K Nearest Neighbor Sear	ch	for	Sp	atial Network databases.pdf</t>
  </si>
  <si>
    <t xml:space="preserve">4e2e46da5531f7deec46f2a9b68f5c99	</t>
  </si>
  <si>
    <t xml:space="preserve">	e:\GoogleDrive\articles\wilmott\0609_das.pdf				</t>
  </si>
  <si>
    <t xml:space="preserve">4e2f39a18830beba636bc7f5b9e7d258	</t>
  </si>
  <si>
    <t xml:space="preserve">	e:\GoogleDrive\articles\Andersen Leif B.G - A Simple Approach to the Pricing of Bermudan Swaptions	in	the	Mu	lti-Factor Libor Market Model.pdf</t>
  </si>
  <si>
    <t xml:space="preserve">4e482438967ba57049fd7a74e049e9df	</t>
  </si>
  <si>
    <t xml:space="preserve">	e:\GoogleDrive\articles\data mining\ECMLPKDD2004\images\sponsors\logoprovincialucca.gif				</t>
  </si>
  <si>
    <t xml:space="preserve">4e547f547a9346ddf1e57d7dd55fd796	</t>
  </si>
  <si>
    <t xml:space="preserve">	e:\GoogleDrive\articles\wilmott\0407_collector.pdf				</t>
  </si>
  <si>
    <t xml:space="preserve">4e763f9a80552bf8dd5ece664aff5944	</t>
  </si>
  <si>
    <t xml:space="preserve">	e:\GoogleDrive\articles\fast hierarchical methods for the n-body problem.ps				</t>
  </si>
  <si>
    <t xml:space="preserve">4e76fe6bd3991dea821653a76807c016	</t>
  </si>
  <si>
    <t xml:space="preserve">	e:\GoogleDrive\articles\zivot - Predicting Stock Volatility Using After-Hours Information .pdf				</t>
  </si>
  <si>
    <t xml:space="preserve">4e7cc7192a7a24b580f321cb3c9a3116	</t>
  </si>
  <si>
    <t xml:space="preserve">	e:\GoogleDrive\articles\andersen et all - realized volatility and correlation.pdf				</t>
  </si>
  <si>
    <t xml:space="preserve">	e:\GoogleDrive\articles\Andersena Bollerslevb Dieboldc Labysd - realized volatility and correlatio	n (	1999	).	pdf</t>
  </si>
  <si>
    <t xml:space="preserve">4e8682a0af98f358d8687c298721f1dc	</t>
  </si>
  <si>
    <t xml:space="preserve">	e:\GoogleDrive\articles\maths\CS683 - Advanced algorithms\lec03.ps				</t>
  </si>
  <si>
    <t xml:space="preserve">4e896639157c18c331c34ee4749421b8	</t>
  </si>
  <si>
    <t xml:space="preserve">	e:\GoogleDrive\articles\chiarella kwon - FORWARD RATE DEPENDENT MARKOVIAN TRANSFORMATIONS OF THE HJ	M T	ERM	ST	RUCTURE MODEL.pdf</t>
  </si>
  <si>
    <t xml:space="preserve">4ea022968e2ff79b92306fd4cd154099	</t>
  </si>
  <si>
    <t xml:space="preserve">	e:\GoogleDrive\articles\wilmott\0411_duffy.pdf				</t>
  </si>
  <si>
    <t xml:space="preserve">4ea1cef02611aa0e7dfcb2ee69bf17f4	</t>
  </si>
  <si>
    <t xml:space="preserve">	e:\GoogleDrive\articles\nonparametric density estimation.pdf				</t>
  </si>
  <si>
    <t xml:space="preserve">4ebc2b39175fa017e4f8c8a96212bb5a	</t>
  </si>
  <si>
    <t xml:space="preserve">	e:\GoogleDrive\articles\course - eroor detecting and correcting codes.ps				</t>
  </si>
  <si>
    <t xml:space="preserve">4ed47e413633dd081aee623bd5691bab	</t>
  </si>
  <si>
    <t xml:space="preserve">	e:\GoogleDrive\articles\mark rubinstein\A Case of Confused Identity.doc				</t>
  </si>
  <si>
    <t xml:space="preserve">4ed5c70c6b4313db6b41b377b2450e8c	</t>
  </si>
  <si>
    <t xml:space="preserve">	e:\GoogleDrive\articles\longstaff schwartz - valuing american options by simulation a simple least	sq	uare	s	approach.pdf</t>
  </si>
  <si>
    <t xml:space="preserve">4eff8919719abac5294caac0e2cbbfb4	</t>
  </si>
  <si>
    <t xml:space="preserve">	e:\GoogleDrive\articles\(eBook) - Jackel\NormalDistribution\TRANS.TBL				</t>
  </si>
  <si>
    <t xml:space="preserve">4f101ed2801e95ba4536a2c8b87ba767	</t>
  </si>
  <si>
    <t xml:space="preserve">	e:\GoogleDrive\articles\journal of computational finance\v10n2a4.pdf				</t>
  </si>
  <si>
    <t xml:space="preserve">4f1029ed44f76c5249b5dddeb9630f16	</t>
  </si>
  <si>
    <t xml:space="preserve">	e:\GoogleDrive\articles\wilmott\0511_henard.pdf				</t>
  </si>
  <si>
    <t xml:space="preserve">4fa175cf2682a27d2b2a610a9d50f015	</t>
  </si>
  <si>
    <t xml:space="preserve">	e:\GoogleDrive\articles\bossu - introduction to variance swaps.pdf				</t>
  </si>
  <si>
    <t xml:space="preserve">	e:\GoogleDrive\articles\wilmott\0603_bossu.pdf				</t>
  </si>
  <si>
    <t xml:space="preserve">4fb9ba4b02aae7721b31a49117a525ca	</t>
  </si>
  <si>
    <t xml:space="preserve">	e:\GoogleDrive\articles\hagan lesniewski - LMM with SABR style volatility.pdf				</t>
  </si>
  <si>
    <t xml:space="preserve">4fd558327f2323aae187e6a2ad82bda0	</t>
  </si>
  <si>
    <t xml:space="preserve">	e:\GoogleDrive\articles\numericalR\backuper.hcs				</t>
  </si>
  <si>
    <t xml:space="preserve">4fdf443fb407d93a15ffe1f7b4254f95	</t>
  </si>
  <si>
    <t xml:space="preserve">	e:\GoogleDrive\articles\wilmott\0305_javaheri.pdf				</t>
  </si>
  <si>
    <t xml:space="preserve">501507068458c89b0ab6609eda827d7a	</t>
  </si>
  <si>
    <t xml:space="preserve">	e:\GoogleDrive\articles\(eBook) - statistical methods\chapter15.pdf				</t>
  </si>
  <si>
    <t xml:space="preserve">502ac6cc740f652efed87527bf1ec1d4	</t>
  </si>
  <si>
    <t xml:space="preserve">	e:\GoogleDrive\articles\global risk 2007\day3\Mark Broadie - Paper for website 1.zip				</t>
  </si>
  <si>
    <t xml:space="preserve">503a3172ade6fa9b06e20e66d8e6cb89	</t>
  </si>
  <si>
    <t xml:space="preserve">	e:\GoogleDrive\articles\maths\xcheng\week16.pdf				</t>
  </si>
  <si>
    <t xml:space="preserve">5054f488cb01bc43ca967d0950aceb11	</t>
  </si>
  <si>
    <t xml:space="preserve">	e:\GoogleDrive\articles\(ebook) selesnick burrus - Digital Signal Processing Handbook\55.pdf				</t>
  </si>
  <si>
    <t xml:space="preserve">50689180a2eb8c1f377b82f615ad4499	</t>
  </si>
  <si>
    <t xml:space="preserve">	e:\GoogleDrive\articles\(phd) hunor\phd\figures\expressionTree.eps				</t>
  </si>
  <si>
    <t xml:space="preserve">506fcaa85f7cebf55208fe64a95db15c	</t>
  </si>
  <si>
    <t xml:space="preserve">	e:\GoogleDrive\articles\administratif\caf - AH8057.pdf				</t>
  </si>
  <si>
    <t xml:space="preserve">5074265cd42baa8038ada08f1d7d6f36	</t>
  </si>
  <si>
    <t xml:space="preserve">	e:\GoogleDrive\articles\(eBook) - Cont Tankov Financial Modelling with Jumps Processes [2005].djvu				</t>
  </si>
  <si>
    <t xml:space="preserve">50794cd97bdbdae4a23385cf41c63e39	</t>
  </si>
  <si>
    <t xml:space="preserve">	e:\GoogleDrive\articles\info - graphics\dong wang - curvature estimations on triangular meshes.pdf				</t>
  </si>
  <si>
    <t xml:space="preserve">509174d5fa4392fa12de99e7d99e6363	</t>
  </si>
  <si>
    <t xml:space="preserve">	e:\GoogleDrive\articles\ahn wilmott - passport options.ps				</t>
  </si>
  <si>
    <t xml:space="preserve">	e:\GoogleDrive\articles\passport options.ps				</t>
  </si>
  <si>
    <t xml:space="preserve">50ab32803ca9ebdbccbf4fd9aa6b19b6	</t>
  </si>
  <si>
    <t xml:space="preserve">	e:\GoogleDrive\articles\goldys &amp; musiela - Lognormality of rates and term structure .pdf				</t>
  </si>
  <si>
    <t xml:space="preserve">50c5ff367ab93e40dfdb427f4ec230dc	</t>
  </si>
  <si>
    <t xml:space="preserve">	e:\GoogleDrive\articles\brace musiela schlogl - A Simulation Algorithm Based on Measure Relationsh	ips	in	th	e Lognormal market models.pdf</t>
  </si>
  <si>
    <t xml:space="preserve">50d8ba7d0f6359af454d4f91268e1f81	</t>
  </si>
  <si>
    <t xml:space="preserve">	e:\GoogleDrive\articles\info - graphics\Buchin Devillers Mulzer Schrijvers Shewchuk - Vertex Del	eti	on f	or	3D Delaunay Triangulations.pdf</t>
  </si>
  <si>
    <t xml:space="preserve">50dc02997dafcd36c9e85a72d5595d84	</t>
  </si>
  <si>
    <t xml:space="preserve">	e:\GoogleDrive\articles\(phd) hunor\phd\hackle\ICDM'03\Styles\sigproc-sp.tex				</t>
  </si>
  <si>
    <t xml:space="preserve">50ff139cc14619918fd77bcf487da10a	</t>
  </si>
  <si>
    <t xml:space="preserve">	e:\GoogleDrive\articles\culture generale\economics\macroeconomics\LN - ch15 - ifc.pdf				</t>
  </si>
  <si>
    <t xml:space="preserve">511f1f7077f8567919401f77776d52c4	</t>
  </si>
  <si>
    <t xml:space="preserve">	e:\GoogleDrive\articles\mark rubinstein\Markowitz.doc				</t>
  </si>
  <si>
    <t xml:space="preserve">512c484584f160ad21745e037b354782	</t>
  </si>
  <si>
    <t xml:space="preserve">	e:\GoogleDrive\articles\brownian bridge\621.ps.Z				</t>
  </si>
  <si>
    <t xml:space="preserve">51423580f598d1c3a0a1460801b47ff8	</t>
  </si>
  <si>
    <t xml:space="preserve">	e:\GoogleDrive\articles\culture generale\mitra nguyen - Estimating Surface Normals in Noisy Point C	lou	d Da	ta	.pdf</t>
  </si>
  <si>
    <t xml:space="preserve">5142d9b5513b9d616942cae432281257	</t>
  </si>
  <si>
    <t xml:space="preserve">	e:\GoogleDrive\articles\wilmott\0607_nail.pdf				</t>
  </si>
  <si>
    <t xml:space="preserve">514eca960d5a4c644b84d7d739f5454b	</t>
  </si>
  <si>
    <t xml:space="preserve">	e:\GoogleDrive\articles\(eBook) - Financial Applications Using Excel Add-in Development in CC++.pdf				</t>
  </si>
  <si>
    <t xml:space="preserve">	e:\GoogleDrive\articles\(ebook) - Steve Dalton - Financial Applications Using Excel Add-in Developme	nt	in C	C+	+.pdf</t>
  </si>
  <si>
    <t xml:space="preserve">5152c91aac8987d2b9539f0dd7bfcb17	</t>
  </si>
  <si>
    <t xml:space="preserve">	e:\GoogleDrive\articles\anagrammer\Assembly Language Step by Step code\SAM.TXT				</t>
  </si>
  <si>
    <t xml:space="preserve">5152fba712fded92d3caf1c3aaee779a	</t>
  </si>
  <si>
    <t xml:space="preserve">	e:\GoogleDrive\articles\Mecklin Mundfrom - An Appraisal and Bibliography of Tests for Multivariate	Nor	mali	ty	.pdf</t>
  </si>
  <si>
    <t xml:space="preserve">51881023a114653b08e36c2e0b6eaaaa	</t>
  </si>
  <si>
    <t xml:space="preserve">	e:\GoogleDrive\articles\(eBook) - ingles analysis of algorithms\capitulo1.pdf				</t>
  </si>
  <si>
    <t xml:space="preserve">518de513ac58031be8a7b8e2e79430fe	</t>
  </si>
  <si>
    <t xml:space="preserve">	e:\GoogleDrive\articles\global derivatives 2008\leif andersen - commodities.pdf				</t>
  </si>
  <si>
    <t xml:space="preserve">519d774ad79be93b483de843fdafb146	</t>
  </si>
  <si>
    <t xml:space="preserve">	e:\GoogleDrive\articles\wilmott\0803_datasynapse.pdf				</t>
  </si>
  <si>
    <t xml:space="preserve">51b6cac52ff5c95df3b2ddb3931d1865	</t>
  </si>
  <si>
    <t xml:space="preserve">	e:\GoogleDrive\articles\protter - finance.ps				</t>
  </si>
  <si>
    <t xml:space="preserve">51c397ccb2794106265bc7da33d6fdad	</t>
  </si>
  <si>
    <t xml:space="preserve">	e:\GoogleDrive\articles\anagrammer\Effective C++ 2ed and More Effective C++.zip				</t>
  </si>
  <si>
    <t xml:space="preserve">51c53aa39046b576d64a87f0fd6fea50	</t>
  </si>
  <si>
    <t xml:space="preserve">	e:\GoogleDrive\articles\history of the BS formula.pdf				</t>
  </si>
  <si>
    <t xml:space="preserve">51d16608403b0d156aa340705ef7e1eb	</t>
  </si>
  <si>
    <t xml:space="preserve">	e:\GoogleDrive\articles\brownian bridge\density.pdf				</t>
  </si>
  <si>
    <t xml:space="preserve">51d20a51d4e388524ddf81c2513bc367	</t>
  </si>
  <si>
    <t xml:space="preserve">	e:\GoogleDrive\articles\brownian bridge\539.ps.Z				</t>
  </si>
  <si>
    <t xml:space="preserve">51d2dd52aed97f2ae21721229be43423	</t>
  </si>
  <si>
    <t xml:space="preserve">	e:\GoogleDrive\articles\milne\math676 - algenraic Number theory.pdf				</t>
  </si>
  <si>
    <t xml:space="preserve">51d3d7140bb878502a0df9710c4b4288	</t>
  </si>
  <si>
    <t xml:space="preserve">	e:\GoogleDrive\articles\Avellaneda - Minimum entropy calibration of asset pricing models.pdf				</t>
  </si>
  <si>
    <t xml:space="preserve">51e707de928b0c0fe1bd0c812b0932d6	</t>
  </si>
  <si>
    <t xml:space="preserve">	e:\GoogleDrive\articles\latex files\figures\sensitivity.ps				</t>
  </si>
  <si>
    <t xml:space="preserve">522504abd82d304f8eddda92de40a163	</t>
  </si>
  <si>
    <t xml:space="preserve">	e:\GoogleDrive\articles\wilmott\0701_wolf.pdf				</t>
  </si>
  <si>
    <t xml:space="preserve">523fd29f1d712e845e2458d7bc17fa9b	</t>
  </si>
  <si>
    <t xml:space="preserve">	e:\GoogleDrive\articles\irving - Plagiarism and Collusion Detection using the Smith-Waterman Algorit	hm.	pdf		</t>
  </si>
  <si>
    <t xml:space="preserve">5248bb7a728b534b8587e87269906775	</t>
  </si>
  <si>
    <t xml:space="preserve">	e:\GoogleDrive\articles\wilmott\0605_brown.pdf				</t>
  </si>
  <si>
    <t xml:space="preserve">5248db8c91cf31ce72990344b8123e0e	</t>
  </si>
  <si>
    <t xml:space="preserve">	e:\GoogleDrive\articles\Notes on Elementary Number Theory\20 - divfun.ps				</t>
  </si>
  <si>
    <t xml:space="preserve">525fcac1db5eafc44543401bec65c38a	</t>
  </si>
  <si>
    <t xml:space="preserve">	e:\GoogleDrive\articles\brownian bridge\barrier_options.pdf				</t>
  </si>
  <si>
    <t xml:space="preserve">5260dc52b172f393c5f527beee43c1b1	</t>
  </si>
  <si>
    <t xml:space="preserve">	e:\GoogleDrive\articles\BCZ - pricing and hedging americal option by MC methods using malliavin calc	ulu	s.pd	f	</t>
  </si>
  <si>
    <t xml:space="preserve">526a02181bcd3663aa9be6618874e26c	</t>
  </si>
  <si>
    <t xml:space="preserve">	e:\GoogleDrive\articles\wilmott\0709_tavella.pdf				</t>
  </si>
  <si>
    <t xml:space="preserve">526b76e4f5771180e463c0f74f7b01a7	</t>
  </si>
  <si>
    <t xml:space="preserve">	e:\GoogleDrive\articles\wilmott\0611_coverstory.pdf				</t>
  </si>
  <si>
    <t xml:space="preserve">52725df80bcaf8077b98242765940000	</t>
  </si>
  <si>
    <t xml:space="preserve">	e:\GoogleDrive\articles\barraquand93 - numerical valuation of high dimensional european securities.p	df			</t>
  </si>
  <si>
    <t xml:space="preserve">5273537852b6836918691c3f6f3d7f3d	</t>
  </si>
  <si>
    <t xml:space="preserve">	e:\GoogleDrive\articles\wilmott\0309_bookreviews.pdf				</t>
  </si>
  <si>
    <t xml:space="preserve">52856e7719ed9a88708725f35b39bd95	</t>
  </si>
  <si>
    <t xml:space="preserve">	e:\GoogleDrive\articles\section1.pdf				</t>
  </si>
  <si>
    <t xml:space="preserve">5286d66622e0917a135902f239235b60	</t>
  </si>
  <si>
    <t xml:space="preserve">	e:\GoogleDrive\articles\CGAL - On the design of CGAL a computational geometry algorithms library.pd	f			</t>
  </si>
  <si>
    <t xml:space="preserve">	e:\GoogleDrive\articles\Fabri Giezeman Kettner Schirra Schonherr - On the design of CGAL a comp	uta	tion	al	geometry algorithms library.pdf</t>
  </si>
  <si>
    <t xml:space="preserve">	e:\GoogleDrive\articles\info - graphics\cgal design.pdf				</t>
  </si>
  <si>
    <t xml:space="preserve">529ee6b08585f4b8cb5292adad59dc30	</t>
  </si>
  <si>
    <t xml:space="preserve">	e:\GoogleDrive\articles\wilmott\0705_albanese.pdf				</t>
  </si>
  <si>
    <t xml:space="preserve">52b33dcc4af450bf2c67056b8c2d3490	</t>
  </si>
  <si>
    <t xml:space="preserve">	e:\GoogleDrive\articles\Heston93 - stochastic volatility - prn.pdf				</t>
  </si>
  <si>
    <t xml:space="preserve">52b5c3894166e14051a35f0ecb75ee38	</t>
  </si>
  <si>
    <t xml:space="preserve">	e:\GoogleDrive\articles\info - graphics\nguyen - Implicit surface tension model for stimulation of i	nte	rfac	ia	l flows.pdf</t>
  </si>
  <si>
    <t xml:space="preserve">52c491e118824d2c308e47469e8b0eb6	</t>
  </si>
  <si>
    <t xml:space="preserve">	e:\GoogleDrive\articles\(phd) hunor\phd\hackle\ICDM'03\autre.bib				</t>
  </si>
  <si>
    <t xml:space="preserve">52d11ab0c93d5a6c7c0ca6c911d83e7d	</t>
  </si>
  <si>
    <t xml:space="preserve">	e:\GoogleDrive\articles\mark rubinstein\Asset Allocation Conference Summary.doc				</t>
  </si>
  <si>
    <t xml:space="preserve">52e15d732356a862b81afb3dadbd40ef	</t>
  </si>
  <si>
    <t xml:space="preserve">	e:\GoogleDrive\articles\anagrammer\Exceptional C++.chm				</t>
  </si>
  <si>
    <t xml:space="preserve">52faf6f8a970303395adbe6e153053ab	</t>
  </si>
  <si>
    <t xml:space="preserve">	e:\GoogleDrive\articles\wilmott\0505_staunton.pdf				</t>
  </si>
  <si>
    <t xml:space="preserve">52fe0b6d71cea83f7c4d7cee4611cd27	</t>
  </si>
  <si>
    <t xml:space="preserve">	e:\GoogleDrive\articles\pricing derivatives the martingale way - prn.pdf				</t>
  </si>
  <si>
    <t xml:space="preserve">530afa037c551683a2e33484671e1903	</t>
  </si>
  <si>
    <t xml:space="preserve">	e:\GoogleDrive\articles\(eBook) - kwok\Kwok_Chap_4.pdf				</t>
  </si>
  <si>
    <t xml:space="preserve">5317059ad4caf88c07e5a191fdbde4d2	</t>
  </si>
  <si>
    <t xml:space="preserve">	e:\GoogleDrive\articles\Carlos Blanco Josh Gray and Marc Hazzard - Alternative Valuation Methods fo	r S	wapt	io	ns The Devil is in the details (commodity swaptions).pdf</t>
  </si>
  <si>
    <t xml:space="preserve">5317380623cfceea10b4df732fe5e066	</t>
  </si>
  <si>
    <t xml:space="preserve">	e:\GoogleDrive\articles\wilmott\0309_lucic.pdf				</t>
  </si>
  <si>
    <t xml:space="preserve">5343d64d7d02971b28f8b47195d7470d	</t>
  </si>
  <si>
    <t xml:space="preserve">	e:\GoogleDrive\articles\pietersz Pelsser - Risk Managing Bermudan Swaptions in BGM .pdf				</t>
  </si>
  <si>
    <t xml:space="preserve">	e:\GoogleDrive\articles\pietersz Pelsser - Risk Managing Bermudan Swaptions in the Libor BGM model	(20	03).	pd	f</t>
  </si>
  <si>
    <t xml:space="preserve">53461a016703f5439315a6d31d720598	</t>
  </si>
  <si>
    <t xml:space="preserve">	e:\GoogleDrive\articles\bhar chiarella - Transformation of Heath-Jarrow-Morton Models to Markovian	Sys	tems	(	1995).pdf</t>
  </si>
  <si>
    <t xml:space="preserve">534cc952709709c1082209c2c9479f7b	</t>
  </si>
  <si>
    <t xml:space="preserve">	e:\GoogleDrive\articles\klaus abe - introduction to volatility - prn.pdf				</t>
  </si>
  <si>
    <t xml:space="preserve">5358b44db3be95709acaf91618a06ea6	</t>
  </si>
  <si>
    <t xml:space="preserve">	e:\GoogleDrive\articles\Notes on Elementary Number Theory\07 - exteuc.ps				</t>
  </si>
  <si>
    <t xml:space="preserve">536a902deb52733d6c58ea34e2f4bd72	</t>
  </si>
  <si>
    <t xml:space="preserve">	e:\GoogleDrive\articles\(phd) hunor\phd\hackle\ICDM'03\nous.bib				</t>
  </si>
  <si>
    <t xml:space="preserve">538494bd651a8cd965fa3171729889d3	</t>
  </si>
  <si>
    <t xml:space="preserve">	e:\GoogleDrive\articles\culture generale\mondialisation.zip				</t>
  </si>
  <si>
    <t xml:space="preserve">538de84a0be4f6c01fe3aa85c13c6d1f	</t>
  </si>
  <si>
    <t xml:space="preserve">	e:\GoogleDrive\articles\parallel C++.pdf				</t>
  </si>
  <si>
    <t xml:space="preserve">53968d31669dee1965e00d2c1ee3e9d5	</t>
  </si>
  <si>
    <t xml:space="preserve">	e:\GoogleDrive\articles\Genevaux galin guerin Peytavie Bedrich - (2013sigg).pdf				</t>
  </si>
  <si>
    <t xml:space="preserve">539bf88498903508d03e961521241866	</t>
  </si>
  <si>
    <t xml:space="preserve">	e:\GoogleDrive\articles\data mining\backuper.hcs				</t>
  </si>
  <si>
    <t xml:space="preserve">539e3c6ac872e720bbc120c8b81f55d2	</t>
  </si>
  <si>
    <t xml:space="preserve">	e:\GoogleDrive\articles\carr - breaking barriers.pdf				</t>
  </si>
  <si>
    <t xml:space="preserve">53a8f7b03c9e19eb860a1722751d9669	</t>
  </si>
  <si>
    <t xml:space="preserve">	e:\GoogleDrive\articles\Szechman Glynn - Constrained Monte Carlo and the method of control variates	.pd	f		</t>
  </si>
  <si>
    <t xml:space="preserve">53aa08dcc11f8b5e2367b7d1f93dd55d	</t>
  </si>
  <si>
    <t xml:space="preserve">	e:\GoogleDrive\articles\wilmott\0303_drz.pdf				</t>
  </si>
  <si>
    <t xml:space="preserve">53b834d8f56a540f3d132f7e11567721	</t>
  </si>
  <si>
    <t xml:space="preserve">	e:\GoogleDrive\articles\Avramidis - Efficient Pricing of Barrier Options with the Variance-Gamma Mod	el.	pdf		</t>
  </si>
  <si>
    <t xml:space="preserve">53e0c05ce2c9318ea30c27a5ae58856c	</t>
  </si>
  <si>
    <t xml:space="preserve">	e:\GoogleDrive\articles\collin-dufresne goldberg - Stochastic Correlation and the Relative Pricing	of	Caps	a	nd Swaptions in a generaliyed affine framework.pdf</t>
  </si>
  <si>
    <t xml:space="preserve">53e30955255075a8dc4c7315a960c539	</t>
  </si>
  <si>
    <t xml:space="preserve">	e:\GoogleDrive\articles\mark rubinstein\Derivative Assets Analysis.doc				</t>
  </si>
  <si>
    <t xml:space="preserve">53f70d5e8cf287255bcbad40c9cd016f	</t>
  </si>
  <si>
    <t xml:space="preserve">	e:\GoogleDrive\articles\culture generale\economics\lecture\4 - miltonkeynes - prn.pdf				</t>
  </si>
  <si>
    <t xml:space="preserve">540b9c97d06bc829f72e20bad5386d94	</t>
  </si>
  <si>
    <t xml:space="preserve">	e:\GoogleDrive\articles\(ebook) - Handbook of applied cryptography\chap9.pdf				</t>
  </si>
  <si>
    <t xml:space="preserve">541203e7697598e5f9c31eaab8f7fa5f	</t>
  </si>
  <si>
    <t xml:space="preserve">	e:\GoogleDrive\articles\kleinert - path integrals 16.pdf				</t>
  </si>
  <si>
    <t xml:space="preserve">5418c2168de2604b6062c9c3e0cfad58	</t>
  </si>
  <si>
    <t xml:space="preserve">	e:\GoogleDrive\articles\(lecture notes) financial maths\chapter6.pdf				</t>
  </si>
  <si>
    <t xml:space="preserve">	e:\GoogleDrive\articles\lecture (financial mathematics)\chapter6.pdf				</t>
  </si>
  <si>
    <t xml:space="preserve">542a4f1a864414e717cedc27dad78901	</t>
  </si>
  <si>
    <t xml:space="preserve">	e:\GoogleDrive\articles\wilmott\0605_staunton.pdf				</t>
  </si>
  <si>
    <t xml:space="preserve">5430382a4ef6b54d4994f03f7e42f6f9	</t>
  </si>
  <si>
    <t xml:space="preserve">	e:\GoogleDrive\articles\culture generale\economics\macroeconomics\LN_ch11.pdf				</t>
  </si>
  <si>
    <t xml:space="preserve">5436a71c6855f73bca3443d997d31bce	</t>
  </si>
  <si>
    <t xml:space="preserve">	e:\GoogleDrive\articles\info - graphics\trinagulation projdesc2.pdf				</t>
  </si>
  <si>
    <t xml:space="preserve">5442417e136d8a55745071d3ce326ba4	</t>
  </si>
  <si>
    <t xml:space="preserve">	e:\GoogleDrive\articles\numericalR\c4-0.pdf				</t>
  </si>
  <si>
    <t xml:space="preserve">5442813c8c212dc54337bafbf5e1069b	</t>
  </si>
  <si>
    <t xml:space="preserve">	e:\GoogleDrive\articles\fva - numerix FVA dissecting the debate.pdf				</t>
  </si>
  <si>
    <t xml:space="preserve">548213a59d657a55bf507f77b7c6e551	</t>
  </si>
  <si>
    <t xml:space="preserve">	e:\GoogleDrive\articles\(eBook) - statistical methods\chapter08-041012.pdf				</t>
  </si>
  <si>
    <t xml:space="preserve">548c694bef35804f6904c8c2c78ba768	</t>
  </si>
  <si>
    <t xml:space="preserve">	e:\GoogleDrive\articles\(phd) hunor\phd\reHackle.tex				</t>
  </si>
  <si>
    <t xml:space="preserve">54912b260a976c78a3ca3eafcd0a81bd	</t>
  </si>
  <si>
    <t xml:space="preserve">	e:\GoogleDrive\articles\mark rubinstein\In-The-Money - derivatives futures options derivatives o	.ht	m		</t>
  </si>
  <si>
    <t xml:space="preserve">54967a39548ec50788645f6de305c4c3	</t>
  </si>
  <si>
    <t xml:space="preserve">	e:\GoogleDrive\articles\(ebook) selesnick burrus - Digital Signal Processing Handbook\22.pdf				</t>
  </si>
  <si>
    <t xml:space="preserve">54967abddf3bc618aacb565d89360cf9	</t>
  </si>
  <si>
    <t xml:space="preserve">	e:\GoogleDrive\articles\Denson - Adjoint and PDE methods for pricing and risk management of exotic i	nte	rest	r	ate derivatives.pdf</t>
  </si>
  <si>
    <t xml:space="preserve">54972027429348f369526e8a835f0584	</t>
  </si>
  <si>
    <t xml:space="preserve">	e:\GoogleDrive\articles\mark rubinstein\0999col1.htm				</t>
  </si>
  <si>
    <t xml:space="preserve">549d7b51d342d317ee6abec32bc423d7	</t>
  </si>
  <si>
    <t xml:space="preserve">	e:\GoogleDrive\articles\milne\math776 ChVIII0.dvi				</t>
  </si>
  <si>
    <t xml:space="preserve">54b4ffcbaec432f5002c7c9321c07e48	</t>
  </si>
  <si>
    <t xml:space="preserve">	e:\GoogleDrive\articles\(eBook) - taleb - dynamic hedging.djvu				</t>
  </si>
  <si>
    <t xml:space="preserve">54c37cedee4d1665106708199f6207bf	</t>
  </si>
  <si>
    <t xml:space="preserve">	e:\GoogleDrive\articles\jorjani klei Emanuelson - a simple method for weighted Ben.pdf				</t>
  </si>
  <si>
    <t xml:space="preserve">	e:\GoogleDrive\articles\jorjani klei Emanuelson - a simple method for weighted Bending of Genetic	Cov	aria	nc	e Matrices - prn.pdf</t>
  </si>
  <si>
    <t xml:space="preserve">54ca32918ee37ea05c5ae1f8aa84cec5	</t>
  </si>
  <si>
    <t xml:space="preserve">	e:\GoogleDrive\articles\wilmott\0307_staunton.pdf				</t>
  </si>
  <si>
    <t xml:space="preserve">54dfafc3ed160ddff09707342517c3c4	</t>
  </si>
  <si>
    <t xml:space="preserve">	e:\GoogleDrive\articles\cir85 - A theory of the term structure of interest rates - p.pdf				</t>
  </si>
  <si>
    <t xml:space="preserve">551681bf3b0d3bf70a2d4c86f0c864e9	</t>
  </si>
  <si>
    <t xml:space="preserve">	e:\GoogleDrive\articles\chung - on stopped feynman-kac functionals.pdf				</t>
  </si>
  <si>
    <t xml:space="preserve">55285265e9b4dd0e43bcaffc97d8f5ca	</t>
  </si>
  <si>
    <t xml:space="preserve">	e:\GoogleDrive\articles\marching cubes explained.docx				</t>
  </si>
  <si>
    <t xml:space="preserve">55328cdc253fd6c9e90b9a40cd784fcc	</t>
  </si>
  <si>
    <t xml:space="preserve">	e:\GoogleDrive\articles\(ebook) - Sofware engineering Best Practices.pdf				</t>
  </si>
  <si>
    <t xml:space="preserve">5532c9485b8d1702a2e3b8b7fa76e289	</t>
  </si>
  <si>
    <t xml:space="preserve">	e:\GoogleDrive\articles\miyahara - esscher transformed martingale measures.pdf				</t>
  </si>
  <si>
    <t xml:space="preserve">55354daa728cdb8ef14f46bc3808a069	</t>
  </si>
  <si>
    <t xml:space="preserve">	e:\GoogleDrive\articles\Hoermann and Leydold - Quasi Importance Sampling.pdf				</t>
  </si>
  <si>
    <t xml:space="preserve">554215db3af5360d4483193ab6c293a0	</t>
  </si>
  <si>
    <t xml:space="preserve">	e:\GoogleDrive\articles\Notes on Elementary Number Theory\06 - gcd.ps				</t>
  </si>
  <si>
    <t xml:space="preserve">556fc430f0ff7cd4ac8102827a5b5880	</t>
  </si>
  <si>
    <t xml:space="preserve">	e:\GoogleDrive\articles\anagrammer\Programming Embedded Systems in C and C++.chm				</t>
  </si>
  <si>
    <t xml:space="preserve">5588a87c78c6df4447ceeb6efbc1a5d9	</t>
  </si>
  <si>
    <t xml:space="preserve">	e:\GoogleDrive\articles\info - algo\said - Introduction to Arithmetic Coding Theory and Practice.pd	f			</t>
  </si>
  <si>
    <t xml:space="preserve">558b92b1cea5914a5bec8c3aeae9de90	</t>
  </si>
  <si>
    <t xml:space="preserve">	e:\GoogleDrive\articles\(eBook) iain clark - foreign exchange option pricing a practitioner's guide	.pd	f		</t>
  </si>
  <si>
    <t xml:space="preserve">	e:\GoogleDrive\articles\lobaskin\clark_iain_foreign_exchange_option_pricing_a_practitioners_g.pdf				</t>
  </si>
  <si>
    <t xml:space="preserve">5595bf949798bd8e6238be9538fb9356	</t>
  </si>
  <si>
    <t xml:space="preserve">	e:\GoogleDrive\articles\culture generale\ECONOMICS AND POLITICS The INTEREST RATE CONVERGENCE IN EU	R.p	df		</t>
  </si>
  <si>
    <t xml:space="preserve">55abcafc0bb7591236c8ff7dc324b92b	</t>
  </si>
  <si>
    <t xml:space="preserve">	e:\GoogleDrive\articles\(phd) hunor\phd\hackle\ICDM'03\string.bib				</t>
  </si>
  <si>
    <t xml:space="preserve">55ae04cd0ad71eb3cf8f60fe6e7dfe03	</t>
  </si>
  <si>
    <t xml:space="preserve">	e:\GoogleDrive\articles\(ebook) - a non random walk down Wall street\contents.pdf				</t>
  </si>
  <si>
    <t xml:space="preserve">55afc079c061f8f0b4c4e7c2169e05a3	</t>
  </si>
  <si>
    <t xml:space="preserve">	e:\GoogleDrive\articles\wystupp book\mm\CoPr.pdf				</t>
  </si>
  <si>
    <t xml:space="preserve">55c30c5fbf4ab418032c4f0747c7fa55	</t>
  </si>
  <si>
    <t xml:space="preserve">	e:\GoogleDrive\articles\wilmott\0405_coverstory.pdf				</t>
  </si>
  <si>
    <t xml:space="preserve">55d3821f333ab88dd9a99afb7f66c4c5	</t>
  </si>
  <si>
    <t xml:space="preserve">	e:\GoogleDrive\articles\milne\math631S - algebraic geometry.pdf				</t>
  </si>
  <si>
    <t xml:space="preserve">55d4f0f02ad8a4d45921882e1bad51f5	</t>
  </si>
  <si>
    <t xml:space="preserve">	e:\GoogleDrive\articles\charella kwon - a complete markovian stochastic volatility model in the HJM	fr	amew	or	k.pdf</t>
  </si>
  <si>
    <t xml:space="preserve">560302344bbab60d3c939b2fd0d4cc96	</t>
  </si>
  <si>
    <t xml:space="preserve">	e:\GoogleDrive\articles\(phd) hunor\phd\introduction.log				</t>
  </si>
  <si>
    <t xml:space="preserve">560b3ddee1b34763ce0f08dff4a0e5ef	</t>
  </si>
  <si>
    <t xml:space="preserve">	e:\GoogleDrive\articles\numericalR\c5-7.pdf				</t>
  </si>
  <si>
    <t xml:space="preserve">560d8a7c6242d53196a89e3296ef5218	</t>
  </si>
  <si>
    <t xml:space="preserve">	e:\GoogleDrive\articles\hobby\blacksmith-practice.pdf				</t>
  </si>
  <si>
    <t xml:space="preserve">560dce54587dd4daba60ae52282d0f97	</t>
  </si>
  <si>
    <t xml:space="preserve">	e:\GoogleDrive\articles\wilmott\0407_drz.pdf				</t>
  </si>
  <si>
    <t xml:space="preserve">561add70bde0094351b57b565c7bbfc1	</t>
  </si>
  <si>
    <t xml:space="preserve">	e:\GoogleDrive\articles\(eBook) - Lipton - Mathematical Methods for Foreign Exchange A Financial Eng	ine	er's	A	pproach.pdf</t>
  </si>
  <si>
    <t xml:space="preserve">	e:\GoogleDrive\articles\(eBook) Lipton Mathematical Methods for Foreign Exchange A Financial Enginee	r's	App	ro	ach.pdf</t>
  </si>
  <si>
    <t xml:space="preserve">5652a613785d8f010d94b5575ba994d7	</t>
  </si>
  <si>
    <t xml:space="preserve">	e:\GoogleDrive\articles\latex files\NewCorrMethod.doc				</t>
  </si>
  <si>
    <t xml:space="preserve">56626c56156b9176bdbe2d1f43ce51f6	</t>
  </si>
  <si>
    <t xml:space="preserve">	e:\GoogleDrive\articles\wilmott\0701_huckestein.pdf				</t>
  </si>
  <si>
    <t xml:space="preserve">566f8ea84fc3bd75098cad1571688bac	</t>
  </si>
  <si>
    <t xml:space="preserve">	e:\GoogleDrive\articles\wilmott\0211_cover.pdf				</t>
  </si>
  <si>
    <t xml:space="preserve">5675bd0d7f6b6e4a04d570af71a44fcd	</t>
  </si>
  <si>
    <t xml:space="preserve">	e:\GoogleDrive\articles\costabile - On Pricing Exotic Options under the CEV Process (2004).pdf				</t>
  </si>
  <si>
    <t xml:space="preserve">567ea53e4e42f8b6b71d7cbee338d607	</t>
  </si>
  <si>
    <t xml:space="preserve">	e:\GoogleDrive\articles\kleinert - path integrals 02.pdf				</t>
  </si>
  <si>
    <t xml:space="preserve">5682f9c1cbea1fe3c5107fc9aa8835f8	</t>
  </si>
  <si>
    <t xml:space="preserve">	e:\GoogleDrive\articles\wystupp book\mm\hanzon.pdf				</t>
  </si>
  <si>
    <t xml:space="preserve">5696ebaf19f451fc592c0aad26b1f54e	</t>
  </si>
  <si>
    <t xml:space="preserve">	e:\GoogleDrive\articles\(ebook) - Handbook of applied cryptography\chap7.pdf				</t>
  </si>
  <si>
    <t xml:space="preserve">56a144a88a996962425cd35c5ea2a97c	</t>
  </si>
  <si>
    <t xml:space="preserve">	e:\GoogleDrive\articles\wilmott\0311_walsh.pdf				</t>
  </si>
  <si>
    <t xml:space="preserve">56a5375d8e17dab9f925a3c8523e1446	</t>
  </si>
  <si>
    <t xml:space="preserve">	e:\GoogleDrive\articles\mirani - barrier with finite difference methods.pdf				</t>
  </si>
  <si>
    <t xml:space="preserve">56ac1cd55d8176f978cc5bcbadbc5c37	</t>
  </si>
  <si>
    <t xml:space="preserve">	e:\GoogleDrive\articles\wilmott\0407_duffy.pdf				</t>
  </si>
  <si>
    <t xml:space="preserve">56c54061a0b83cfb3a0ba1154eddba73	</t>
  </si>
  <si>
    <t xml:space="preserve">	e:\GoogleDrive\articles\wilmott\0303_basel.pdf				</t>
  </si>
  <si>
    <t xml:space="preserve">56d02445a6dee6bbb52a5d9b2b0d4dca	</t>
  </si>
  <si>
    <t xml:space="preserve">	e:\GoogleDrive\articles\Fluid mechanics.zip				</t>
  </si>
  <si>
    <t xml:space="preserve">56e27c66779df65c6f29710cbec3ffcb	</t>
  </si>
  <si>
    <t xml:space="preserve">	e:\GoogleDrive\articles\wilmott\2002_09_46to48_Staunton.pdf				</t>
  </si>
  <si>
    <t xml:space="preserve">56e535e0982a08adee53709b0dbbfc4d	</t>
  </si>
  <si>
    <t xml:space="preserve">	e:\GoogleDrive\articles\ioffe - probability distributions of CIR.pdf				</t>
  </si>
  <si>
    <t xml:space="preserve">56e908a7f0326e7cb6ac35743e5d17d9	</t>
  </si>
  <si>
    <t xml:space="preserve">	e:\GoogleDrive\articles\longstaff - the relative valuation of caps and swaptions - prn.pdf				</t>
  </si>
  <si>
    <t xml:space="preserve">570bf9593f393aacb99037f5dffb20cd	</t>
  </si>
  <si>
    <t xml:space="preserve">	e:\GoogleDrive\articles\oxford dpt of statistics\url.txt				</t>
  </si>
  <si>
    <t xml:space="preserve">57104bf2c8ee2b8ac8921ee8766523fd	</t>
  </si>
  <si>
    <t xml:space="preserve">	e:\GoogleDrive\articles\(eBook) - Jackel.zip				</t>
  </si>
  <si>
    <t xml:space="preserve">57383314a4ac042fd1349227f3fdb737	</t>
  </si>
  <si>
    <t xml:space="preserve">	e:\GoogleDrive\articles\wilmott\0411_binder.pdf				</t>
  </si>
  <si>
    <t xml:space="preserve">57501c90e4f3b1a5c7cf8b4c3d3d2d0e	</t>
  </si>
  <si>
    <t xml:space="preserve">	e:\GoogleDrive\articles\wilmott\0409_carreviews.pdf				</t>
  </si>
  <si>
    <t xml:space="preserve">57529c5d5eed05bc7f839b1b5a59abd3	</t>
  </si>
  <si>
    <t xml:space="preserve">	e:\GoogleDrive\articles\brigo - lecture interest rate derivatives modeling.pdf				</t>
  </si>
  <si>
    <t xml:space="preserve">5753e4991bfbb0bc091fafe6f6e59e9a	</t>
  </si>
  <si>
    <t xml:space="preserve">	e:\GoogleDrive\articles\Intel Architecture Software Developer's Manual volume 1.pdf				</t>
  </si>
  <si>
    <t xml:space="preserve">57601c53a1b290f5da1f9b1d4cc2bce0	</t>
  </si>
  <si>
    <t xml:space="preserve">	e:\GoogleDrive\articles\cuda\gpu - Getting the most from CUDA 5 and Kepler.pdf				</t>
  </si>
  <si>
    <t xml:space="preserve">5761e7a73ffbba8fc1396e31e221668c	</t>
  </si>
  <si>
    <t xml:space="preserve">	e:\GoogleDrive\articles\maths sp‚\url.txt				</t>
  </si>
  <si>
    <t xml:space="preserve">5775648838e07174be351cd97ad90876	</t>
  </si>
  <si>
    <t xml:space="preserve">	e:\GoogleDrive\articles\(ebook) Go - cho-2-intermediate.pdf				</t>
  </si>
  <si>
    <t xml:space="preserve">	e:\GoogleDrive\articles\hobby\Go - Gho Chikun Vol2 - encyclopedia of life and death - intermediate p	rob	lems	.p	df</t>
  </si>
  <si>
    <t xml:space="preserve">57a04d891882efa732cd2f804ac980ca	</t>
  </si>
  <si>
    <t xml:space="preserve">	e:\GoogleDrive\articles\(eBook) Jaeckel P. Monte-Carlo methods in finance (Wiley 2.djvu				</t>
  </si>
  <si>
    <t xml:space="preserve">57c4ac8a64d76614f7c1720dd1fbc8f1	</t>
  </si>
  <si>
    <t xml:space="preserve">	e:\GoogleDrive\articles\mark rubinstein\Binary Options - prn.doc				</t>
  </si>
  <si>
    <t xml:space="preserve">57cce37fa8092d2643e0c02c619b9a59	</t>
  </si>
  <si>
    <t xml:space="preserve">	e:\GoogleDrive\articles\culture generale\economics\lecture\reading\ch11 - shapiro.pdf				</t>
  </si>
  <si>
    <t xml:space="preserve">57d198715051bc0a44618fac2269e4f5	</t>
  </si>
  <si>
    <t xml:space="preserve">	e:\GoogleDrive\articles\info - graphics\hudson miller phillips - Sparse Voronoi Refinement.pdf				</t>
  </si>
  <si>
    <t xml:space="preserve">57d6f9495c56a20fa91a00f60359a4da	</t>
  </si>
  <si>
    <t xml:space="preserve">	e:\GoogleDrive\articles\analyse complexe.pdf				</t>
  </si>
  <si>
    <t xml:space="preserve">57de3b8452ace7c7b7b06fd9867eb301	</t>
  </si>
  <si>
    <t xml:space="preserve">	e:\GoogleDrive\articles\wilmott\0607_dante.pdf				</t>
  </si>
  <si>
    <t xml:space="preserve">57f1901758bc2baa386feea616d3b059	</t>
  </si>
  <si>
    <t xml:space="preserve">	e:\GoogleDrive\articles\wilmott\0401_ouachani.pdf				</t>
  </si>
  <si>
    <t xml:space="preserve">57f53e798205ac38cd5e710656629e2f	</t>
  </si>
  <si>
    <t xml:space="preserve">	e:\GoogleDrive\articles\svenstrup - Valuation of Path-Dependent IRD with FDM.pdf				</t>
  </si>
  <si>
    <t xml:space="preserve">58005bd23148e1b23441e3ae8d4750df	</t>
  </si>
  <si>
    <t xml:space="preserve">	e:\GoogleDrive\articles\(phd) hunor\phd\thesis01.toc				</t>
  </si>
  <si>
    <t xml:space="preserve">581f88293324a6f1b8d40ca53c31131c	</t>
  </si>
  <si>
    <t xml:space="preserve">	e:\GoogleDrive\articles\wilmott\0501_prast.pdf				</t>
  </si>
  <si>
    <t xml:space="preserve">5839ac6aac0638b3dea4909042734275	</t>
  </si>
  <si>
    <t xml:space="preserve">	e:\GoogleDrive\articles\wilmott\0809_thorp.pdf				</t>
  </si>
  <si>
    <t xml:space="preserve">583e55d67b175e37bcc3922913724136	</t>
  </si>
  <si>
    <t xml:space="preserve">	e:\GoogleDrive\articles\info - graphics\huang ascher - Surface Mesh Smoothing Regularization and F	eat	ure	De	tection.pdf</t>
  </si>
  <si>
    <t xml:space="preserve">58472a2a7e6099e20c79b9f6f79373b9	</t>
  </si>
  <si>
    <t xml:space="preserve">	e:\GoogleDrive\articles\wystupp book\mm\amf.pdf				</t>
  </si>
  <si>
    <t xml:space="preserve">5857e701fb14b2967b54f76f518aa2ec	</t>
  </si>
  <si>
    <t xml:space="preserve">	e:\GoogleDrive\articles\wilmott\0807_streambase.pdf				</t>
  </si>
  <si>
    <t xml:space="preserve">5858daa12e8a71e1eb93cbdd337dabc6	</t>
  </si>
  <si>
    <t xml:space="preserve">	e:\GoogleDrive\articles\dalal et all - Low Discrepancy Sequences for Monte Carlo Simulations on Reco	nfi	gura	bl	e Platforms.pdf</t>
  </si>
  <si>
    <t xml:space="preserve">5860628a3872cdb1c270f13c15cb5c05	</t>
  </si>
  <si>
    <t xml:space="preserve">	e:\GoogleDrive\articles\Labordere - combining the SABR and LMM models.pdf				</t>
  </si>
  <si>
    <t xml:space="preserve">587c5dfcd49ea02be9a5855475ecd503	</t>
  </si>
  <si>
    <t xml:space="preserve">	e:\GoogleDrive\articles\lobaskin\P.Kaufman.Trading Systems &amp; Methods\Kaufman - Trading Systems &amp; Met	hod	s -	Ch	ap11.doc</t>
  </si>
  <si>
    <t xml:space="preserve">588b4a5759fd71ffbb88745992e91df4	</t>
  </si>
  <si>
    <t xml:space="preserve">	e:\GoogleDrive\articles\(phd) hunor\phd\figures\hackleExample.eps				</t>
  </si>
  <si>
    <t xml:space="preserve">588c7e9162e1f66ea69a2bcb48500089	</t>
  </si>
  <si>
    <t xml:space="preserve">	e:\GoogleDrive\articles\Avellaneda Boyer-Olson Busca Friz - Application of large deviation method	s t	o th	e	pricing of index options in finance.pdf</t>
  </si>
  <si>
    <t xml:space="preserve">58928a4a7e07f3a7ea4dcbfb93a25026	</t>
  </si>
  <si>
    <t xml:space="preserve">	e:\GoogleDrive\articles\a classer\ipam-fm2001-01 Merton's Portfolio Optimization Problem in a .pdf				</t>
  </si>
  <si>
    <t xml:space="preserve">58a1b72c21aec58828cd6677e4f60b4a	</t>
  </si>
  <si>
    <t xml:space="preserve">	e:\GoogleDrive\articles\anagrammer\Assembly Language Step by Step code\EAT3.ASM				</t>
  </si>
  <si>
    <t xml:space="preserve">58ad384f81f6c0cebec67945c5b1206c	</t>
  </si>
  <si>
    <t xml:space="preserve">	e:\GoogleDrive\articles\lobaskin\P.Kaufman.Trading Systems &amp; Methods\Kaufman - Trading Systems &amp; Met	hod	s -	Ch	ap14.doc</t>
  </si>
  <si>
    <t xml:space="preserve">58c5765c379512ba39290d647d9905bd	</t>
  </si>
  <si>
    <t xml:space="preserve">	e:\GoogleDrive\articles\wilmott\0611_henrotte.pdf				</t>
  </si>
  <si>
    <t xml:space="preserve">58c83674dda40affbdd0b07d13bafd89	</t>
  </si>
  <si>
    <t xml:space="preserve">	e:\GoogleDrive\articles\numericalR\c3-4.pdf				</t>
  </si>
  <si>
    <t xml:space="preserve">58d69737bcae4c65306fbfff89e66e0d	</t>
  </si>
  <si>
    <t xml:space="preserve">	e:\GoogleDrive\articles\info - graphics\VisualSVN Server network repository setup.docx				</t>
  </si>
  <si>
    <t xml:space="preserve">58e6223c3972947bfe6fe60f084668d1	</t>
  </si>
  <si>
    <t xml:space="preserve">	e:\GoogleDrive\articles\(eBook) arnold - Microeconomics_9th_Ed.pdf				</t>
  </si>
  <si>
    <t xml:space="preserve">5909a3b471432fd73b3f27f914f3092a	</t>
  </si>
  <si>
    <t xml:space="preserve">	e:\GoogleDrive\articles\mark rubinstein\On the Relation of Binomial and Trinomial Option Pricing Mod	.do	c		</t>
  </si>
  <si>
    <t xml:space="preserve">590f957957f008a8c335f10734330020	</t>
  </si>
  <si>
    <t xml:space="preserve">	e:\GoogleDrive\articles\mark rubinstein\Portfolio Insurance and the Market Crash.doc				</t>
  </si>
  <si>
    <t xml:space="preserve">59157fbe89dd77288dce05feb38e8c1b	</t>
  </si>
  <si>
    <t xml:space="preserve">	e:\GoogleDrive\articles\masaaki et al - A market model for interest rates with dynamic basis spreads	in	the	p	resence of collateral and multiple currencies.pdf</t>
  </si>
  <si>
    <t xml:space="preserve">5918a7af51c3ea3d4f22cfe79b615cb2	</t>
  </si>
  <si>
    <t xml:space="preserve">	e:\GoogleDrive\articles\wilmott\0801_hocquard.pdf				</t>
  </si>
  <si>
    <t xml:space="preserve">592f2a59226e2032425e03d6df32b7a4	</t>
  </si>
  <si>
    <t xml:space="preserve">	e:\GoogleDrive\articles\global risk 2007\day2\Marek Musiela.pdf				</t>
  </si>
  <si>
    <t xml:space="preserve">5937baa9d903ca2ddb3940076a9e8d70	</t>
  </si>
  <si>
    <t xml:space="preserve">	e:\GoogleDrive\articles\WBS IR modelling Course\IR Modelling\IR1.3Pietersz_97.ppt				</t>
  </si>
  <si>
    <t xml:space="preserve">59569a81125ddb28ebba444c2e6d4c3a	</t>
  </si>
  <si>
    <t xml:space="preserve">	e:\GoogleDrive\articles\wilmott\0401_ayache.pdf				</t>
  </si>
  <si>
    <t xml:space="preserve">595f3a38399ab7822fb84a1987f59f69	</t>
  </si>
  <si>
    <t xml:space="preserve">	e:\GoogleDrive\articles\Askitis - Sorting up to 252GB for a penny (2010).pdf				</t>
  </si>
  <si>
    <t xml:space="preserve">5963d5767311ec52f06bf88aedfe324f	</t>
  </si>
  <si>
    <t xml:space="preserve">	e:\GoogleDrive\articles\bouchard - polymc (lecture notes).pdf				</t>
  </si>
  <si>
    <t xml:space="preserve">596d6e076fa6a0a9ed843b937a0d71bd	</t>
  </si>
  <si>
    <t xml:space="preserve">	e:\GoogleDrive\articles\numericalR\c6-10.pdf				</t>
  </si>
  <si>
    <t xml:space="preserve">598b04c59114f568acc8c7006fd5c846	</t>
  </si>
  <si>
    <t xml:space="preserve">	e:\GoogleDrive\articles\Hoeg - wavlet estimation of integrated volatility.pdf				</t>
  </si>
  <si>
    <t xml:space="preserve">59a05f08390dbdffc246e257305d0105	</t>
  </si>
  <si>
    <t xml:space="preserve">	e:\GoogleDrive\articles\maths\xcheng\week7.pdf				</t>
  </si>
  <si>
    <t xml:space="preserve">59dbed6df6699f70c09d2816edff71c5	</t>
  </si>
  <si>
    <t xml:space="preserve">	e:\GoogleDrive\articles\wilmott\0501_sobol.pdf				</t>
  </si>
  <si>
    <t xml:space="preserve">59de2cbbdb9c04ef01efdfde1fe84285	</t>
  </si>
  <si>
    <t xml:space="preserve">	e:\GoogleDrive\articles\culture generale\economics\macroeconomics\LN_ch9.pdf				</t>
  </si>
  <si>
    <t xml:space="preserve">59e97f94d75bb8832875128ce8bccca0	</t>
  </si>
  <si>
    <t xml:space="preserve">	e:\GoogleDrive\articles\Notes on Elementary Number Theory\27 - contfrac.ps				</t>
  </si>
  <si>
    <t xml:space="preserve">5a076b6c1cc5be8745f3ae8ed09f15bb	</t>
  </si>
  <si>
    <t xml:space="preserve">	e:\GoogleDrive\articles\pietersz grubisic - efficient reduction of correlation matr.pdf				</t>
  </si>
  <si>
    <t xml:space="preserve">5a239ad52b88511c68ebc2dcfbddcb3a	</t>
  </si>
  <si>
    <t xml:space="preserve">	e:\GoogleDrive\articles\(phd) hunor\phd\preamble.tex				</t>
  </si>
  <si>
    <t xml:space="preserve">5a367f01c124374a421b0f786e311843	</t>
  </si>
  <si>
    <t xml:space="preserve">	e:\GoogleDrive\articles\(ebook) selesnick burrus - Digital Signal Processing Handbook\47.pdf				</t>
  </si>
  <si>
    <t xml:space="preserve">5a38641f11a96f9d9b22b4680cd184fe	</t>
  </si>
  <si>
    <t xml:space="preserve">	e:\GoogleDrive\articles\wilmott\0503_osband.pdf				</t>
  </si>
  <si>
    <t xml:space="preserve">5a39c86de3cb4da318bd283e98ad51ae	</t>
  </si>
  <si>
    <t xml:space="preserve">	e:\GoogleDrive\articles\wilmott\0805_das.pdf				</t>
  </si>
  <si>
    <t xml:space="preserve">5a645b4d18c2156431d31741174aedbc	</t>
  </si>
  <si>
    <t xml:space="preserve">	e:\GoogleDrive\articles\wilmott\0801_nail.pdf				</t>
  </si>
  <si>
    <t xml:space="preserve">5a985f6eb69e492a3f9263f40c7d0a01	</t>
  </si>
  <si>
    <t xml:space="preserve">	e:\GoogleDrive\articles\wilmott\0611_schulist.pdf				</t>
  </si>
  <si>
    <t xml:space="preserve">5a9aa62fc65beea00a778131899210be	</t>
  </si>
  <si>
    <t xml:space="preserve">	e:\GoogleDrive\articles\maths\semidefinite programming\backuper.hcs				</t>
  </si>
  <si>
    <t xml:space="preserve">5a9e5092f66b8722873fdcc99b18cc5a	</t>
  </si>
  <si>
    <t xml:space="preserve">	e:\GoogleDrive\articles\wilmott\0705_global.pdf				</t>
  </si>
  <si>
    <t xml:space="preserve">5aa21807b708799572ea37de1e76e054	</t>
  </si>
  <si>
    <t xml:space="preserve">	e:\GoogleDrive\articles\(lecture notes) Paul Dawkins - College Algebra Solutions.pdf				</t>
  </si>
  <si>
    <t xml:space="preserve">5abd30dce9d1155b7d1b6ae4af2e3e07	</t>
  </si>
  <si>
    <t xml:space="preserve">	e:\GoogleDrive\articles\mesh repair.pdf				</t>
  </si>
  <si>
    <t xml:space="preserve">5ad248d1dc34d1d52813529aa61d5102	</t>
  </si>
  <si>
    <t xml:space="preserve">	e:\GoogleDrive\articles\(ebook) selesnick burrus - Digital Signal Processing Handbook\23.pdf				</t>
  </si>
  <si>
    <t xml:space="preserve">5ad447aab5f14555799270b89ad5daae	</t>
  </si>
  <si>
    <t xml:space="preserve">	e:\GoogleDrive\articles\(phd) hunor\phd\figures\original\fptreeExample2.TIF				</t>
  </si>
  <si>
    <t xml:space="preserve">5ad8f82e7ebd3d5ef8b3293e79604593	</t>
  </si>
  <si>
    <t xml:space="preserve">	e:\GoogleDrive\articles\(eBook) - Jackel\NormalDistribution\NormalDistribution.h				</t>
  </si>
  <si>
    <t xml:space="preserve">5adf5f8b857aa42157bd3b4ffc1b53e7	</t>
  </si>
  <si>
    <t xml:space="preserve">	e:\GoogleDrive\articles\wilmott\0803_ziemba.pdf				</t>
  </si>
  <si>
    <t xml:space="preserve">5b182ebee668eeb8d00b450cdf0ef127	</t>
  </si>
  <si>
    <t xml:space="preserve">	e:\GoogleDrive\articles\(ebook) selesnick burrus - Digital Signal Processing Handbook\36.pdf				</t>
  </si>
  <si>
    <t xml:space="preserve">5b38dcea89982c2d566c12bbe48f6df1	</t>
  </si>
  <si>
    <t xml:space="preserve">	e:\GoogleDrive\articles\info - graphics\lecture6 - Discrete techniques.pdf				</t>
  </si>
  <si>
    <t xml:space="preserve">5b574893f9ca38e9057e531660b17123	</t>
  </si>
  <si>
    <t xml:space="preserve">	e:\GoogleDrive\articles\wilmott\0511_riaz.pdf				</t>
  </si>
  <si>
    <t xml:space="preserve">5b64e5920233f430fc19c1f7b188b509	</t>
  </si>
  <si>
    <t xml:space="preserve">	e:\GoogleDrive\articles\(lecture notes) Blyth - fluid dynamics.pdf				</t>
  </si>
  <si>
    <t xml:space="preserve">5b6bf33f67913e255fe4564ec86a04df	</t>
  </si>
  <si>
    <t xml:space="preserve">	e:\GoogleDrive\articles\anagrammer\C++ By Dissection.pdf				</t>
  </si>
  <si>
    <t xml:space="preserve">5b6e4096947d24504e7bc34e0a429c8b	</t>
  </si>
  <si>
    <t xml:space="preserve">	e:\GoogleDrive\articles\imf publications\wp0403.pdf				</t>
  </si>
  <si>
    <t xml:space="preserve">5b748e3e820588400275387607c068f8	</t>
  </si>
  <si>
    <t xml:space="preserve">	e:\GoogleDrive\articles\info - graphics\Pollefeys Van Gool - From Images to 3D Models (CACM 2002).p	df			</t>
  </si>
  <si>
    <t xml:space="preserve">5b7afb484a218da8f7bad20839668d14	</t>
  </si>
  <si>
    <t xml:space="preserve">	e:\GoogleDrive\articles\maths\solvers\NLPJOB.pdf				</t>
  </si>
  <si>
    <t xml:space="preserve">5b8483446c3acf9aee9310ad783b8565	</t>
  </si>
  <si>
    <t xml:space="preserve">	e:\GoogleDrive\articles\numericalR\c7-8.pdf				</t>
  </si>
  <si>
    <t xml:space="preserve">5b8979979e1e1102cea8c8603823d31b	</t>
  </si>
  <si>
    <t xml:space="preserve">	e:\GoogleDrive\articles\wilmott\0301_staunton.pdf				</t>
  </si>
  <si>
    <t xml:space="preserve">	e:\GoogleDrive\articles\wilmott\0303_bogni.pdf				</t>
  </si>
  <si>
    <t xml:space="preserve">5b93b3a54d2090de194c9863cdfefb20	</t>
  </si>
  <si>
    <t xml:space="preserve">	e:\GoogleDrive\articles\(ebook) - Principles of digital image processing.pdf				</t>
  </si>
  <si>
    <t xml:space="preserve">5baf7f2a51c85c2a20862fb187ca8516	</t>
  </si>
  <si>
    <t xml:space="preserve">	e:\GoogleDrive\articles\parallelization of pipelined Thomas algorithmn.pdf				</t>
  </si>
  <si>
    <t xml:space="preserve">5bcf47cabb43e03eead475aeb0117f0e	</t>
  </si>
  <si>
    <t xml:space="preserve">	e:\GoogleDrive\articles\data mining\ECMLPKDD2004\workshops.html				</t>
  </si>
  <si>
    <t xml:space="preserve">5bdd0f136f4670da5e3c63939ee139c9	</t>
  </si>
  <si>
    <t xml:space="preserve">	e:\GoogleDrive\articles\wilmott\2002_09_20to21_Prast.pdf				</t>
  </si>
  <si>
    <t xml:space="preserve">5be11970176970a81e9113d15cfc4c4a	</t>
  </si>
  <si>
    <t xml:space="preserve">	e:\GoogleDrive\articles\rasmus - NIG Levy.pdf				</t>
  </si>
  <si>
    <t xml:space="preserve">5be44cb68a569a8eb109bfd7d6ea9ef7	</t>
  </si>
  <si>
    <t xml:space="preserve">	e:\GoogleDrive\articles\klaus abe - Convergence of Time Discrete Approximations (2007).pdf				</t>
  </si>
  <si>
    <t xml:space="preserve">5c20d7b4938132cdc361f7152c866dac	</t>
  </si>
  <si>
    <t xml:space="preserve">	e:\GoogleDrive\articles\probas - chapter9.pdf				</t>
  </si>
  <si>
    <t xml:space="preserve">5c44b3e387c07ea990a4e016da85d65a	</t>
  </si>
  <si>
    <t xml:space="preserve">	e:\GoogleDrive\articles\engle - multivariate garch .pdf				</t>
  </si>
  <si>
    <t xml:space="preserve">5c457f2f90711b477bcee72cf9b153e2	</t>
  </si>
  <si>
    <t xml:space="preserve">	e:\GoogleDrive\articles\brownian bridge\paper10.pdf				</t>
  </si>
  <si>
    <t xml:space="preserve">5c65f3523a443988d2e612281fb66add	</t>
  </si>
  <si>
    <t xml:space="preserve">	e:\GoogleDrive\articles\Szechtman - Control Variate Techniques for Monte Carlo Simulation.pdf				</t>
  </si>
  <si>
    <t xml:space="preserve">5c845a98e84a40c4d3b882928ab9c394	</t>
  </si>
  <si>
    <t xml:space="preserve">	e:\GoogleDrive\articles\hobson - a survey of mathematical finance.ps				</t>
  </si>
  <si>
    <t xml:space="preserve">5c8a600b7386587cf77da57bc60f79cc	</t>
  </si>
  <si>
    <t xml:space="preserve">	e:\GoogleDrive\articles\Knife Throwing Guide.pdf				</t>
  </si>
  <si>
    <t xml:space="preserve">5c93f5f4e759468b344ccdbdd0987636	</t>
  </si>
  <si>
    <t xml:space="preserve">	e:\GoogleDrive\articles\(phd) hunor\phd\hackle\ICDM'03\d10a.bib				</t>
  </si>
  <si>
    <t xml:space="preserve">5c9721742e636cd5534bf46e8125c45b	</t>
  </si>
  <si>
    <t xml:space="preserve">	e:\GoogleDrive\articles\gatheral - rational shapes of volatility surface.ppt				</t>
  </si>
  <si>
    <t xml:space="preserve">5c97ba2400090678fb52b4c4ea55037b	</t>
  </si>
  <si>
    <t xml:space="preserve">	e:\GoogleDrive\articles\(ebook) - Fashion a very shortintroduction.pdf				</t>
  </si>
  <si>
    <t xml:space="preserve">5cc433502edf2be0503589b7a04f5d9b	</t>
  </si>
  <si>
    <t xml:space="preserve">	e:\GoogleDrive\articles\info - graphics\Schroeder zheng fedkiw - Implicit Surface Tension Formulat	ion	wit	h	a Lagrangian Surface mesh on an Eulerian Simulation Grid.pdf</t>
  </si>
  <si>
    <t xml:space="preserve">5ccea18935c462b639cd8e2550fe930f	</t>
  </si>
  <si>
    <t xml:space="preserve">	e:\GoogleDrive\articles\administratif\caf.doc				</t>
  </si>
  <si>
    <t xml:space="preserve">5cd50adb2d6bdbacde668bd02182948e	</t>
  </si>
  <si>
    <t xml:space="preserve">	e:\GoogleDrive\articles\Andersen Piterbarg - Moment explosions in stochastic volatility models [200	5].	pdf		</t>
  </si>
  <si>
    <t xml:space="preserve">	e:\GoogleDrive\articles\piterbarg andersen - Moment Explosions in Stochastic Volatility Models.pdf				</t>
  </si>
  <si>
    <t xml:space="preserve">	e:\GoogleDrive\articles\piterbarg andersen - moment explosions in SV models.pdf				</t>
  </si>
  <si>
    <t xml:space="preserve">5cd6949241ba8b8f3d5e4022b818b6b4	</t>
  </si>
  <si>
    <t xml:space="preserve">	e:\GoogleDrive\articles\wilmott\0307_ralf.pdf				</t>
  </si>
  <si>
    <t xml:space="preserve">5cf896b53730d81fe09aa86085221972	</t>
  </si>
  <si>
    <t xml:space="preserve">	e:\GoogleDrive\articles\data mining\ECMLPKDD2004\tutorials\T5.pdf				</t>
  </si>
  <si>
    <t xml:space="preserve">5d0089169effd15cf1da2463894bc197	</t>
  </si>
  <si>
    <t xml:space="preserve">	e:\GoogleDrive\articles\constrained_delaunay_triangulation_2.zip				</t>
  </si>
  <si>
    <t xml:space="preserve">5d063ca004778813c21d93938496cafd	</t>
  </si>
  <si>
    <t xml:space="preserve">	e:\GoogleDrive\articles\(ebook) Go - gzp2-mobile.pdf				</t>
  </si>
  <si>
    <t xml:space="preserve">5d43471bf6ae27bcac5e90a891eb9927	</t>
  </si>
  <si>
    <t xml:space="preserve">	e:\GoogleDrive\articles\zheng - Recrossing the Bridge from Discrete Time to Continuous Time Towards	a C	ompl	et	e Model with Stochastic Volatility I.pdf</t>
  </si>
  <si>
    <t xml:space="preserve">5d5f7f96fb3ea8606ff8269c47d331c2	</t>
  </si>
  <si>
    <t xml:space="preserve">	e:\GoogleDrive\articles\global risk 2007\day1\interesting\Avellaneda - equity volatility strategies.	pdf			</t>
  </si>
  <si>
    <t xml:space="preserve">5d7da3367b7fed2679897484b2bd11a6	</t>
  </si>
  <si>
    <t xml:space="preserve">	e:\GoogleDrive\articles\maths\lemmermayer\url.txt				</t>
  </si>
  <si>
    <t xml:space="preserve">5d9c230d9ae7ce6c7b34bc21f006d9f0	</t>
  </si>
  <si>
    <t xml:space="preserve">	e:\GoogleDrive\articles\Lindstrom - Sequential Calibration of Options.pdf				</t>
  </si>
  <si>
    <t xml:space="preserve">5dbcfc064fac6328871f5e38726b0539	</t>
  </si>
  <si>
    <t xml:space="preserve">	e:\GoogleDrive\articles\culture generale\economics\lecture\reading\ch11 - romerd.pdf				</t>
  </si>
  <si>
    <t xml:space="preserve">5dc023e9acb40d0cae9624ab12cf5ec4	</t>
  </si>
  <si>
    <t xml:space="preserve">	e:\GoogleDrive\articles\wilmott\0303_bookclub.pdf				</t>
  </si>
  <si>
    <t xml:space="preserve">5dcb4f77d47ced70838ad1853f8099a7	</t>
  </si>
  <si>
    <t xml:space="preserve">	e:\GoogleDrive\articles\Levy processes\Eberlein_Kluge2005.pdf				</t>
  </si>
  <si>
    <t xml:space="preserve">5dd63c928e69ae0fb395ffbc2ecfa975	</t>
  </si>
  <si>
    <t xml:space="preserve">	e:\GoogleDrive\articles\wilmott\0411_editorial.pdf				</t>
  </si>
  <si>
    <t xml:space="preserve">5dd7c13ea397270e45e40a44b2495e6d	</t>
  </si>
  <si>
    <t xml:space="preserve">	e:\GoogleDrive\articles\linetsky - besseldrift.pdf				</t>
  </si>
  <si>
    <t xml:space="preserve">5de647547b004298d94c14cdeb3a8866	</t>
  </si>
  <si>
    <t xml:space="preserve">	e:\GoogleDrive\articles\global derivatives 2008\christian fries - proxy schemes.pdf				</t>
  </si>
  <si>
    <t xml:space="preserve">5e0fa717e594daad447d62179eda1151	</t>
  </si>
  <si>
    <t xml:space="preserve">	e:\GoogleDrive\articles\antonov issakov mechkov (numerix) - Exposure and CVA for exotic derivative	s t	he u	ni	versal modeling.pdf</t>
  </si>
  <si>
    <t xml:space="preserve">	e:\GoogleDrive\articles\antonov Numerix - exposure and CVA for exotic derivatives the universal mo	del	ing.	pd	f</t>
  </si>
  <si>
    <t xml:space="preserve">5e4b9199c4e7882d4dc38f1f8d1947f5	</t>
  </si>
  <si>
    <t xml:space="preserve">	e:\GoogleDrive\articles\mark rubinstein\Continuously Rebalanced Investment Strategies.doc				</t>
  </si>
  <si>
    <t xml:space="preserve">5e574d8a503a8ec61cffe3a31ed47b6f	</t>
  </si>
  <si>
    <t xml:space="preserve">	e:\GoogleDrive\articles\(phd) hunor\phd\amelie.tex				</t>
  </si>
  <si>
    <t xml:space="preserve">5e5deefdaab19aded436134bcfe35751	</t>
  </si>
  <si>
    <t xml:space="preserve">	e:\GoogleDrive\articles\linetsky - lookback - prn.pdf				</t>
  </si>
  <si>
    <t xml:space="preserve">5e5f68a3620ae33274721d77dfb59a2a	</t>
  </si>
  <si>
    <t xml:space="preserve">	e:\GoogleDrive\articles\wilmott\0711_thulasidas.pdf				</t>
  </si>
  <si>
    <t xml:space="preserve">5e791aaeb830d24207925544637734a4	</t>
  </si>
  <si>
    <t xml:space="preserve">	e:\GoogleDrive\articles\hobby\(eBook) Foundry_Practice..pdf				</t>
  </si>
  <si>
    <t xml:space="preserve">5e9030810ed4ad26be8cad3505f8b7ad	</t>
  </si>
  <si>
    <t xml:space="preserve">	e:\GoogleDrive\articles\global risk 2007\day1\backuper.hcs				</t>
  </si>
  <si>
    <t xml:space="preserve">5e950fdf063d3e6fa5d5d3c51c68383b	</t>
  </si>
  <si>
    <t xml:space="preserve">	e:\GoogleDrive\articles\Javaheri - Statistical distribution of Stochastic volatility.pdf				</t>
  </si>
  <si>
    <t xml:space="preserve">5e977c57616d3f918607ad9585100d28	</t>
  </si>
  <si>
    <t xml:space="preserve">	e:\GoogleDrive\articles\wilmott\0511_bookclub.pdf				</t>
  </si>
  <si>
    <t xml:space="preserve">	e:\GoogleDrive\articles\wilmott\0601_bookclub.pdf				</t>
  </si>
  <si>
    <t xml:space="preserve">5e9973c7c30aa1cd62a1f978587ce6c2	</t>
  </si>
  <si>
    <t xml:space="preserve">	e:\GoogleDrive\articles\Jaeckel - Non-recombining trees for the pricing of interest rate derivatives	in	the	B	GMJ framework -prn.pdf</t>
  </si>
  <si>
    <t xml:space="preserve">5eae4515f169509180884cdb39dc7dda	</t>
  </si>
  <si>
    <t xml:space="preserve">	e:\GoogleDrive\articles\wilmott\0609_joshi.pdf				</t>
  </si>
  <si>
    <t xml:space="preserve">5ec3d3fd34814cf8933ff67beee3fa1b	</t>
  </si>
  <si>
    <t xml:space="preserve">	e:\GoogleDrive\articles\(ebook) - Handbook of applied cryptography\chap2.pdf				</t>
  </si>
  <si>
    <t xml:space="preserve">5ed236a1bf9ef2ed5ca5ca5e628b9680	</t>
  </si>
  <si>
    <t xml:space="preserve">	e:\GoogleDrive\articles\Vargiolu - Calibration of the Gaussian Musiela model using the Karhunen-Loev	e e	xpan	si	on.pdf</t>
  </si>
  <si>
    <t xml:space="preserve">5f021f271e9b78245cce070a2c3363c0	</t>
  </si>
  <si>
    <t xml:space="preserve">	e:\GoogleDrive\articles\wilmott\0411_carreviews.pdf				</t>
  </si>
  <si>
    <t xml:space="preserve">5f0609877159cc456d4c72b1b1e91ec6	</t>
  </si>
  <si>
    <t xml:space="preserve">	e:\GoogleDrive\articles\probas - chapter10.pdf				</t>
  </si>
  <si>
    <t xml:space="preserve">5f10e155e4032b16ac07001279ff30b9	</t>
  </si>
  <si>
    <t xml:space="preserve">	e:\GoogleDrive\articles\measure.pdf				</t>
  </si>
  <si>
    <t xml:space="preserve">5f207ddbd52e41e27b75d3b3ab1ef780	</t>
  </si>
  <si>
    <t xml:space="preserve">	e:\GoogleDrive\articles\Risk 2003-may - Diversity scoring for market value CDOs.pdf				</t>
  </si>
  <si>
    <t xml:space="preserve">5f280a98e8463ae0f5f78b04dab393d7	</t>
  </si>
  <si>
    <t xml:space="preserve">	e:\GoogleDrive\articles\savine - theory of volatility(bnp).pdf				</t>
  </si>
  <si>
    <t xml:space="preserve">5f2d79b8c9aba48d586842613756257f	</t>
  </si>
  <si>
    <t xml:space="preserve">	e:\GoogleDrive\articles\data mining\ECMLPKDD2004\covers\T4.pdf				</t>
  </si>
  <si>
    <t xml:space="preserve">5f2ffa56abad02fa212e45dd6de989a1	</t>
  </si>
  <si>
    <t xml:space="preserve">	e:\GoogleDrive\articles\info - graphics\schoberl - Netgen An advancing front 2D3D-mesh generator ba	sed	on	ab	stract rules.pdf</t>
  </si>
  <si>
    <t xml:space="preserve">5f447959488d6c257f030a433374e799	</t>
  </si>
  <si>
    <t xml:space="preserve">	e:\GoogleDrive\articles\HF trading\kissell - Algorithmic decision making framework.pdf				</t>
  </si>
  <si>
    <t xml:space="preserve">5f54063861830e4f41be7b181a90ac7d	</t>
  </si>
  <si>
    <t xml:space="preserve">	e:\GoogleDrive\articles\glasserman - smoking adjoints long.pdf				</t>
  </si>
  <si>
    <t xml:space="preserve">5f59739109a4561368196f1ac34baadd	</t>
  </si>
  <si>
    <t xml:space="preserve">	e:\GoogleDrive\articles\Cheng - An Overview of Barrier Options (2003).pdf				</t>
  </si>
  <si>
    <t xml:space="preserve">5f6e269b6d7f687de6123715bb91086d	</t>
  </si>
  <si>
    <t xml:space="preserve">	e:\GoogleDrive\articles\Random vectors and multivariate normal distribution.pdf				</t>
  </si>
  <si>
    <t xml:space="preserve">5f7b2d31066515b01dd15660cefb06a3	</t>
  </si>
  <si>
    <t xml:space="preserve">	e:\GoogleDrive\articles\bremaud - Notes on Hilbert Spaces Fourier Transform and Probability.pdf				</t>
  </si>
  <si>
    <t xml:space="preserve">5f7d688a8527a9cd74a4783105547d6f	</t>
  </si>
  <si>
    <t xml:space="preserve">	e:\GoogleDrive\articles\(ebook) - Handbook of applied cryptography\chap10.pdf				</t>
  </si>
  <si>
    <t xml:space="preserve">5f90dffb7b7e641fb64da3086fbe1be3	</t>
  </si>
  <si>
    <t xml:space="preserve">	e:\GoogleDrive\articles\Lohner Parikh - GENERATION OF THREE-DIMENSIONAL UNSTRUCTURED GRIDS BY THE A	DVA	NCIN	G-	FRONT method.pdf</t>
  </si>
  <si>
    <t xml:space="preserve">	e:\GoogleDrive\articles\info - algo\Lohner Parikh - Three-dimensional grid generation by advancing	fro	nt m	et	hod.pdf</t>
  </si>
  <si>
    <t xml:space="preserve">5f924dc6097a31d3f2e5735240f37367	</t>
  </si>
  <si>
    <t xml:space="preserve">	e:\GoogleDrive\articles\andersen - efficient simulation of the heston stochastic volatility model (2	7	).pd	f	</t>
  </si>
  <si>
    <t xml:space="preserve">5f9b9c7255d93b06636550e236a35e4f	</t>
  </si>
  <si>
    <t xml:space="preserve">	e:\GoogleDrive\articles\global derivatives 2008\jon gregory - trick of the credit tail.pdf				</t>
  </si>
  <si>
    <t xml:space="preserve">5ff0e3f2905ea2b2882e6a95b3434d4d	</t>
  </si>
  <si>
    <t xml:space="preserve">	e:\GoogleDrive\articles\oxford dpt of statistics\finan45 - Brownian motion &amp; The refelection princip	le	and	sc	a.ps</t>
  </si>
  <si>
    <t xml:space="preserve">5ffe8620bbb8f96ad96ff677b040232f	</t>
  </si>
  <si>
    <t xml:space="preserve">	e:\GoogleDrive\articles\wilmott\0301_carreviews.pdf				</t>
  </si>
  <si>
    <t xml:space="preserve">5fff47e81ca5043addf87cda4e6e6e1a	</t>
  </si>
  <si>
    <t xml:space="preserve">	e:\GoogleDrive\articles\Planar point location.pdf				</t>
  </si>
  <si>
    <t xml:space="preserve">600179ebeae72698002144047cd5ea93	</t>
  </si>
  <si>
    <t xml:space="preserve">	e:\GoogleDrive\articles\course - groups symetry and fractals.pdf				</t>
  </si>
  <si>
    <t xml:space="preserve">6003f26810f7d58131ee4b13b0bd8795	</t>
  </si>
  <si>
    <t xml:space="preserve">	e:\GoogleDrive\articles\stresstesting\Tanguy%20Dehapito.pdf				</t>
  </si>
  <si>
    <t xml:space="preserve">60057b5fafc40b124f5c07db6b9d901c	</t>
  </si>
  <si>
    <t xml:space="preserve">	e:\GoogleDrive\articles\maths\exercices\ps5ans.pdf				</t>
  </si>
  <si>
    <t xml:space="preserve">6015925292dd96c90a73ea3b50468ede	</t>
  </si>
  <si>
    <t xml:space="preserve">	e:\GoogleDrive\articles\global risk 2007\day2\Henrotte_ICBINEW.pdf				</t>
  </si>
  <si>
    <t xml:space="preserve">603dd978286279b2a7c3f2329ecb2262	</t>
  </si>
  <si>
    <t xml:space="preserve">	e:\GoogleDrive\articles\wilmott\0507_osband.pdf				</t>
  </si>
  <si>
    <t xml:space="preserve">6057421e1558e1b67a4e116de04c5839	</t>
  </si>
  <si>
    <t xml:space="preserve">	e:\GoogleDrive\articles\journal of computational finance\v9n3a2.pdf				</t>
  </si>
  <si>
    <t xml:space="preserve">605d461bc5fd135f1647ec4c31ad1273	</t>
  </si>
  <si>
    <t xml:space="preserve">	e:\GoogleDrive\articles\risk_0309_technical_rm.pdf				</t>
  </si>
  <si>
    <t xml:space="preserve">	e:\GoogleDrive\articles\Sun Nelken Han Guo - Error of VAR by overlapping intervals.pdf				</t>
  </si>
  <si>
    <t xml:space="preserve">606c1df465ebd26fee38ef9a81fb5f88	</t>
  </si>
  <si>
    <t xml:space="preserve">	e:\GoogleDrive\articles\ebook with cev chapter\nist - A Statistical Test Suite for Random and Pseudo	ran	dom	Nu	mber Generators for Cryptographic Applications.pdf</t>
  </si>
  <si>
    <t xml:space="preserve">6076c4c5599c9c73162027bc14799198	</t>
  </si>
  <si>
    <t xml:space="preserve">	e:\GoogleDrive\articles\administratif\free adsl.doc				</t>
  </si>
  <si>
    <t xml:space="preserve">6077196a626c5f40d2d59d2347dc3736	</t>
  </si>
  <si>
    <t xml:space="preserve">	e:\GoogleDrive\articles\global derivatives 2008\matthias arnsdorf - bslp.pdf				</t>
  </si>
  <si>
    <t xml:space="preserve">607f7e675a0f6b62394675672db316e4	</t>
  </si>
  <si>
    <t xml:space="preserve">	e:\GoogleDrive\articles\culture generale\economics\lecture\reading\ch7 - phelps.pdf				</t>
  </si>
  <si>
    <t xml:space="preserve">60847b5f6e6d483f7025309f7f922904	</t>
  </si>
  <si>
    <t xml:space="preserve">	e:\GoogleDrive\articles\wilmott\0303_alexander.pdf				</t>
  </si>
  <si>
    <t xml:space="preserve">60988c9c0d13d6224e3ef83a5326ad3a	</t>
  </si>
  <si>
    <t xml:space="preserve">	e:\GoogleDrive\articles\journal of computational finance\v12n2a3 - Partial differential equation met	hod	s fo	r	the.pdf</t>
  </si>
  <si>
    <t xml:space="preserve">60a53114bafb05dd49d2ee149d3e6b70	</t>
  </si>
  <si>
    <t xml:space="preserve">	e:\GoogleDrive\articles\wilmott\0403_lyceum.pdf				</t>
  </si>
  <si>
    <t xml:space="preserve">60af010ae3bc4e490aae7a88dcd7d79b	</t>
  </si>
  <si>
    <t xml:space="preserve">	e:\GoogleDrive\articles\handbook on distributions.pdf				</t>
  </si>
  <si>
    <t xml:space="preserve">60b40a397e488ae6cb539e85610e39e9	</t>
  </si>
  <si>
    <t xml:space="preserve">	e:\GoogleDrive\articles\a classer\Sports\perodization made simple for website.pdf				</t>
  </si>
  <si>
    <t xml:space="preserve">60bb15fc3c78b84d8b9125376bfb2320	</t>
  </si>
  <si>
    <t xml:space="preserve">	e:\GoogleDrive\articles\imf publications\world economic outlook 2003 septembre\chapter1.pdf				</t>
  </si>
  <si>
    <t xml:space="preserve">60d17c796be8dacec5d1f8767493a885	</t>
  </si>
  <si>
    <t xml:space="preserve">	e:\GoogleDrive\articles\(ebook) - a non random walk down Wall street\ref.pdf				</t>
  </si>
  <si>
    <t xml:space="preserve">60d7be26367d8ad716e0a47d2c6cd7f0	</t>
  </si>
  <si>
    <t xml:space="preserve">	e:\GoogleDrive\articles\wilmott\0709_brown.pdf				</t>
  </si>
  <si>
    <t xml:space="preserve">60e4a176ef06f2092bac175f2470cdbd	</t>
  </si>
  <si>
    <t xml:space="preserve">	e:\GoogleDrive\articles\(phd) hunor\neigbours\k-enclosing shapes.pdf				</t>
  </si>
  <si>
    <t xml:space="preserve">60fa030a79e2c09cca8fde638a9223ad	</t>
  </si>
  <si>
    <t xml:space="preserve">	e:\GoogleDrive\articles\Notes on Elementary Number Theory\12 - solvcong.ps				</t>
  </si>
  <si>
    <t xml:space="preserve">610baca8201309cdbdd1ade7718a2706	</t>
  </si>
  <si>
    <t xml:space="preserve">	e:\GoogleDrive\articles\lecture notes (pittman probas)\lecture27.pdf				</t>
  </si>
  <si>
    <t xml:space="preserve">610e1622dbb16186212be915325aff19	</t>
  </si>
  <si>
    <t xml:space="preserve">	e:\GoogleDrive\articles\wilmott\0409_osband.pdf				</t>
  </si>
  <si>
    <t xml:space="preserve">610e4ebd59bef93f59d823ede3faa557	</t>
  </si>
  <si>
    <t xml:space="preserve">	e:\GoogleDrive\articles\wilmott\0509_osband.pdf				</t>
  </si>
  <si>
    <t xml:space="preserve">61175901b3369f2d4b51051bfd1fb8f7	</t>
  </si>
  <si>
    <t xml:space="preserve">	e:\GoogleDrive\articles\mark rubinstein\Mossin's Theory of Financial Markets.doc				</t>
  </si>
  <si>
    <t xml:space="preserve">613d0f10523b449b7ca02423a85c86d8	</t>
  </si>
  <si>
    <t xml:space="preserve">	e:\GoogleDrive\articles\wilmott\0407_giorgi.pdf				</t>
  </si>
  <si>
    <t xml:space="preserve">613d49cf3e8d149ec7d070508fab1486	</t>
  </si>
  <si>
    <t xml:space="preserve">	e:\GoogleDrive\articles\wilmott\0401_prast.pdf				</t>
  </si>
  <si>
    <t xml:space="preserve">613e77cc4073d230f9cd79e075a83f2d	</t>
  </si>
  <si>
    <t xml:space="preserve">	e:\GoogleDrive\articles\numericalR\c7-6.pdf				</t>
  </si>
  <si>
    <t xml:space="preserve">614258b0fc578d89e8a7c9b129266228	</t>
  </si>
  <si>
    <t xml:space="preserve">	e:\GoogleDrive\articles\(phd) hunor\phd\hackle\ICDM'03\Experimental Results.doc				</t>
  </si>
  <si>
    <t xml:space="preserve">615eeb99e8249b15b3d8f560cc43509b	</t>
  </si>
  <si>
    <t xml:space="preserve">	e:\GoogleDrive\articles\(phd) hunor\phd\figures\scenarii.eps				</t>
  </si>
  <si>
    <t xml:space="preserve">6161cee28424263a4b713ef6d77ffba5	</t>
  </si>
  <si>
    <t xml:space="preserve">	e:\GoogleDrive\articles\(ebook) - a non random walk down Wall street\tables.pdf				</t>
  </si>
  <si>
    <t xml:space="preserve">616cdecd4edbd9e7652d48fd8cb57755	</t>
  </si>
  <si>
    <t xml:space="preserve">	e:\GoogleDrive\articles\Mercurio Morini - A Note on SABR model (2006).pdf				</t>
  </si>
  <si>
    <t xml:space="preserve">617deca881cc9ba2fc7d1a622744afa6	</t>
  </si>
  <si>
    <t xml:space="preserve">	e:\GoogleDrive\articles\hagan - convexity conundrums.pdf				</t>
  </si>
  <si>
    <t xml:space="preserve">618376fddd91eef1f9c08f4c0209a440	</t>
  </si>
  <si>
    <t xml:space="preserve">	e:\GoogleDrive\articles\wilmott\0703_cziraky.pdf				</t>
  </si>
  <si>
    <t xml:space="preserve">618bcc142478ad8765740d61e36c3b3e	</t>
  </si>
  <si>
    <t xml:space="preserve">	e:\GoogleDrive\articles\(eBook) - statistical methods\url.txt				</t>
  </si>
  <si>
    <t xml:space="preserve">619fce52739f5258b547dcd657c60c88	</t>
  </si>
  <si>
    <t xml:space="preserve">	e:\GoogleDrive\articles\brace - markovian models in stochastic implied volatility framwork.pdf				</t>
  </si>
  <si>
    <t xml:space="preserve">	e:\GoogleDrive\articles\brace -markovian models in stochastic implied volatility framework.pdf				</t>
  </si>
  <si>
    <t xml:space="preserve">	e:\GoogleDrive\articles\Brace Goldys van der Hoek Womersley - Markovian Models in the Stochastic	Imp	lied	V	olatility Framework (2002).pdf</t>
  </si>
  <si>
    <t xml:space="preserve">61a83bb95e5acbfa6c0a7e17eb76bed2	</t>
  </si>
  <si>
    <t xml:space="preserve">	e:\GoogleDrive\articles\(phd) hunor\phd\these.tcp				</t>
  </si>
  <si>
    <t xml:space="preserve">61bcb624206b089b643c4d80b9175ccc	</t>
  </si>
  <si>
    <t xml:space="preserve">	e:\GoogleDrive\articles\culture generale\economics\lecture\reading\ch9 - kydland.pdf				</t>
  </si>
  <si>
    <t xml:space="preserve">61d8e29f9912fae4f507d40b54e3a9a8	</t>
  </si>
  <si>
    <t xml:space="preserve">	e:\GoogleDrive\articles\wilmott\0811_coverstory.pdf				</t>
  </si>
  <si>
    <t xml:space="preserve">61df8afb32314cee15cbe853c75b5abb	</t>
  </si>
  <si>
    <t xml:space="preserve">	e:\GoogleDrive\articles\strategic macro analysis dec_08.pdf				</t>
  </si>
  <si>
    <t xml:space="preserve">61ef146bd5f08c1fecc6b2a026e347f8	</t>
  </si>
  <si>
    <t xml:space="preserve">	e:\GoogleDrive\articles\brownian bridge\pi.pdf				</t>
  </si>
  <si>
    <t xml:space="preserve">61fe388578a1bcc88bfa63935fe4e527	</t>
  </si>
  <si>
    <t xml:space="preserve">	e:\GoogleDrive\articles\(phd) hunor\phd\introduction.aux				</t>
  </si>
  <si>
    <t xml:space="preserve">6206c32e509815c48f02d9d56efde32b	</t>
  </si>
  <si>
    <t xml:space="preserve">	e:\GoogleDrive\articles\brigo PhD thesis - Filtering by projection on the Manifold of exponenial den	sit	ies.	ps	</t>
  </si>
  <si>
    <t xml:space="preserve">6217902f7f72f8841144d2ba7e34ca8d	</t>
  </si>
  <si>
    <t xml:space="preserve">	e:\GoogleDrive\articles\(phd) hunor\neigbours\backuper.hcs				</t>
  </si>
  <si>
    <t xml:space="preserve">622c6526acf59f6aa5438a0a98fd9cb2	</t>
  </si>
  <si>
    <t xml:space="preserve">	e:\GoogleDrive\articles\marcusevans05 - MercurioME.pdf				</t>
  </si>
  <si>
    <t xml:space="preserve">62313d26bcd1e5bc25d64c4fe166bc15	</t>
  </si>
  <si>
    <t xml:space="preserve">	e:\GoogleDrive\articles\(ebook) - a non random walk down Wall street\pref.pdf				</t>
  </si>
  <si>
    <t xml:space="preserve">6239b5ac5d00c55274948d186af88233	</t>
  </si>
  <si>
    <t xml:space="preserve">	e:\GoogleDrive\articles\(ebook) selesnick burrus - Digital Signal Processing Handbook\18.pdf				</t>
  </si>
  <si>
    <t xml:space="preserve">623be3b5b5c2d21c2f6a4ed51b26e383	</t>
  </si>
  <si>
    <t xml:space="preserve">	e:\GoogleDrive\articles\Carol alexander - common correlation and calibrating the lognormal forward r	ate	mod	el	(Wilmott 2003).pdf</t>
  </si>
  <si>
    <t xml:space="preserve">623de7c0ff5ea4d5a2ed1ffbac5f94ec	</t>
  </si>
  <si>
    <t xml:space="preserve">	e:\GoogleDrive\articles\kleinert - path integrals 00.pdf				</t>
  </si>
  <si>
    <t xml:space="preserve">623f9c3020d252e85db8d954fe62872c	</t>
  </si>
  <si>
    <t xml:space="preserve">	e:\GoogleDrive\articles\wilmott\0603_booklaunch.pdf				</t>
  </si>
  <si>
    <t xml:space="preserve">62495d1f207522baab35438f163f66ba	</t>
  </si>
  <si>
    <t xml:space="preserve">	e:\GoogleDrive\articles\wilmott\0707_editorial.pdf				</t>
  </si>
  <si>
    <t xml:space="preserve">6263b7ee7819d2ea2420ffae3e1f0664	</t>
  </si>
  <si>
    <t xml:space="preserve">	e:\GoogleDrive\articles\BDT_Seminar_Paper.pdf				</t>
  </si>
  <si>
    <t xml:space="preserve">	e:\GoogleDrive\articles\engelbert - BDT_Seminar_Paper.pdf				</t>
  </si>
  <si>
    <t xml:space="preserve">	e:\GoogleDrive\articles\a classer\BDT_Seminar_Paper.pdf				</t>
  </si>
  <si>
    <t xml:space="preserve">6275291102b25571da399d6288652a1b	</t>
  </si>
  <si>
    <t xml:space="preserve">	e:\GoogleDrive\articles\hobby\Go strategy and tactics.docx				</t>
  </si>
  <si>
    <t xml:space="preserve">6299ff51c1590c000eb37df290de891e	</t>
  </si>
  <si>
    <t xml:space="preserve">	e:\GoogleDrive\articles\journal of computational finance\v9n2a2.pdf				</t>
  </si>
  <si>
    <t xml:space="preserve">62af5027ddf22ba57bc32715fb1b92fe	</t>
  </si>
  <si>
    <t xml:space="preserve">	e:\GoogleDrive\articles\wilmott - Option Pricing Mathematical Models and Computation.pdf				</t>
  </si>
  <si>
    <t xml:space="preserve">62b52bcad9ca7545d537e19ec385b708	</t>
  </si>
  <si>
    <t xml:space="preserve">	e:\GoogleDrive\articles\Giles - Multi-level Monte Carlo path simulation.pdf				</t>
  </si>
  <si>
    <t xml:space="preserve">62cc53332c19490b185bf7dcd54a4370	</t>
  </si>
  <si>
    <t xml:space="preserve">	e:\GoogleDrive\articles\mercurio castagna - The vanna-volga method for implied volatilities.pdf				</t>
  </si>
  <si>
    <t xml:space="preserve">62cf87ab32ad68d7729e6c77be0a238e	</t>
  </si>
  <si>
    <t xml:space="preserve">	e:\GoogleDrive\articles\kleinert - path integrals 04.pdf				</t>
  </si>
  <si>
    <t xml:space="preserve">62d891e5776c5efbe81b262bb6affe14	</t>
  </si>
  <si>
    <t xml:space="preserve">	e:\GoogleDrive\articles\numericalR\c8-2.pdf				</t>
  </si>
  <si>
    <t xml:space="preserve">62df87ee84af488635a57f9f40f386ce	</t>
  </si>
  <si>
    <t xml:space="preserve">	e:\GoogleDrive\articles\wilmott\2002_09_50to52_Bamberger.pdf				</t>
  </si>
  <si>
    <t xml:space="preserve">62e9a7b3893bcb881c21e1530876ec30	</t>
  </si>
  <si>
    <t xml:space="preserve">	e:\GoogleDrive\articles\Zhang L_ Guan Y - Variance Estimation over Sliding Windows.pdf				</t>
  </si>
  <si>
    <t xml:space="preserve">62fa997cff42449a5a68d918c7dbf75d	</t>
  </si>
  <si>
    <t xml:space="preserve">	e:\GoogleDrive\articles\wilmott\0805_bogni.pdf				</t>
  </si>
  <si>
    <t xml:space="preserve">630919cfc27018a68683b2e5cc5a5de9	</t>
  </si>
  <si>
    <t xml:space="preserve">	e:\GoogleDrive\articles\maths\xcheng\week01.pdf				</t>
  </si>
  <si>
    <t xml:space="preserve">631c76d4e3af2ffc37677357f81aa494	</t>
  </si>
  <si>
    <t xml:space="preserve">	e:\GoogleDrive\articles\info - algo\it - identifying cpu type.doc				</t>
  </si>
  <si>
    <t xml:space="preserve">6324d6e9382188a72eabc84c00839754	</t>
  </si>
  <si>
    <t xml:space="preserve">	e:\GoogleDrive\articles\data mining\ECMLPKDD2004\images\sponsors\intel_logo.gif				</t>
  </si>
  <si>
    <t xml:space="preserve">634aad3c7e600cb6a569dc24bea193de	</t>
  </si>
  <si>
    <t xml:space="preserve">	e:\GoogleDrive\articles\wilmott\0609_staunton.pdf				</t>
  </si>
  <si>
    <t xml:space="preserve">634bf3c278d136ea84ce47bbcd5979a8	</t>
  </si>
  <si>
    <t xml:space="preserve">	e:\GoogleDrive\articles\wilmott\0607_editorial.pdf				</t>
  </si>
  <si>
    <t xml:space="preserve">6353414eca7ebe1b93fe67e539633be7	</t>
  </si>
  <si>
    <t xml:space="preserve">	e:\GoogleDrive\articles\wilmott\0307_mikh.pdf				</t>
  </si>
  <si>
    <t xml:space="preserve">6364e432191759998e3eca2f09354395	</t>
  </si>
  <si>
    <t xml:space="preserve">	e:\GoogleDrive\articles\EJP-2004-1477.ps				</t>
  </si>
  <si>
    <t xml:space="preserve">637a013533b36d6bd1088889b1ff2642	</t>
  </si>
  <si>
    <t xml:space="preserve">	e:\GoogleDrive\articles\a classer\jarrow - interest rate caps smile.pdf				</t>
  </si>
  <si>
    <t xml:space="preserve">6383a2b3a8f3b01f24fd5cdac0b74c0d	</t>
  </si>
  <si>
    <t xml:space="preserve">	e:\GoogleDrive\articles\info - graphics\dolejsi - anisotropic mesh adaptation for finite volume and	fin	ite	el	ement methods on triangular meshes.ps</t>
  </si>
  <si>
    <t xml:space="preserve">63abd6f5103b36f0f869461ed19447af	</t>
  </si>
  <si>
    <t xml:space="preserve">	e:\GoogleDrive\articles\nielsen - cubic splines.ps				</t>
  </si>
  <si>
    <t xml:space="preserve">63c18512c9d5211f917d4a8d2dc66d28	</t>
  </si>
  <si>
    <t xml:space="preserve">	e:\GoogleDrive\articles\(ebook) selesnick burrus - Digital Signal Processing Handbook\73.pdf				</t>
  </si>
  <si>
    <t xml:space="preserve">63c41616855c96e546ab50199cfd851e	</t>
  </si>
  <si>
    <t xml:space="preserve">	e:\GoogleDrive\articles\anagrammer\Assembly Language Step by Step code\JED.EXE				</t>
  </si>
  <si>
    <t xml:space="preserve">63f703d3483a1ce87d850a9f6f9ea002	</t>
  </si>
  <si>
    <t xml:space="preserve">	e:\GoogleDrive\articles\administratif\anya - Accreditation.doc				</t>
  </si>
  <si>
    <t xml:space="preserve">6405b9e5e64e5bd51ac7c2edd55dac17	</t>
  </si>
  <si>
    <t xml:space="preserve">	e:\GoogleDrive\articles\info - algo\algo - traits on steroids.docx				</t>
  </si>
  <si>
    <t xml:space="preserve">641adbae32e85bc18f141e6cfd2a3f7a	</t>
  </si>
  <si>
    <t xml:space="preserve">	e:\GoogleDrive\articles\maths sp‚\chapitre12 - series de Fourier.pdf				</t>
  </si>
  <si>
    <t xml:space="preserve">641dad469daf2b54d39b000b111b0cee	</t>
  </si>
  <si>
    <t xml:space="preserve">	e:\GoogleDrive\articles\saito matsumoto - SIMD-oriented fast mersenne twister.pdf				</t>
  </si>
  <si>
    <t xml:space="preserve">6430550577f4b671d6697a51a2754fe6	</t>
  </si>
  <si>
    <t xml:space="preserve">	e:\GoogleDrive\articles\risk_0308_technical_credit.pdf				</t>
  </si>
  <si>
    <t xml:space="preserve">643604f2ad1cc18e788257b13c764790	</t>
  </si>
  <si>
    <t xml:space="preserve">	e:\GoogleDrive\articles\lecture\Lecture7.pdf				</t>
  </si>
  <si>
    <t xml:space="preserve">646721889c0155e1608fd7d6bd4555ce	</t>
  </si>
  <si>
    <t xml:space="preserve">	e:\GoogleDrive\articles\FINITE_DIFFERENCE_APPROXIMATION_FOR_PRICING_THE_AMERICAN_LOOKBACK_OPTION[1].	pdf			</t>
  </si>
  <si>
    <t xml:space="preserve">	e:\GoogleDrive\articles\zhang - finite difference approximation for pricing the american loopback op	tio	n.pd	f	</t>
  </si>
  <si>
    <t xml:space="preserve">648d1cb1401cd37d38e5e2fc933123fa	</t>
  </si>
  <si>
    <t xml:space="preserve">	e:\GoogleDrive\articles\Javaheri - Garch and volatility swaps.pdf				</t>
  </si>
  <si>
    <t xml:space="preserve">649fd4ffb00a8c42994ed75c1d83c2a2	</t>
  </si>
  <si>
    <t xml:space="preserve">	e:\GoogleDrive\articles\maths\CS683 - Advanced algorithms\lec09.ps				</t>
  </si>
  <si>
    <t xml:space="preserve">64b98c2bf268d45eb742f8124bec44ce	</t>
  </si>
  <si>
    <t xml:space="preserve">	e:\GoogleDrive\articles\wystup - figures uocall.ps				</t>
  </si>
  <si>
    <t xml:space="preserve">	e:\GoogleDrive\articles\wystup - figures1.ps				</t>
  </si>
  <si>
    <t xml:space="preserve">64d9a232f5bf37d3d01f971789eddebd	</t>
  </si>
  <si>
    <t xml:space="preserve">	e:\GoogleDrive\articles\wilmott\0211_bamberger.pdf				</t>
  </si>
  <si>
    <t xml:space="preserve">64ddb13fc8de6d4362c243fb9bbccfb1	</t>
  </si>
  <si>
    <t xml:space="preserve">	e:\GoogleDrive\articles\piterberg - A Note on Pricing Weakly-path-dependent American-style Options b	y B	ackw	ar	d Induction.pdf</t>
  </si>
  <si>
    <t xml:space="preserve">64e9acc2f3f889d124243a49eeea10ee	</t>
  </si>
  <si>
    <t xml:space="preserve">	e:\GoogleDrive\articles\stats - two sample tests.pdf				</t>
  </si>
  <si>
    <t xml:space="preserve">64efbdbbdab2e44442b7ee4794c52b78	</t>
  </si>
  <si>
    <t xml:space="preserve">	e:\GoogleDrive\articles\(eBook) - INVARIANCE THEORY  HEAT EQUATION  ATIYAH-SINGER .pdf				</t>
  </si>
  <si>
    <t xml:space="preserve">64f101d5d8462d135281ab75a2675036	</t>
  </si>
  <si>
    <t xml:space="preserve">	e:\GoogleDrive\articles\data mining\ECMLPKDD2004\workshops\W8.pdf				</t>
  </si>
  <si>
    <t xml:space="preserve">64f4004b92001a191d54fa10893a3179	</t>
  </si>
  <si>
    <t xml:space="preserve">	e:\GoogleDrive\articles\journal of computational finance\backuper.hcs				</t>
  </si>
  <si>
    <t xml:space="preserve">64fb9c1614235d7559034146f2e460a9	</t>
  </si>
  <si>
    <t xml:space="preserve">	e:\GoogleDrive\articles\(phd) hunor\phd\figures\original\hackleExample.tif				</t>
  </si>
  <si>
    <t xml:space="preserve">64fcf16715802fcb3ce53ee972770e18	</t>
  </si>
  <si>
    <t xml:space="preserve">	e:\GoogleDrive\articles\global risk 2007\day1\Mark Ryten - inflation.pdf				</t>
  </si>
  <si>
    <t xml:space="preserve">650467905cd2424d07bc930f29549b2e	</t>
  </si>
  <si>
    <t xml:space="preserve">	e:\GoogleDrive\articles\wilmott\0507_duffy.pdf				</t>
  </si>
  <si>
    <t xml:space="preserve">65164db999e8ddadc566f7f45c314683	</t>
  </si>
  <si>
    <t xml:space="preserve">	e:\GoogleDrive\articles\(eBook) - Piegl Tiller - The NURBS Book (Monographs in Visual Communication	) (	1996	)(	en).djvu</t>
  </si>
  <si>
    <t xml:space="preserve">	e:\GoogleDrive\articles\Piegl L[1].A. Tiller W. - The NURBS Book (Monographs in Visual Communicati	on)	(19	96	)(en).djvu</t>
  </si>
  <si>
    <t xml:space="preserve">6533f39b9dcdb50e064dccb0506a2b0e	</t>
  </si>
  <si>
    <t xml:space="preserve">	e:\GoogleDrive\articles\wilmott\0609_ayache.pdf				</t>
  </si>
  <si>
    <t xml:space="preserve">6539ff1ea7adbe35cdb06fc108303a51	</t>
  </si>
  <si>
    <t xml:space="preserve">	e:\GoogleDrive\articles\global derivatives 2008\wim schoutens - levy processes.pdf				</t>
  </si>
  <si>
    <t xml:space="preserve">653a3c7980a85c1e9178772f291ddb11	</t>
  </si>
  <si>
    <t xml:space="preserve">	e:\GoogleDrive\articles\HF trading\glattfelder dupuis olsen - Patterns in high frequency FX data -	Di	scov	er	y of 12 empirical scaling laws.pdf</t>
  </si>
  <si>
    <t xml:space="preserve">653b86fdd0944de2554d540f3eb736cc	</t>
  </si>
  <si>
    <t xml:space="preserve">	e:\GoogleDrive\articles\wilmott\0301_thorp.pdf				</t>
  </si>
  <si>
    <t xml:space="preserve">653cbea63bac1b7ff22b061c9c376470	</t>
  </si>
  <si>
    <t xml:space="preserve">	e:\GoogleDrive\articles\Cyganowski kloeden pohl - maple for for Stochastic Differential Equations.	pdf			</t>
  </si>
  <si>
    <t xml:space="preserve">6561a4f779288289ca52c01c1aa30c01	</t>
  </si>
  <si>
    <t xml:space="preserve">	e:\GoogleDrive\articles\maths\cours - introduction au calcul stochastic - p.pdf				</t>
  </si>
  <si>
    <t xml:space="preserve">	e:\GoogleDrive\articles\un cours de calcul stochastique\calculsto.pdf				</t>
  </si>
  <si>
    <t xml:space="preserve">658e7cd325231b8edc4af492f93a319e	</t>
  </si>
  <si>
    <t xml:space="preserve">	e:\GoogleDrive\articles\brigo - Different covariance parametrization for the joint calibration of LM	M a	nd S	MM	.pdf</t>
  </si>
  <si>
    <t xml:space="preserve">659fcbed3a5a7f00dc37cbd3e81e3e55	</t>
  </si>
  <si>
    <t xml:space="preserve">	e:\GoogleDrive\articles\wilmott\0603_drz.pdf				</t>
  </si>
  <si>
    <t xml:space="preserve">65b3d1d1a2120e774c3acd8b2f65cf4f	</t>
  </si>
  <si>
    <t xml:space="preserve">	e:\GoogleDrive\articles\chan - the sine product formula and the gamma function.pdf				</t>
  </si>
  <si>
    <t xml:space="preserve">65c5d012e47f2d7cc10784123dc1dd98	</t>
  </si>
  <si>
    <t xml:space="preserve">	e:\GoogleDrive\articles\info - data mining\Song rowen et al. - An Analysis of Many-to-Many Relation	shi	ps B	et	ween Fact and Dimension Tables in Dimensional Modeling.pdf</t>
  </si>
  <si>
    <t xml:space="preserve">65ca3a0d7357b8cec7d50f0527404f8f	</t>
  </si>
  <si>
    <t xml:space="preserve">	e:\GoogleDrive\articles\(ebook) selesnick burrus - Digital Signal Processing Handbook\48.pdf				</t>
  </si>
  <si>
    <t xml:space="preserve">65d02610973231882d9a3a5008f846f0	</t>
  </si>
  <si>
    <t xml:space="preserve">	e:\GoogleDrive\articles\svoboda-greenwood - on the similarity between displaced diffusion and CEV pr	oce	sses	.p	df</t>
  </si>
  <si>
    <t xml:space="preserve">65e0212dc4657613795116c13f4e0e8b	</t>
  </si>
  <si>
    <t xml:space="preserve">	e:\GoogleDrive\articles\latex files\MARFX Greeks\MAFXRMainFile.tex				</t>
  </si>
  <si>
    <t xml:space="preserve">661576ac9c59b2c647891b2dbaf45588	</t>
  </si>
  <si>
    <t xml:space="preserve">	e:\GoogleDrive\articles\kleinert - path integrals 09.pdf				</t>
  </si>
  <si>
    <t xml:space="preserve">6626d0e5b80aee9af8eb0beea1ee28ae	</t>
  </si>
  <si>
    <t xml:space="preserve">	e:\GoogleDrive\articles\(eBook) - statistical methods\chapter04.pdf				</t>
  </si>
  <si>
    <t xml:space="preserve">662f6828bcfc19b5a6c8a4af35404a3c	</t>
  </si>
  <si>
    <t xml:space="preserve">	e:\GoogleDrive\articles\WBS IR modelling Course\Credit Derivatives and Hybrids\CD2.4Sidenius_84.pdf				</t>
  </si>
  <si>
    <t xml:space="preserve">664f9d879ee2011ac4f815f920d666b7	</t>
  </si>
  <si>
    <t xml:space="preserve">	e:\GoogleDrive\articles\uratani utsunomiya - Lattice calculation for forward LIBOR .pdf				</t>
  </si>
  <si>
    <t xml:space="preserve">66569b9c0e72e2f7b66a60e7bf0d13f8	</t>
  </si>
  <si>
    <t xml:space="preserve">	e:\GoogleDrive\articles\(eBook) chang - stochastic-processes.pdf				</t>
  </si>
  <si>
    <t xml:space="preserve">666a6bc998b2af7b9fa4c29f7eee3f11	</t>
  </si>
  <si>
    <t xml:space="preserve">	e:\GoogleDrive\articles\stresstesting\Duellmann.pdf				</t>
  </si>
  <si>
    <t xml:space="preserve">6675479da8bb76b96b33a9da40275ce9	</t>
  </si>
  <si>
    <t xml:space="preserve">	e:\GoogleDrive\articles\wilmott\0703_das.pdf				</t>
  </si>
  <si>
    <t xml:space="preserve">667e39186c40e71cb53c05e7672577a3	</t>
  </si>
  <si>
    <t xml:space="preserve">	e:\GoogleDrive\articles\(ebook) - a non random walk down Wall street\part2.pdf				</t>
  </si>
  <si>
    <t xml:space="preserve">668a2388d908a2a3847d124d7ccf98cc	</t>
  </si>
  <si>
    <t xml:space="preserve">	e:\GoogleDrive\articles\lobaskin\047029292X - Wiley - Frontiers in Quantitative Finance Volat.pdf				</t>
  </si>
  <si>
    <t xml:space="preserve">66997f22daa4bcc18113278cefda4152	</t>
  </si>
  <si>
    <t xml:space="preserve">	e:\GoogleDrive\articles\journal of computational finance\v10n1a1.pdf				</t>
  </si>
  <si>
    <t xml:space="preserve">66a4e55d02366275519dee4ea6e38146	</t>
  </si>
  <si>
    <t xml:space="preserve">	e:\GoogleDrive\articles\algo - Dijkstra.docx				</t>
  </si>
  <si>
    <t xml:space="preserve">66c0dc2a3f2f2ae55282f2053ca21c42	</t>
  </si>
  <si>
    <t xml:space="preserve">	e:\GoogleDrive\articles\merton73.pdf				</t>
  </si>
  <si>
    <t xml:space="preserve">	e:\GoogleDrive\articles\MiER73.pdf				</t>
  </si>
  <si>
    <t xml:space="preserve">66cf7df6e597077a9b119695ca59091b	</t>
  </si>
  <si>
    <t xml:space="preserve">	e:\GoogleDrive\articles\(ebook) Go - gzp1.pdf				</t>
  </si>
  <si>
    <t xml:space="preserve">66e2acd1685b313acdb5deb0de3cc82f	</t>
  </si>
  <si>
    <t xml:space="preserve">	e:\GoogleDrive\articles\wilmott\0811_sybase.pdf				</t>
  </si>
  <si>
    <t xml:space="preserve">66e33f546e326cc559b4143c0f9bf407	</t>
  </si>
  <si>
    <t xml:space="preserve">	e:\GoogleDrive\articles\a classer\Duan.pdf				</t>
  </si>
  <si>
    <t xml:space="preserve">66fa7372b169a57c3c12e6f256a4789e	</t>
  </si>
  <si>
    <t xml:space="preserve">	e:\GoogleDrive\articles\latex files\Avi - NIG 9.doc				</t>
  </si>
  <si>
    <t xml:space="preserve">670dd9875521d35531fcc420e2b71db3	</t>
  </si>
  <si>
    <t xml:space="preserve">	e:\GoogleDrive\articles\info - graphics\Delaunay Triangulations height interpolation.pdf				</t>
  </si>
  <si>
    <t xml:space="preserve">67287c1bd44ac2d5c240fb2d1926a2d3	</t>
  </si>
  <si>
    <t xml:space="preserve">	e:\GoogleDrive\articles\fva - castagna - yes fva is a cost for derivatives desks.pdf				</t>
  </si>
  <si>
    <t xml:space="preserve">67388e957ae3b6007b823dfe7022cded	</t>
  </si>
  <si>
    <t xml:space="preserve">	e:\GoogleDrive\articles\wilmott\0803_isc.pdf				</t>
  </si>
  <si>
    <t xml:space="preserve">6740f9a2ef63163270cfb273ee1e42dc	</t>
  </si>
  <si>
    <t xml:space="preserve">	e:\GoogleDrive\articles\maths\CS683 - Advanced algorithms\lec23.ps				</t>
  </si>
  <si>
    <t xml:space="preserve">674a1825bf99c57ea2ae7a6246f2c378	</t>
  </si>
  <si>
    <t xml:space="preserve">	e:\GoogleDrive\articles\probability.pdf				</t>
  </si>
  <si>
    <t xml:space="preserve">675750523dae5881df06b0e14dcd7d8a	</t>
  </si>
  <si>
    <t xml:space="preserve">	e:\GoogleDrive\articles\wilmott\0609_news.pdf				</t>
  </si>
  <si>
    <t xml:space="preserve">676d972ca8266eb55496131473fb08c1	</t>
  </si>
  <si>
    <t xml:space="preserve">	e:\GoogleDrive\articles\WBS IR modelling Course\IR Modelling\IR2.2Rebonato_101.pdf				</t>
  </si>
  <si>
    <t xml:space="preserve">67ab35c9821bd2938865cab86e056fae	</t>
  </si>
  <si>
    <t xml:space="preserve">	e:\GoogleDrive\articles\data mining\ECMLPKDD2004\tutorials\backuper.hcs				</t>
  </si>
  <si>
    <t xml:space="preserve">67ad8c7f210451b2afbc185c41b6658b	</t>
  </si>
  <si>
    <t xml:space="preserve">	e:\GoogleDrive\articles\Berrahoui - Pricing CMS Spread Options and Digital CMS Spread options with s	mil	e.pd	f	</t>
  </si>
  <si>
    <t xml:space="preserve">	e:\GoogleDrive\articles\wilmott\0405_berrahoui.pdf				</t>
  </si>
  <si>
    <t xml:space="preserve">67ae3a8e669b62d2cc9dcc1834b49a07	</t>
  </si>
  <si>
    <t xml:space="preserve">	e:\GoogleDrive\articles\Linear systems\chap9.pdf				</t>
  </si>
  <si>
    <t xml:space="preserve">67beced655d6a20d6b8dfa26481c4d07	</t>
  </si>
  <si>
    <t xml:space="preserve">	e:\GoogleDrive\articles\anagrammer\Extreme Programming Explored.pdf				</t>
  </si>
  <si>
    <t xml:space="preserve">67c2e78e5ea1b1dc5eb698ae71a5846a	</t>
  </si>
  <si>
    <t xml:space="preserve">	e:\GoogleDrive\articles\administratif\attestation hec.doc				</t>
  </si>
  <si>
    <t xml:space="preserve">67cf322127f8b3a41f90fffd4fc1ed33	</t>
  </si>
  <si>
    <t xml:space="preserve">	e:\GoogleDrive\articles\wilmott\0803_schoutens.pdf				</t>
  </si>
  <si>
    <t xml:space="preserve">68113e43cc66aa182bb802ce395e9b57	</t>
  </si>
  <si>
    <t xml:space="preserve">	e:\GoogleDrive\articles\bouchaud - Eigenvector stability Random Matrix Theory and Financial Applica	tio	ns.p	df	</t>
  </si>
  <si>
    <t xml:space="preserve">6839ece243a241facf46e342236465b5	</t>
  </si>
  <si>
    <t xml:space="preserve">	e:\GoogleDrive\articles\anagrammer\Distributed Operating Systems - Tanenbaum.pdf				</t>
  </si>
  <si>
    <t xml:space="preserve">684639e56791cd5f223d0c237d6b765a	</t>
  </si>
  <si>
    <t xml:space="preserve">	e:\GoogleDrive\articles\global risk 2007\day2\Julien Turc.zip				</t>
  </si>
  <si>
    <t xml:space="preserve">688b7d00b5ef86d2e373aeaf4a4d0c42	</t>
  </si>
  <si>
    <t xml:space="preserve">	e:\GoogleDrive\articles\(ebook) selesnick burrus - Digital Signal Processing Handbook\39.pdf				</t>
  </si>
  <si>
    <t xml:space="preserve">6890545525afeecaf31dcb93fff1eb14	</t>
  </si>
  <si>
    <t xml:space="preserve">	e:\GoogleDrive\articles\foot\Rout Khandual Zhang Luximon - 3D Foot Scan to Custom Shoe Last.pdf				</t>
  </si>
  <si>
    <t xml:space="preserve">68969c854d81608092a9a82a3c3310f1	</t>
  </si>
  <si>
    <t xml:space="preserve">	e:\GoogleDrive\articles\cours finance\cours04.ps				</t>
  </si>
  <si>
    <t xml:space="preserve">689ae99573df90f87cb34f035f816c7f	</t>
  </si>
  <si>
    <t xml:space="preserve">	e:\GoogleDrive\articles\math - Joint Density Functions Marginal Density FunctionsConditional Densi	ty	Func	ti	ons Expectations and Independence.pdf</t>
  </si>
  <si>
    <t xml:space="preserve">68a8910ab3b0f00a3d1d19e352864daf	</t>
  </si>
  <si>
    <t xml:space="preserve">	e:\GoogleDrive\articles\chong raveendran mukundan - Translation and scale invaraiants of legendre	mom	ents	.p	df</t>
  </si>
  <si>
    <t xml:space="preserve">68b98564f0f9a888aa0a6122752fcb42	</t>
  </si>
  <si>
    <t xml:space="preserve">	e:\GoogleDrive\articles\wilmott\0409_coverstory.pdf				</t>
  </si>
  <si>
    <t xml:space="preserve">68bfcc87c2fccb4c8eb9d19d26b47b34	</t>
  </si>
  <si>
    <t xml:space="preserve">	e:\GoogleDrive\articles\lecture notes (pittman probas)\lecture18.pdf				</t>
  </si>
  <si>
    <t xml:space="preserve">68cf0af32a910a2d478b1ced75af5771	</t>
  </si>
  <si>
    <t xml:space="preserve">	e:\GoogleDrive\articles\lobaskin\Forex Patterns and Probabilities - Ed Ponsi (2007).pdf				</t>
  </si>
  <si>
    <t xml:space="preserve">68d31a20785321709ad7a3e56d124044	</t>
  </si>
  <si>
    <t xml:space="preserve">	e:\GoogleDrive\articles\anagrammer\The Hardware book.rar				</t>
  </si>
  <si>
    <t xml:space="preserve">68dd7d916d226627815283f4d29bd7f0	</t>
  </si>
  <si>
    <t xml:space="preserve">	e:\GoogleDrive\articles\wilmott\0811_thulasidas.pdf				</t>
  </si>
  <si>
    <t xml:space="preserve">68fa6ed07bfaf1175ee710b68d29a7b9	</t>
  </si>
  <si>
    <t xml:space="preserve">	e:\GoogleDrive\articles\(eBook) - ingles analysis of algorithms\capitulo2-ingles.pdf				</t>
  </si>
  <si>
    <t xml:space="preserve">69028b4e4fb2976a945b94e1ab05d228	</t>
  </si>
  <si>
    <t xml:space="preserve">	e:\GoogleDrive\articles\numericalR\c5-13.pdf				</t>
  </si>
  <si>
    <t xml:space="preserve">69170b92c79e60dd7772de631d4c29b9	</t>
  </si>
  <si>
    <t xml:space="preserve">	e:\GoogleDrive\articles\global derivatives 2008\tom hyer - sufficient statistics.pdf				</t>
  </si>
  <si>
    <t xml:space="preserve">69519169460662fbec402c936ec03e64	</t>
  </si>
  <si>
    <t xml:space="preserve">	e:\GoogleDrive\articles\lecture notes (pittman probas)\lecture16.pdf				</t>
  </si>
  <si>
    <t xml:space="preserve">6991aaee50110f7b16d0940f56d97970	</t>
  </si>
  <si>
    <t xml:space="preserve">	e:\GoogleDrive\articles\Linear systems\url.txt				</t>
  </si>
  <si>
    <t xml:space="preserve">69ac7fccc7b787f1cecd13378597ce6e	</t>
  </si>
  <si>
    <t xml:space="preserve">	e:\GoogleDrive\articles\mirfendereski rebonato.pdf				</t>
  </si>
  <si>
    <t xml:space="preserve">69aeb262ef062a3a8fe2f4e5fc1b08fd	</t>
  </si>
  <si>
    <t xml:space="preserve">	e:\GoogleDrive\articles\administratif\acm.xls				</t>
  </si>
  <si>
    <t xml:space="preserve">69ba7ba13b6d5098936ddeea204aeb97	</t>
  </si>
  <si>
    <t xml:space="preserve">	e:\GoogleDrive\articles\kleinert - path integrals 18.pdf				</t>
  </si>
  <si>
    <t xml:space="preserve">69be3a8026614689c923e217be411440	</t>
  </si>
  <si>
    <t xml:space="preserve">	e:\GoogleDrive\articles\wilmott\0707_coverstory.pdf				</t>
  </si>
  <si>
    <t xml:space="preserve">69c3832652b7d6e662a5c5b3ea089904	</t>
  </si>
  <si>
    <t xml:space="preserve">	e:\GoogleDrive\articles\wilmott\0809_editorial.pdf				</t>
  </si>
  <si>
    <t xml:space="preserve">69c3f75e1a819650b7ae470617510669	</t>
  </si>
  <si>
    <t xml:space="preserve">	e:\GoogleDrive\articles\info - algo\welch bishop - an introduction to the kalman filter.pdf				</t>
  </si>
  <si>
    <t xml:space="preserve">69e9b4dedc5279b6f486c91183c0fa90	</t>
  </si>
  <si>
    <t xml:space="preserve">	e:\GoogleDrive\articles\Notes on Elementary Number Theory\29 - approx.ps				</t>
  </si>
  <si>
    <t xml:space="preserve">69ece83f43f79aa97da418bb3b183d30	</t>
  </si>
  <si>
    <t xml:space="preserve">	e:\GoogleDrive\articles\global risk 2007\day2\Daniel Bloch - to go on site with slides.zip				</t>
  </si>
  <si>
    <t xml:space="preserve">6a131050ae147225cdbbdc37ddbcc520	</t>
  </si>
  <si>
    <t xml:space="preserve">	e:\GoogleDrive\articles\Hunor - An advancing front method adaptation.docx				</t>
  </si>
  <si>
    <t xml:space="preserve">6a1b4ea0362fd1f97b74ce2b6c3aecb9	</t>
  </si>
  <si>
    <t xml:space="preserve">	e:\GoogleDrive\articles\breyer - stochastic calculus.pdf				</t>
  </si>
  <si>
    <t xml:space="preserve">6a1dd1a2f813a67771493637b36c2d66	</t>
  </si>
  <si>
    <t xml:space="preserve">	e:\GoogleDrive\articles\risk_technical - iterating cancellable snowballs.pdf				</t>
  </si>
  <si>
    <t xml:space="preserve">6a318cc04739dba42f0482edd4711009	</t>
  </si>
  <si>
    <t xml:space="preserve">	e:\GoogleDrive\articles\wilmott\0409_collector.pdf				</t>
  </si>
  <si>
    <t xml:space="preserve">6a41d7e12ca7ac217f33fd49b5d43ff6	</t>
  </si>
  <si>
    <t xml:space="preserve">	e:\GoogleDrive\articles\(phd) hunor\phd\reHackle.aux				</t>
  </si>
  <si>
    <t xml:space="preserve">6a445869ad0ef426488686971f0a4c16	</t>
  </si>
  <si>
    <t xml:space="preserve">	e:\GoogleDrive\articles\numericalR\c0-2.pdf				</t>
  </si>
  <si>
    <t xml:space="preserve">6a610e12a4c6aaef442d4b27aa591641	</t>
  </si>
  <si>
    <t xml:space="preserve">	e:\GoogleDrive\articles\(phd) hunor\phd\these.tex				</t>
  </si>
  <si>
    <t xml:space="preserve">6a76ce2f00d6cbdc911e758586838b3a	</t>
  </si>
  <si>
    <t xml:space="preserve">	e:\GoogleDrive\articles\maths\xcheng\week26.pdf				</t>
  </si>
  <si>
    <t xml:space="preserve">6a89bfda84cf844249292af642df33e6	</t>
  </si>
  <si>
    <t xml:space="preserve">	e:\GoogleDrive\articles\Sharifi Crane Shamaie Ruskin - Random Matrix Theory for Portfolio Optimis	ati	on	A	Stability Approach.pdf</t>
  </si>
  <si>
    <t xml:space="preserve">6aa82f755e252f84b7ca2cf947019d8e	</t>
  </si>
  <si>
    <t xml:space="preserve">	e:\GoogleDrive\articles\wilmott\2002_09_22to23_Rudi_Bogni.pdf				</t>
  </si>
  <si>
    <t xml:space="preserve">6aaddd18046fbf29394a0473f503abb3	</t>
  </si>
  <si>
    <t xml:space="preserve">	e:\GoogleDrive\articles\lobaskin\P.Kaufman.Trading Systems &amp; Methods\Kaufman - Trading Systems &amp; Met	hod	s -	Ch	ap20.doc</t>
  </si>
  <si>
    <t xml:space="preserve">6ab66fbd750640b5379eccb48c33f70c	</t>
  </si>
  <si>
    <t xml:space="preserve">	e:\GoogleDrive\articles\wilmott\0709_nail.pdf				</t>
  </si>
  <si>
    <t xml:space="preserve">6ad0665bedbe060851e97a3e96af9944	</t>
  </si>
  <si>
    <t xml:space="preserve">	e:\GoogleDrive\articles\wilmott\0307_brown.pdf				</t>
  </si>
  <si>
    <t xml:space="preserve">6ad09dd1d82eee0b9f87013d80879bac	</t>
  </si>
  <si>
    <t xml:space="preserve">	e:\GoogleDrive\articles\bratley fox - algorithm 659 - implmenting sobol's quasirandom sequence gene	rat	or (	19	88).pdf</t>
  </si>
  <si>
    <t xml:space="preserve">6ae1c52f81040edbc07ec6817f05939f	</t>
  </si>
  <si>
    <t xml:space="preserve">	e:\GoogleDrive\articles\wystup - Dealing with dangerous digitals.ps				</t>
  </si>
  <si>
    <t xml:space="preserve">6aef5467edc88e30158fe6b2e3f3c53d	</t>
  </si>
  <si>
    <t xml:space="preserve">	e:\GoogleDrive\articles\glasserman - Cap and Swaption Approximations in LIBOR Market Models with Jum	ps.	pdf		</t>
  </si>
  <si>
    <t xml:space="preserve">6b08a4a581831e423901812f646d38ed	</t>
  </si>
  <si>
    <t xml:space="preserve">	e:\GoogleDrive\articles\data mining\KDID03-proceedings - prn.pdf				</t>
  </si>
  <si>
    <t xml:space="preserve">6b0cc76ca9ba1d338f47bd338146adac	</t>
  </si>
  <si>
    <t xml:space="preserve">	e:\GoogleDrive\articles\wilmott\0707_carreviews.pdf				</t>
  </si>
  <si>
    <t xml:space="preserve">6b10743fac3616c8f658af334bb07da2	</t>
  </si>
  <si>
    <t xml:space="preserve">	e:\GoogleDrive\articles\you wang liao - The Simulation of Elastic Human Body Deformation and Garme	nt	Pres	su	re with Moving Mesh Method.pdf</t>
  </si>
  <si>
    <t xml:space="preserve">6b12c0688afd503ba8e309fceec09835	</t>
  </si>
  <si>
    <t xml:space="preserve">	e:\GoogleDrive\articles\wilmott\0501_bos.pdf				</t>
  </si>
  <si>
    <t xml:space="preserve">6b3cc2901b7e18b5863822bc4eb64337	</t>
  </si>
  <si>
    <t xml:space="preserve">	e:\GoogleDrive\articles\lobaskin\P.Kaufman.Trading Systems &amp; Methods\Kaufman - Trading Systems &amp; Met	hod	s -	Ap	pendix 2.doc</t>
  </si>
  <si>
    <t xml:space="preserve">6b5038f7680001663caa295e0f84c20c	</t>
  </si>
  <si>
    <t xml:space="preserve">	e:\GoogleDrive\articles\zivot - Analysis of High Frequency Financial Data part2 (2005).pdf				</t>
  </si>
  <si>
    <t xml:space="preserve">6b70fd4b151933f605648aadf38cade3	</t>
  </si>
  <si>
    <t xml:space="preserve">	e:\GoogleDrive\articles\wilmott\0301_editorial.pdf				</t>
  </si>
  <si>
    <t xml:space="preserve">6b82d084f779b42522fa0e8f87949b6b	</t>
  </si>
  <si>
    <t xml:space="preserve">	e:\GoogleDrive\articles\anagrammer\Assembly Language Step by Step code\VIDLIB.ASM				</t>
  </si>
  <si>
    <t xml:space="preserve">6b8538b5ea016ba9f8724dda1da80bd7	</t>
  </si>
  <si>
    <t xml:space="preserve">	e:\GoogleDrive\articles\jamshidian - an exact bond pricing formula.pdf				</t>
  </si>
  <si>
    <t xml:space="preserve">6b9dbfc294da6c39b191df0e0d316308	</t>
  </si>
  <si>
    <t xml:space="preserve">	e:\GoogleDrive\articles\wilmott\0401_news.pdf				</t>
  </si>
  <si>
    <t xml:space="preserve">6bcc3155721567bc063fef06bfbc3671	</t>
  </si>
  <si>
    <t xml:space="preserve">	e:\GoogleDrive\articles\a classer\Meyfredi - obligs convertibles.pdf				</t>
  </si>
  <si>
    <t xml:space="preserve">6bdd0978e30453aaf22140d66ed8ffbf	</t>
  </si>
  <si>
    <t xml:space="preserve">	e:\GoogleDrive\articles\numericalR\c2-3.pdf				</t>
  </si>
  <si>
    <t xml:space="preserve">6c19f94ee8c45cd38b3378c1e35a3a84	</t>
  </si>
  <si>
    <t xml:space="preserve">	e:\GoogleDrive\articles\numericalR\c5-14.pdf				</t>
  </si>
  <si>
    <t xml:space="preserve">6c1d595d8084b5d4b75230fd43d83dc6	</t>
  </si>
  <si>
    <t xml:space="preserve">	e:\GoogleDrive\articles\info - graphics\lecture1 - Graphics Systems and Models.pdf				</t>
  </si>
  <si>
    <t xml:space="preserve">6c23900e05cb2d63b541616a3938f9ac	</t>
  </si>
  <si>
    <t xml:space="preserve">	e:\GoogleDrive\articles\wilmott\0801_bogni.pdf				</t>
  </si>
  <si>
    <t xml:space="preserve">6c2a19ccc9aa858c3241335a7310f0ae	</t>
  </si>
  <si>
    <t xml:space="preserve">	e:\GoogleDrive\articles\oxford dpt of statistics\finanq.ps				</t>
  </si>
  <si>
    <t xml:space="preserve">6c2bce76d9552c257403ce0eb7a8f3fd	</t>
  </si>
  <si>
    <t xml:space="preserve">	e:\GoogleDrive\articles\pde for lookback options.pdf				</t>
  </si>
  <si>
    <t xml:space="preserve">6c367be3948f9fcb37d000a3ab63e305	</t>
  </si>
  <si>
    <t xml:space="preserve">	e:\GoogleDrive\articles\wilmott\0501_osband.pdf				</t>
  </si>
  <si>
    <t xml:space="preserve">6c3970ea2634644d1bc23acd125e98eb	</t>
  </si>
  <si>
    <t xml:space="preserve">	e:\GoogleDrive\articles\(eBook) jon gregory - Counterpaty Credit Risk.pdf				</t>
  </si>
  <si>
    <t xml:space="preserve">6c41340621bcf55d4a6b2c4edb8a2244	</t>
  </si>
  <si>
    <t xml:space="preserve">	e:\GoogleDrive\articles\joshi et all  - comparing discretisations of the LMM under the spot measure(	200	8).p	df	</t>
  </si>
  <si>
    <t xml:space="preserve">6c4a8ddc5fd75090a835d43b12ffc1cf	</t>
  </si>
  <si>
    <t xml:space="preserve">	e:\GoogleDrive\articles\boissonant - Triangulations in CGAL.pdf				</t>
  </si>
  <si>
    <t xml:space="preserve">	e:\GoogleDrive\articles\CGAL - triangulations in CGAL.pdf				</t>
  </si>
  <si>
    <t xml:space="preserve">6c4e59885c325edefa9c34bcbbb63321	</t>
  </si>
  <si>
    <t xml:space="preserve">	e:\GoogleDrive\articles\info - algo\3D-reconstruction tutorial.pdf				</t>
  </si>
  <si>
    <t xml:space="preserve">6c586c6a825e338b0f5361f6c0d8e54c	</t>
  </si>
  <si>
    <t xml:space="preserve">	e:\GoogleDrive\articles\latex files\Option pricing under stochastic volatility 08.doc				</t>
  </si>
  <si>
    <t xml:space="preserve">6c5ce64b8ec9a0a610138831890aa7d5	</t>
  </si>
  <si>
    <t xml:space="preserve">	e:\GoogleDrive\articles\global risk 2007\day1\Derman - hedge fund returns.pdf				</t>
  </si>
  <si>
    <t xml:space="preserve">6c69dedeb35b32b90855102f91c11e21	</t>
  </si>
  <si>
    <t xml:space="preserve">	e:\GoogleDrive\articles\wilmott\0407_rees.pdf				</t>
  </si>
  <si>
    <t xml:space="preserve">6c755f9d6567cc0bf6799c551716a40c	</t>
  </si>
  <si>
    <t xml:space="preserve">	e:\GoogleDrive\articles\wilmott\0811_editorial.pdf				</t>
  </si>
  <si>
    <t xml:space="preserve">6c806a3e0d53a50acd0f7f692cc68f58	</t>
  </si>
  <si>
    <t xml:space="preserve">	e:\GoogleDrive\articles\haug - know your weapon - part2.pdf				</t>
  </si>
  <si>
    <t xml:space="preserve">6c8bb07730d0cfcf0a40efc521a9ebb3	</t>
  </si>
  <si>
    <t xml:space="preserve">	e:\GoogleDrive\articles\(eBook) - Jackel\AUTORUN.EXE				</t>
  </si>
  <si>
    <t xml:space="preserve">6c9f23b7bc1c9fbf76ed017bfb0902ee	</t>
  </si>
  <si>
    <t xml:space="preserve">	e:\GoogleDrive\articles\info - algo\leeuwen wood - interval heaps (1993).pdf				</t>
  </si>
  <si>
    <t xml:space="preserve">6cc13a15786c244cd697d214860910b6	</t>
  </si>
  <si>
    <t xml:space="preserve">	e:\GoogleDrive\articles\risk0307 - Variance swaps under no conditions.pdf				</t>
  </si>
  <si>
    <t xml:space="preserve">6cc149b2ed883c94f15fb4c0297b0549	</t>
  </si>
  <si>
    <t xml:space="preserve">	e:\GoogleDrive\articles\wilmott\0507_dfine.pdf				</t>
  </si>
  <si>
    <t xml:space="preserve">6ccd9accd3fb67291cab85af12c6f0c3	</t>
  </si>
  <si>
    <t xml:space="preserve">	e:\GoogleDrive\articles\wilmott\0809_joulin.pdf				</t>
  </si>
  <si>
    <t xml:space="preserve">6cf785961aaf9faf7f4cb53ab5fdc244	</t>
  </si>
  <si>
    <t xml:space="preserve">	e:\GoogleDrive\articles\esser - derivatives based on the power of a stock price.pdf				</t>
  </si>
  <si>
    <t xml:space="preserve">6cfb58aa5ee643d1e24ba20040381042	</t>
  </si>
  <si>
    <t xml:space="preserve">	e:\GoogleDrive\articles\kluge - diploma (finite differences).pdf				</t>
  </si>
  <si>
    <t xml:space="preserve">	e:\GoogleDrive\articles\kluge - pricing derivatives in stoch vol models using the fi.pdf				</t>
  </si>
  <si>
    <t xml:space="preserve">6d061f4ba7eec4e17e272f1dd6f46af0	</t>
  </si>
  <si>
    <t xml:space="preserve">	e:\GoogleDrive\articles\wilmott\0401_staunton.pdf				</t>
  </si>
  <si>
    <t xml:space="preserve">6d11b1d010fad425b65923f01d4fea20	</t>
  </si>
  <si>
    <t xml:space="preserve">	e:\GoogleDrive\articles\numericalR\c1-1.pdf				</t>
  </si>
  <si>
    <t xml:space="preserve">6d436337d6622cb7e3f8a32a418f2737	</t>
  </si>
  <si>
    <t xml:space="preserve">	e:\GoogleDrive\articles\(ebook) - a non random walk down Wall street\part1.pdf				</t>
  </si>
  <si>
    <t xml:space="preserve">6d4b2f456312b38ce7f101e51a248ce4	</t>
  </si>
  <si>
    <t xml:space="preserve">	e:\GoogleDrive\articles\dupire - pricing and hedging with smiles (1993).pdf				</t>
  </si>
  <si>
    <t xml:space="preserve">6d4c9d1fc8c8da3cda1e062d8f3001e4	</t>
  </si>
  <si>
    <t xml:space="preserve">	e:\GoogleDrive\articles\wilmott\0307_bookreviews.pdf				</t>
  </si>
  <si>
    <t xml:space="preserve">6d758dbce9adbf1789d2d933f3f49d69	</t>
  </si>
  <si>
    <t xml:space="preserve">	e:\GoogleDrive\articles\wilmott\0801_carreviews.pdf				</t>
  </si>
  <si>
    <t xml:space="preserve">6d88a61a1bbdd4ae0a100ce4059f4738	</t>
  </si>
  <si>
    <t xml:space="preserve">	e:\GoogleDrive\articles\on the approximation of the discrete karhunen-loŠve transformation for stati	ona	ry p	ro	cesses.pdf</t>
  </si>
  <si>
    <t xml:space="preserve">6d8decf21e45bcaf1e7f9588a4f71186	</t>
  </si>
  <si>
    <t xml:space="preserve">	e:\GoogleDrive\articles\global risk 2007\day2\11.30 Andersen.zip				</t>
  </si>
  <si>
    <t xml:space="preserve">6d8f4c6253d691459b3a480ce56b1d9b	</t>
  </si>
  <si>
    <t xml:space="preserve">	e:\GoogleDrive\articles\wilmott\0611_carreviews.pdf				</t>
  </si>
  <si>
    <t xml:space="preserve">6da15502c3014c3f356cb983c5c48b23	</t>
  </si>
  <si>
    <t xml:space="preserve">	e:\GoogleDrive\articles\Linear regression tree algorithm (Secret).pdf				</t>
  </si>
  <si>
    <t xml:space="preserve">6db4edfb5c8990b8378c6576c0aa767d	</t>
  </si>
  <si>
    <t xml:space="preserve">	e:\GoogleDrive\articles\dodgson Kainth- Inflation-Linked Derivatives.pdf				</t>
  </si>
  <si>
    <t xml:space="preserve">6db92d5b438b351b2f73a68cf0d2840e	</t>
  </si>
  <si>
    <t xml:space="preserve">	e:\GoogleDrive\articles\WBS IR modelling Course\IR Modelling\IR1.2Mercurio_96.pdf				</t>
  </si>
  <si>
    <t xml:space="preserve">6ddddb41ceee02512c744743dc6ec0ca	</t>
  </si>
  <si>
    <t xml:space="preserve">	e:\GoogleDrive\articles\bergomi - smile dynamics II.pdf				</t>
  </si>
  <si>
    <t xml:space="preserve">	e:\GoogleDrive\articles\bergomi - smile dynamics part2.pdf				</t>
  </si>
  <si>
    <t xml:space="preserve">6de8a7618f0a1e8f894a70fc7cd049cf	</t>
  </si>
  <si>
    <t xml:space="preserve">	e:\GoogleDrive\articles\Benhamou - A Martingale Result for Convexity Adjustment in t.pdf				</t>
  </si>
  <si>
    <t xml:space="preserve">	e:\GoogleDrive\articles\Benhamou - A Martingale Result for Convexity Adjustment in the Black Pricing	Mo	del	-	prn.pdf</t>
  </si>
  <si>
    <t xml:space="preserve">6df30476b273ccfa92290b55ef191c77	</t>
  </si>
  <si>
    <t xml:space="preserve">	e:\GoogleDrive\articles\kohn - sde\section3.ps				</t>
  </si>
  <si>
    <t xml:space="preserve">6df3538720ce57c00759d5202e24d884	</t>
  </si>
  <si>
    <t xml:space="preserve">	e:\GoogleDrive\articles\maths\solvers\QL.pdf				</t>
  </si>
  <si>
    <t xml:space="preserve">6e06224c7213cced03908ddb1c59d324	</t>
  </si>
  <si>
    <t xml:space="preserve">	e:\GoogleDrive\articles\lecture notes - david mount - Computer Graphics.pdf				</t>
  </si>
  <si>
    <t xml:space="preserve">6e089b5270eece5dc7aff19a871bd6b3	</t>
  </si>
  <si>
    <t xml:space="preserve">	e:\GoogleDrive\articles\(phd) hunor\phd\tables.aux				</t>
  </si>
  <si>
    <t xml:space="preserve">6e2061dd8ceb37cb9d0bdec68225b5d9	</t>
  </si>
  <si>
    <t xml:space="preserve">	e:\GoogleDrive\articles\antonov issakov mechkoov - Algorithmic Exposure and CVA for Exotic Derivat	ive	s.pd	f	</t>
  </si>
  <si>
    <t xml:space="preserve">6e3010b0957f422576fee0d72219a2e0	</t>
  </si>
  <si>
    <t xml:space="preserve">	e:\GoogleDrive\articles\wilmott\0803_microsoft.pdf				</t>
  </si>
  <si>
    <t xml:space="preserve">6e3155b0e09e282858646c1eea6f6f9f	</t>
  </si>
  <si>
    <t xml:space="preserve">	e:\GoogleDrive\articles\zvan forsyth - Robust Numerical Methods for PDE Models of Asian Options (19	98)	.ps		</t>
  </si>
  <si>
    <t xml:space="preserve">	e:\GoogleDrive\articles\zvan96 - Robust Numerical Methods for PDE Models of Asian Options.ps				</t>
  </si>
  <si>
    <t xml:space="preserve">6e3aa19ac95ab435c4887dba410dba1b	</t>
  </si>
  <si>
    <t xml:space="preserve">	e:\GoogleDrive\articles\kleinert - path integrals 11.pdf				</t>
  </si>
  <si>
    <t xml:space="preserve">6e3e0019f26bf1108308d684f4b2d178	</t>
  </si>
  <si>
    <t xml:space="preserve">	e:\GoogleDrive\articles\wilmott\0711_insightful.pdf				</t>
  </si>
  <si>
    <t xml:space="preserve">6e4406d2af037319244edd4a869bd55e	</t>
  </si>
  <si>
    <t xml:space="preserve">	e:\GoogleDrive\articles\lecture notes (pittman probas)\lecture15.pdf				</t>
  </si>
  <si>
    <t xml:space="preserve">6e44ad3deeef92ede4194e66992223d7	</t>
  </si>
  <si>
    <t xml:space="preserve">	e:\GoogleDrive\articles\kinlay - long memory and regime shifts in asset volatility -.pdf				</t>
  </si>
  <si>
    <t xml:space="preserve">	e:\GoogleDrive\articles\wilmott\0301_kinlay.pdf				</t>
  </si>
  <si>
    <t xml:space="preserve">6e4cca7dd17a9d66474553a42b967c74	</t>
  </si>
  <si>
    <t xml:space="preserve">	e:\GoogleDrive\articles\maths\backuper.hcs				</t>
  </si>
  <si>
    <t xml:space="preserve">6e685043a2e479bdab415ed834eceee0	</t>
  </si>
  <si>
    <t xml:space="preserve">	e:\GoogleDrive\articles\maths\optimisation\backuper.hcs				</t>
  </si>
  <si>
    <t xml:space="preserve">6e710881f680e164585c0cdec4f99dbe	</t>
  </si>
  <si>
    <t xml:space="preserve">	e:\GoogleDrive\articles\wilmott\0401_osband.pdf				</t>
  </si>
  <si>
    <t xml:space="preserve">6e7c9a082fbccec8175eb287f15364d8	</t>
  </si>
  <si>
    <t xml:space="preserve">	e:\GoogleDrive\articles\wilmott\0507_jackel.pdf				</t>
  </si>
  <si>
    <t xml:space="preserve">6e7ef19777ddf8d5b0b278d07e2b03e7	</t>
  </si>
  <si>
    <t xml:space="preserve">	e:\GoogleDrive\articles\brown faigle - A robust efficient algorithm for point location in triangula	tio	ns.p	df	</t>
  </si>
  <si>
    <t xml:space="preserve">6e98509c577d664bca7bde91a5c74f5f	</t>
  </si>
  <si>
    <t xml:space="preserve">	e:\GoogleDrive\articles\Peter Austing - multi-asset modelling in foreign exchange - a joint density	rep	rici	ng	the cross smile.pdf</t>
  </si>
  <si>
    <t xml:space="preserve">6ec70c19a6feeabab91ff0c4f41abfad	</t>
  </si>
  <si>
    <t xml:space="preserve">	e:\GoogleDrive\articles\wilmott\0807_editorial.pdf				</t>
  </si>
  <si>
    <t xml:space="preserve">6edd39b784688180d44e0e28014967f9	</t>
  </si>
  <si>
    <t xml:space="preserve">	e:\GoogleDrive\articles\(eBook) - Jackel\Plot Scripts\Splot				</t>
  </si>
  <si>
    <t xml:space="preserve">6f05c3c641e11b7161a8639c6d8dfbf4	</t>
  </si>
  <si>
    <t xml:space="preserve">	e:\GoogleDrive\articles\numericalR\c5-8.pdf				</t>
  </si>
  <si>
    <t xml:space="preserve">6f0687f3279b23fd4c3521f32849029b	</t>
  </si>
  <si>
    <t xml:space="preserve">	e:\GoogleDrive\articles\maths\CS683 - Advanced algorithms\lec17.ps				</t>
  </si>
  <si>
    <t xml:space="preserve">6f0e58822cfcd294b417b751f3416176	</t>
  </si>
  <si>
    <t xml:space="preserve">	e:\GoogleDrive\articles\(ebook) - Handbook of applied cryptography\appendix.pdf				</t>
  </si>
  <si>
    <t xml:space="preserve">6f3970d699a5e0715817fb86f57bedf5	</t>
  </si>
  <si>
    <t xml:space="preserve">	e:\GoogleDrive\articles\lermer - financial patents - prn.pdf				</t>
  </si>
  <si>
    <t xml:space="preserve">6f4db21dc85c30835bc89b1f72848195	</t>
  </si>
  <si>
    <t xml:space="preserve">	e:\GoogleDrive\articles\Notes on Elementary Number Theory\13 - chinrem.ps				</t>
  </si>
  <si>
    <t xml:space="preserve">6f541316309fba0746d23c5353a0c399	</t>
  </si>
  <si>
    <t xml:space="preserve">	e:\GoogleDrive\articles\culture generale\economics\lecture\url.txt				</t>
  </si>
  <si>
    <t xml:space="preserve">6f6ce8fa19a29b3158da2908f8e49bba	</t>
  </si>
  <si>
    <t xml:space="preserve">	e:\GoogleDrive\articles\gaines lyons - random generation of stochastic area integra.pdf				</t>
  </si>
  <si>
    <t xml:space="preserve">6f852c8ae454538f75a18e9bf0cb44d5	</t>
  </si>
  <si>
    <t xml:space="preserve">	e:\GoogleDrive\articles\wilmott\0809_fahrner.pdf				</t>
  </si>
  <si>
    <t xml:space="preserve">6f9d8852e9910cd712179a5f22d57cde	</t>
  </si>
  <si>
    <t xml:space="preserve">	e:\GoogleDrive\articles\Architecture Software Developer's Manual Volume Changes - 25204617.pdf				</t>
  </si>
  <si>
    <t xml:space="preserve">6faeb4e0779ef568a51a86e881e052a4	</t>
  </si>
  <si>
    <t xml:space="preserve">	e:\GoogleDrive\articles\wilmott\0801_coverstory.pdf				</t>
  </si>
  <si>
    <t xml:space="preserve">6faf7f4babeba12a6af7452d3fe01be5	</t>
  </si>
  <si>
    <t xml:space="preserve">	e:\GoogleDrive\articles\culture generale\intelligenceStrat - prn.zip				</t>
  </si>
  <si>
    <t xml:space="preserve">6fb3580be4fdfb7eaaab8a3672924c8e	</t>
  </si>
  <si>
    <t xml:space="preserve">	e:\GoogleDrive\articles\lecture - probability (grinstead and snell)\Chapter6.pdf				</t>
  </si>
  <si>
    <t xml:space="preserve">6fb6f3a5b1be957b5ba6dfc1b7d4dfd1	</t>
  </si>
  <si>
    <t xml:space="preserve">	e:\GoogleDrive\articles\ode.ps				</t>
  </si>
  <si>
    <t xml:space="preserve">6fb885d57899c3e6aa2b27f3510deb37	</t>
  </si>
  <si>
    <t xml:space="preserve">	e:\GoogleDrive\articles\dictionaries\texnic-en_GB.zip				</t>
  </si>
  <si>
    <t xml:space="preserve">6fba7c6c17810cda03281d2533da8f26	</t>
  </si>
  <si>
    <t xml:space="preserve">	e:\GoogleDrive\articles\(phd) hunor\phd\amslatex.aux				</t>
  </si>
  <si>
    <t xml:space="preserve">6fc2dbea4289a0ddd272cafc60d10d14	</t>
  </si>
  <si>
    <t xml:space="preserve">	e:\GoogleDrive\articles\Wicke - Dynamic Local Remeshing for Elastoplastic Simulation (2010).pdf				</t>
  </si>
  <si>
    <t xml:space="preserve">6fc388701fc0a409e3105e2733f947ab	</t>
  </si>
  <si>
    <t xml:space="preserve">	e:\GoogleDrive\articles\tensors and differential forms - introduction.pdf				</t>
  </si>
  <si>
    <t xml:space="preserve">6fc61e4f51719e0097d308e98e88b6ce	</t>
  </si>
  <si>
    <t xml:space="preserve">	e:\GoogleDrive\articles\simpson - Mathematical Logic.pdf				</t>
  </si>
  <si>
    <t xml:space="preserve">	e:\GoogleDrive\articles\maths\logic - prn.pdf				</t>
  </si>
  <si>
    <t xml:space="preserve">6fce68a22821554bb36d184f4c9f4320	</t>
  </si>
  <si>
    <t xml:space="preserve">	e:\GoogleDrive\articles\wilmott\0505_bookclub.pdf				</t>
  </si>
  <si>
    <t xml:space="preserve">6fd01f19b75367e4f93d0e7e1674e471	</t>
  </si>
  <si>
    <t xml:space="preserve">	e:\GoogleDrive\articles\anagrammer\The Book of Overclocking.pdf				</t>
  </si>
  <si>
    <t xml:space="preserve">6fe9abce27d51a4387cd5c3e33c554d8	</t>
  </si>
  <si>
    <t xml:space="preserve">	e:\GoogleDrive\articles\Risk 2003-may - Black smirks.pdf				</t>
  </si>
  <si>
    <t xml:space="preserve">6fea6739b1530cc22115077d456e0ee0	</t>
  </si>
  <si>
    <t xml:space="preserve">	e:\GoogleDrive\articles\(ebook) - Steve Dalton - Financial_XML.zip				</t>
  </si>
  <si>
    <t xml:space="preserve">6feaef0b00cabb33a649ca86673c7b39	</t>
  </si>
  <si>
    <t xml:space="preserve">	e:\GoogleDrive\articles\wilmott\0509_coverstory.pdf				</t>
  </si>
  <si>
    <t xml:space="preserve">6ff0a97581e79074b92932dc9cd86150	</t>
  </si>
  <si>
    <t xml:space="preserve">	e:\GoogleDrive\articles\carriŠre - Linear Regression and Standardized Quasi-Monte Carlo For Approxim	ati	ng B	er	mudan Options.pdf</t>
  </si>
  <si>
    <t xml:space="preserve">7012a1f9d74b31bdd3af7b33ed63f2b0	</t>
  </si>
  <si>
    <t xml:space="preserve">	e:\GoogleDrive\articles\culture generale\economics\macroeconomics\LN_ch15.pdf				</t>
  </si>
  <si>
    <t xml:space="preserve">7013320ca4aae6aaab94395decd26c7e	</t>
  </si>
  <si>
    <t xml:space="preserve">	e:\GoogleDrive\articles\church - Pricing of path dependent-basket options using a copula approach.pd	f			</t>
  </si>
  <si>
    <t xml:space="preserve">7036fc66d78d871cf097ae2a3a4a6168	</t>
  </si>
  <si>
    <t xml:space="preserve">	e:\GoogleDrive\articles\wilmott\0509_thorp.pdf				</t>
  </si>
  <si>
    <t xml:space="preserve">7045ae8609866e1cff10663afa89dcd8	</t>
  </si>
  <si>
    <t xml:space="preserve">	e:\GoogleDrive\articles\schachermayer - the notion of arbitrage nd free lunch in financial markets.p	df			</t>
  </si>
  <si>
    <t xml:space="preserve">7058e71aeccf21bef45f17baec4ff669	</t>
  </si>
  <si>
    <t xml:space="preserve">	e:\GoogleDrive\articles\ribeiro webber - Correcting the simulation Bias in MC methods driven by Lev	y p	roce	ss	es.pdf</t>
  </si>
  <si>
    <t xml:space="preserve">70619f89756c78b7a14ab5fe77efbd09	</t>
  </si>
  <si>
    <t xml:space="preserve">	e:\GoogleDrive\articles\koenker - quantile reression.pdf				</t>
  </si>
  <si>
    <t xml:space="preserve">706517f3bb70850fff62c37b1ebbb300	</t>
  </si>
  <si>
    <t xml:space="preserve">	e:\GoogleDrive\articles\imf publications\wp03194.pdf				</t>
  </si>
  <si>
    <t xml:space="preserve">70674057766e5d0f0bc1f422c707d488	</t>
  </si>
  <si>
    <t xml:space="preserve">	e:\GoogleDrive\articles\FVA - hull white - Is FVa a cost for derivatives desks.pdf				</t>
  </si>
  <si>
    <t xml:space="preserve">708fd310f69677e894862ec793ae6f7e	</t>
  </si>
  <si>
    <t xml:space="preserve">	e:\GoogleDrive\articles\latex files\figures\variance1.ps				</t>
  </si>
  <si>
    <t xml:space="preserve">709aa739dc3437987c6ba1c56066c47e	</t>
  </si>
  <si>
    <t xml:space="preserve">	e:\GoogleDrive\articles\data mining\zemkePhD - data mining for predicting time series.pdf				</t>
  </si>
  <si>
    <t xml:space="preserve">70a515cadd5ec7e1369b76f5b449d4e8	</t>
  </si>
  <si>
    <t xml:space="preserve">	e:\GoogleDrive\articles\culture generale\imf - wp03246 - prn.pdf				</t>
  </si>
  <si>
    <t xml:space="preserve">70a9bb482b4a8cfcf36dee28fabaf7eb	</t>
  </si>
  <si>
    <t xml:space="preserve">	e:\GoogleDrive\articles\anagrammer\Mastering Regular Expressions.pdf				</t>
  </si>
  <si>
    <t xml:space="preserve">70cc3f19b885a75cfadc91b49b81fc72	</t>
  </si>
  <si>
    <t xml:space="preserve">	e:\GoogleDrive\articles\Pogue - An Extension of the Markowitz Portfolio Selection model to include t	ran	sact	io	n cost short sales leverage policies and taxes.pdf</t>
  </si>
  <si>
    <t xml:space="preserve">70d309b196d9f66aead58646c060f75c	</t>
  </si>
  <si>
    <t xml:space="preserve">	e:\GoogleDrive\articles\maths sp‚\chapitre04 - reduction des endomorphismes.pdf				</t>
  </si>
  <si>
    <t xml:space="preserve">70ea6b8c0d3fee9c15c3acdf58a9f283	</t>
  </si>
  <si>
    <t xml:space="preserve">	e:\GoogleDrive\articles\math - mortgage formulae.docx				</t>
  </si>
  <si>
    <t xml:space="preserve">70eed90be8aff938774c353ff3e894fe	</t>
  </si>
  <si>
    <t xml:space="preserve">	e:\GoogleDrive\articles\(phd) hunor\phd\figures\original\ensemblisation.TIF				</t>
  </si>
  <si>
    <t xml:space="preserve">710bc6413b10c88893c9d2f0d955bb94	</t>
  </si>
  <si>
    <t xml:space="preserve">	e:\GoogleDrive\articles\(phd) hunor\phd\hackle\ICDM'03\sigproc.bib				</t>
  </si>
  <si>
    <t xml:space="preserve">	e:\GoogleDrive\articles\(phd) hunor\phd\hackle\ICDM'03\Styles\sigproc.bib				</t>
  </si>
  <si>
    <t xml:space="preserve">71125d0d00d09cae005ddfc001aaea94	</t>
  </si>
  <si>
    <t xml:space="preserve">	e:\GoogleDrive\articles\wilmott\0301_bookreviews.pdf				</t>
  </si>
  <si>
    <t xml:space="preserve">7128a379ac4759488c4df76338627eca	</t>
  </si>
  <si>
    <t xml:space="preserve">	e:\GoogleDrive\articles\imf publications\world economic outlook 2003 april\backuper.hcs				</t>
  </si>
  <si>
    <t xml:space="preserve">71297fc8ee56df1b733926eb33c14c72	</t>
  </si>
  <si>
    <t xml:space="preserve">	e:\GoogleDrive\articles\Leucht Neumann - Consistency of general bootstrap methods for degenerate U-	typ	e an	d	V-type statistics.pdf</t>
  </si>
  <si>
    <t xml:space="preserve">7148d0702284b44f07a65d5b90d25879	</t>
  </si>
  <si>
    <t xml:space="preserve">	e:\GoogleDrive\articles\richard white - Numerical Solutions to PDEs with Financial Applications.pdf				</t>
  </si>
  <si>
    <t xml:space="preserve">7152afbd3ebac8344b6bd6c888740315	</t>
  </si>
  <si>
    <t xml:space="preserve">	e:\GoogleDrive\articles\hagan konikov - interest rate volatility cube construction and use (2004).	pdf			</t>
  </si>
  <si>
    <t xml:space="preserve">715487988dc3b0f6b27fb05dcafc5656	</t>
  </si>
  <si>
    <t xml:space="preserve">	e:\GoogleDrive\articles\data mining\ECMLPKDD2004\backuper.hcs				</t>
  </si>
  <si>
    <t xml:space="preserve">71758747e5844a1dce39898b56c4751d	</t>
  </si>
  <si>
    <t xml:space="preserve">	e:\GoogleDrive\articles\wilmott\0705_brown.pdf				</t>
  </si>
  <si>
    <t xml:space="preserve">717c217cd18b690d934236de724bafd6	</t>
  </si>
  <si>
    <t xml:space="preserve">	e:\GoogleDrive\articles\numericalR\c12-3.pdf				</t>
  </si>
  <si>
    <t xml:space="preserve">7187a7763aef7a2a34969360e52539cf	</t>
  </si>
  <si>
    <t xml:space="preserve">	e:\GoogleDrive\articles\maths\cours - modeles aleatoires pour l'ingenieur.pdf				</t>
  </si>
  <si>
    <t xml:space="preserve">718ca0965acbe1ea81f922907fd03211	</t>
  </si>
  <si>
    <t xml:space="preserve">	e:\GoogleDrive\articles\wilmott\0305_thorp.pdf				</t>
  </si>
  <si>
    <t xml:space="preserve">71aa2f92a5b04cf4f25c61130eec575f	</t>
  </si>
  <si>
    <t xml:space="preserve">	e:\GoogleDrive\articles\wilmott\0601_coverstory.pdf				</t>
  </si>
  <si>
    <t xml:space="preserve">71bf4b800436a6f7d79deaf74a307ba8	</t>
  </si>
  <si>
    <t xml:space="preserve">	e:\GoogleDrive\articles\global risk 2007\day2\andreasen FINAL.pdf				</t>
  </si>
  <si>
    <t xml:space="preserve">71cb8e2241744fe80e76ec10731769af	</t>
  </si>
  <si>
    <t xml:space="preserve">	e:\GoogleDrive\articles\wilmott\0703_osband.pdf				</t>
  </si>
  <si>
    <t xml:space="preserve">71db71111e974d1bd7372dd6a1b98442	</t>
  </si>
  <si>
    <t xml:space="preserve">	e:\GoogleDrive\articles\oxford dpt of statistics\finan12 - Introduction to derivative securities and	di	scre	te	.ps</t>
  </si>
  <si>
    <t xml:space="preserve">71dd4d20c863eb0064dc407bfa6072ae	</t>
  </si>
  <si>
    <t xml:space="preserve">	e:\GoogleDrive\articles\latex files\Gaussian Quadrature\GaussianQuadrature.tex				</t>
  </si>
  <si>
    <t xml:space="preserve">71dfa5d5432f85173222e79dc72b70bc	</t>
  </si>
  <si>
    <t xml:space="preserve">	e:\GoogleDrive\articles\Geman Yor - pricing double barrier options a probabilistic approach.pdf				</t>
  </si>
  <si>
    <t xml:space="preserve">71ee7443cb4f7887eddcc142c5ecadb5	</t>
  </si>
  <si>
    <t xml:space="preserve">	e:\GoogleDrive\articles\albanese chen dalessandro vidler- dynamic credit correlation modelling.pd	f			</t>
  </si>
  <si>
    <t xml:space="preserve">720258cd7d3756e41808396364975487	</t>
  </si>
  <si>
    <t xml:space="preserve">	e:\GoogleDrive\articles\kreveld - Algorithms for Triangulated Terrains.pdf				</t>
  </si>
  <si>
    <t xml:space="preserve">724e12c87e7f28daec63bf838e03e348	</t>
  </si>
  <si>
    <t xml:space="preserve">	e:\GoogleDrive\articles\introduction to arch and garch.pdf				</t>
  </si>
  <si>
    <t xml:space="preserve">7250dcf5d796095404feb1b4db074dce	</t>
  </si>
  <si>
    <t xml:space="preserve">	e:\GoogleDrive\articles\(ebook) Go - hatsuyoron.pdf				</t>
  </si>
  <si>
    <t xml:space="preserve">7250e11c48a6655c52079b43e9801b9f	</t>
  </si>
  <si>
    <t xml:space="preserve">	e:\GoogleDrive\articles\fxoptionvolatility - prn.pdf				</t>
  </si>
  <si>
    <t xml:space="preserve">72522828e3ae96affab6e8ebd478663d	</t>
  </si>
  <si>
    <t xml:space="preserve">	e:\GoogleDrive\articles\data mining\ECMLPKDD2004\covers\T7.pdf				</t>
  </si>
  <si>
    <t xml:space="preserve">7269069e52dd4a2a8de29fda7338d1cb	</t>
  </si>
  <si>
    <t xml:space="preserve">	e:\GoogleDrive\articles\wilmott\0709_lee.pdf				</t>
  </si>
  <si>
    <t xml:space="preserve">72710da37417539be9c4e9bf0ef33409	</t>
  </si>
  <si>
    <t xml:space="preserve">	e:\GoogleDrive\articles\journal of computational finance\v9n2a3.pdf				</t>
  </si>
  <si>
    <t xml:space="preserve">727b85fdb3bd7106b31bea9016e74726	</t>
  </si>
  <si>
    <t xml:space="preserve">	e:\GoogleDrive\articles\maths\Topology.pdf				</t>
  </si>
  <si>
    <t xml:space="preserve">7285b43f03f21ab0f94bcd4014ce03e1	</t>
  </si>
  <si>
    <t xml:space="preserve">	e:\GoogleDrive\articles\Klebaner Le Lipster - estimating and predicting volatilities.pdf				</t>
  </si>
  <si>
    <t xml:space="preserve">	e:\GoogleDrive\articles\KleLeLip - estimating and predicting volatilities by using implied and histo	ric	al v	ol	atilities.pdf</t>
  </si>
  <si>
    <t xml:space="preserve">7289a76a7f7f888e7dde42da1d6bfbac	</t>
  </si>
  <si>
    <t xml:space="preserve">	e:\GoogleDrive\articles\anagrammer\Windows NT Win32 API SuperBible.pdf				</t>
  </si>
  <si>
    <t xml:space="preserve">728cc3233fd611f724b7344a3295446e	</t>
  </si>
  <si>
    <t xml:space="preserve">	e:\GoogleDrive\articles\szekely rizzo - A new test for multivariate normality (2005).pdf				</t>
  </si>
  <si>
    <t xml:space="preserve">7292e51d14edf60fefd04509d7f4cc69	</t>
  </si>
  <si>
    <t xml:space="preserve">	e:\GoogleDrive\articles\numericalR\c14-6.pdf				</t>
  </si>
  <si>
    <t xml:space="preserve">72b8f3df64519db5c11dc410211bd22f	</t>
  </si>
  <si>
    <t xml:space="preserve">	e:\GoogleDrive\articles\maths\lemmermayer\backuper.hcs				</t>
  </si>
  <si>
    <t xml:space="preserve">72c7bfca6ba8d2b7f44cf16384f32870	</t>
  </si>
  <si>
    <t xml:space="preserve">	e:\GoogleDrive\articles\download.pdf				</t>
  </si>
  <si>
    <t xml:space="preserve">72cf1d9415cbd80490ee72d805ab2ae3	</t>
  </si>
  <si>
    <t xml:space="preserve">	e:\GoogleDrive\articles\(phd) hunor\phd\appendix-a.aux				</t>
  </si>
  <si>
    <t xml:space="preserve">72e5f6f5f85ecb776c079750e83893a1	</t>
  </si>
  <si>
    <t xml:space="preserve">	e:\GoogleDrive\articles\wilmott\0511_thorp.pdf				</t>
  </si>
  <si>
    <t xml:space="preserve">73031373d6afd04d12c0908cb530502c	</t>
  </si>
  <si>
    <t xml:space="preserve">	e:\GoogleDrive\articles\jeanblanc - cours.pdf				</t>
  </si>
  <si>
    <t xml:space="preserve">732ec87e4396be709f82fcbf157cbdef	</t>
  </si>
  <si>
    <t xml:space="preserve">	e:\GoogleDrive\articles\wills - Notes on the Geometry of the Regular n-Simplex.pdf				</t>
  </si>
  <si>
    <t xml:space="preserve">7359ee26ca6966553c4fd0d449902add	</t>
  </si>
  <si>
    <t xml:space="preserve">	e:\GoogleDrive\articles\wilmott\0509_carreviews.pdf				</t>
  </si>
  <si>
    <t xml:space="preserve">7361c9a281dbd1505799802d5e917356	</t>
  </si>
  <si>
    <t xml:space="preserve">	e:\GoogleDrive\articles\wilmott\0711_das.pdf				</t>
  </si>
  <si>
    <t xml:space="preserve">73685e1b58f70a05ae1661cdb278404d	</t>
  </si>
  <si>
    <t xml:space="preserve">	e:\GoogleDrive\articles\matacz - the partial averaging method - prn.pdf				</t>
  </si>
  <si>
    <t xml:space="preserve">736d4b9923cbba0051caecc32e151777	</t>
  </si>
  <si>
    <t xml:space="preserve">	e:\GoogleDrive\articles\(phd) hunor\phd\hackle\balancing06.rtf				</t>
  </si>
  <si>
    <t xml:space="preserve">73821969d2c8093c2e497e16b3b7ace4	</t>
  </si>
  <si>
    <t xml:space="preserve">	e:\GoogleDrive\articles\numericalR\c14-4.pdf				</t>
  </si>
  <si>
    <t xml:space="preserve">73a1e01b0d6f08312a47598344d07116	</t>
  </si>
  <si>
    <t xml:space="preserve">	e:\GoogleDrive\articles\(eBook) - Taylor M.E. Partial differential equations 3 (Spr.djvu				</t>
  </si>
  <si>
    <t xml:space="preserve">73adc1d2f1b60883f0ad38af03b802e8	</t>
  </si>
  <si>
    <t xml:space="preserve">	e:\GoogleDrive\articles\maths\exercices\ps2ans.pdf				</t>
  </si>
  <si>
    <t xml:space="preserve">73ce6d856cf626fc447dcfec567be1c8	</t>
  </si>
  <si>
    <t xml:space="preserve">	e:\GoogleDrive\articles\lobaskin\P.Kaufman.Trading Systems &amp; Methods\Kaufman - Trading Systems &amp; Met	hod	s -	Ch	ap09.doc</t>
  </si>
  <si>
    <t xml:space="preserve">73d421691680860fe7d220efcd414648	</t>
  </si>
  <si>
    <t xml:space="preserve">	e:\GoogleDrive\articles\global derivatives 2008\youssef elouerkhaoui - path dependent credit.pdf				</t>
  </si>
  <si>
    <t xml:space="preserve">7402f8ef27b5b6a2c5d0b1b8c931a7fc	</t>
  </si>
  <si>
    <t xml:space="preserve">	e:\GoogleDrive\articles\numericalR\c4-3.pdf				</t>
  </si>
  <si>
    <t xml:space="preserve">7446479b7e03b50f5e226d9a54a2fb20	</t>
  </si>
  <si>
    <t xml:space="preserve">	e:\GoogleDrive\articles\Bass Hsu - Some Potential Theory for reflecting brownian motions.pdf				</t>
  </si>
  <si>
    <t xml:space="preserve">744da4605d01a40af4e7291b37c56437	</t>
  </si>
  <si>
    <t xml:space="preserve">	e:\GoogleDrive\articles\wystup -  Aspects of symmetry homogeneity and duality of the Black-Scholes	pri	cing	f	ormula for European style put and call options.ps</t>
  </si>
  <si>
    <t xml:space="preserve">7457094f13b897f2989ce5845f030ec4	</t>
  </si>
  <si>
    <t xml:space="preserve">	e:\GoogleDrive\articles\glasserman - equilibrium positive interest rates a unified view.pdf				</t>
  </si>
  <si>
    <t xml:space="preserve">747eb63f69bab570f1a7d67e7ebed7fa	</t>
  </si>
  <si>
    <t xml:space="preserve">	e:\GoogleDrive\articles\(eBook) - FlattopKiln_Complete.pdf				</t>
  </si>
  <si>
    <t xml:space="preserve">748b21651f8ad6d07cb48caec9b2a145	</t>
  </si>
  <si>
    <t xml:space="preserve">	e:\GoogleDrive\articles\culture generale\economics\macroeconomics\LN_ch5.pdf				</t>
  </si>
  <si>
    <t xml:space="preserve">7499b6bf9882586c95b983b79c182da1	</t>
  </si>
  <si>
    <t xml:space="preserve">	e:\GoogleDrive\articles\nielsen - damping parameter in marqurdt's method.ps				</t>
  </si>
  <si>
    <t xml:space="preserve">749d3ecdc877bcf6c57e2f580e12a9bc	</t>
  </si>
  <si>
    <t xml:space="preserve">	e:\GoogleDrive\articles\(phd) hunor\phd\hackle\ICDM'03\Version_longue2.doc				</t>
  </si>
  <si>
    <t xml:space="preserve">749fecce62be3a81c13a67e5f1f0eb2f	</t>
  </si>
  <si>
    <t xml:space="preserve">	e:\GoogleDrive\articles\(phd) hunor\phd\hackle\ICDM'03\acm_proc_article-sp.cls				</t>
  </si>
  <si>
    <t xml:space="preserve">	e:\GoogleDrive\articles\(phd) hunor\phd\hackle\ICDM'03\Styles\acm_proc_article-sp.cls				</t>
  </si>
  <si>
    <t xml:space="preserve">74a10f87a0f2fdb2085460e9bd6b38e3	</t>
  </si>
  <si>
    <t xml:space="preserve">	e:\GoogleDrive\articles\heston - A Closed-Form GARCH Option Pricing Model.pdf				</t>
  </si>
  <si>
    <t xml:space="preserve">74a1cf32fe2cecdf4f5bd630ff983b6b	</t>
  </si>
  <si>
    <t xml:space="preserve">	e:\GoogleDrive\articles\joshi on fast mcdeltas for nthtodefault.pdf				</t>
  </si>
  <si>
    <t xml:space="preserve">74bf3742f5d145ba7c0673e2a9e7f414	</t>
  </si>
  <si>
    <t xml:space="preserve">	e:\GoogleDrive\articles\(phd) hunor\phd\figures\original\treesab.tif				</t>
  </si>
  <si>
    <t xml:space="preserve">74fc59b220f72176cec7f4d06644200b	</t>
  </si>
  <si>
    <t xml:space="preserve">	e:\GoogleDrive\articles\(phd) hunor\phd\hackle\ICDM'03\Styles\backuper.hcs				</t>
  </si>
  <si>
    <t xml:space="preserve">7505502820b54a996c7fb786e9b718eb	</t>
  </si>
  <si>
    <t xml:space="preserve">	e:\GoogleDrive\articles\wilmott\0811_offshore.pdf				</t>
  </si>
  <si>
    <t xml:space="preserve">750721edd63d016a0706b9705cc8778e	</t>
  </si>
  <si>
    <t xml:space="preserve">	e:\GoogleDrive\articles\WBS IR modelling Course\Credit Derivatives and Hybrids\CD1.3DiGraziano_104.p	df			</t>
  </si>
  <si>
    <t xml:space="preserve">7509b57f4e40dfdfa133def0d876caad	</t>
  </si>
  <si>
    <t xml:space="preserve">	e:\GoogleDrive\articles\info - graphics\frahm koch - Camera Calibration and 3D Scene Reconstruction	.pd	f		</t>
  </si>
  <si>
    <t xml:space="preserve">7520990da27f606f666925375f16f0c9	</t>
  </si>
  <si>
    <t xml:space="preserve">	e:\GoogleDrive\articles\wilmott\0305_bookreviews.pdf				</t>
  </si>
  <si>
    <t xml:space="preserve">7528c42a56981d13af1b2455c831ecaf	</t>
  </si>
  <si>
    <t xml:space="preserve">	e:\GoogleDrive\articles\maths - trig10.bmp				</t>
  </si>
  <si>
    <t xml:space="preserve">752f6c2b1018b9d03ab663a30f71261f	</t>
  </si>
  <si>
    <t xml:space="preserve">	e:\GoogleDrive\articles\wilmott\0601_brunel.pdf				</t>
  </si>
  <si>
    <t xml:space="preserve">754ee26b0e5fe8556ebc21f0ccd6921e	</t>
  </si>
  <si>
    <t xml:space="preserve">	e:\GoogleDrive\articles\blyth - practical relative value volatility trading.pdf				</t>
  </si>
  <si>
    <t xml:space="preserve">75566ded5cbedb436aac8c83c5ea527b	</t>
  </si>
  <si>
    <t xml:space="preserve">	e:\GoogleDrive\articles\info - graphics\Brackbill kothe zemach - A Continuum Method for Modeling S	urf	ace	te	nsion.pdf</t>
  </si>
  <si>
    <t xml:space="preserve">7562cada04bb20d9a83cd7758e434685	</t>
  </si>
  <si>
    <t xml:space="preserve">	e:\GoogleDrive\articles\global risk 2007\day3\11.00 Kevin Duggan.zip				</t>
  </si>
  <si>
    <t xml:space="preserve">756ee21b3f8f7367e47817c52db0e7cd	</t>
  </si>
  <si>
    <t xml:space="preserve">	e:\GoogleDrive\articles\definitions\Apprentissage.doc				</t>
  </si>
  <si>
    <t xml:space="preserve">757d6636f6abff7734309a02c006dc1a	</t>
  </si>
  <si>
    <t xml:space="preserve">	e:\GoogleDrive\articles\maths\comparation de logiciels mathematiques.pdf				</t>
  </si>
  <si>
    <t xml:space="preserve">7597718db293deb0b657643662b2b4f6	</t>
  </si>
  <si>
    <t xml:space="preserve">	e:\GoogleDrive\articles\pedersen - Calibrating Libor Market Models.pdf				</t>
  </si>
  <si>
    <t xml:space="preserve">75b6b9203902666bff526c9f0623dd75	</t>
  </si>
  <si>
    <t xml:space="preserve">	e:\GoogleDrive\articles\lecture notes (pittman probas)\lecture10.pdf				</t>
  </si>
  <si>
    <t xml:space="preserve">75cf29e54ace27def4a74cbf1dcf3427	</t>
  </si>
  <si>
    <t xml:space="preserve">	e:\GoogleDrive\articles\(phd) hunor\phd\figures\original\systemeDeTrading.TIF				</t>
  </si>
  <si>
    <t xml:space="preserve">75d5c2d10bd43aa39ceab9be1f47d20f	</t>
  </si>
  <si>
    <t xml:space="preserve">	e:\GoogleDrive\articles\maths\xcheng\week25.pdf				</t>
  </si>
  <si>
    <t xml:space="preserve">75d9e15be5378b1a892c6dea9a94f375	</t>
  </si>
  <si>
    <t xml:space="preserve">	e:\GoogleDrive\articles\maths sp‚\backuper.hcs				</t>
  </si>
  <si>
    <t xml:space="preserve">75f1f0734136aec6eedddebd9ed30c85	</t>
  </si>
  <si>
    <t xml:space="preserve">	e:\GoogleDrive\articles\(eBook) - Rebonato R. Interest-rate option models (2ed. Wiley)(L)(T)(281s)_	MVs	pf_.	dj	vu</t>
  </si>
  <si>
    <t xml:space="preserve">	e:\GoogleDrive\articles\lobaskin\Rebonato R. Interest-rate option models (2ed. Wiley)(L)(T)(281s)_M	Vsp	f_.d	jv	u</t>
  </si>
  <si>
    <t xml:space="preserve">75f4ac66b02913bdc27b90399acaf7ac	</t>
  </si>
  <si>
    <t xml:space="preserve">	e:\GoogleDrive\articles\wilmott\0305_drz.pdf				</t>
  </si>
  <si>
    <t xml:space="preserve">75f642ee38c61cc15e0fe74f026de53a	</t>
  </si>
  <si>
    <t xml:space="preserve">	e:\GoogleDrive\articles\Miklevsky Posner - Asian options the sum of lognormals and the reciprocal G	amm	a di	st	ributions (1998).pdf</t>
  </si>
  <si>
    <t xml:space="preserve">75ff5aa046a1a390095aadbe04d71362	</t>
  </si>
  <si>
    <t xml:space="preserve">	e:\GoogleDrive\articles\info - graphics\Segura feito - algorithms to test ray-triangle intersection	 c	ompa	ra	tive study.pdf</t>
  </si>
  <si>
    <t xml:space="preserve">76024c50354957893ba20e624f0ff169	</t>
  </si>
  <si>
    <t xml:space="preserve">	e:\GoogleDrive\articles\wilmott\0609_mahayni.pdf				</t>
  </si>
  <si>
    <t xml:space="preserve">7632a5534d76509d8ec26c99e213b3b7	</t>
  </si>
  <si>
    <t xml:space="preserve">	e:\GoogleDrive\articles\abraham serlet - representations of the brownian snake with drift.ps				</t>
  </si>
  <si>
    <t xml:space="preserve">764b406665d641f9ee8efd457628bc68	</t>
  </si>
  <si>
    <t xml:space="preserve">	e:\GoogleDrive\articles\Nevena - the libor market model (MSc).pdf				</t>
  </si>
  <si>
    <t xml:space="preserve">76640cacbaa0e0c5998afe091ec37907	</t>
  </si>
  <si>
    <t xml:space="preserve">	e:\GoogleDrive\articles\maths\lectures.pdf				</t>
  </si>
  <si>
    <t xml:space="preserve">7664cbe47f8dd44b9996afd825d21784	</t>
  </si>
  <si>
    <t xml:space="preserve">	e:\GoogleDrive\articles\lobaskin\P.Kaufman.Trading Systems &amp; Methods\Kaufman - Trading Systems &amp; Met	hod	s -	Ch	ap12.doc</t>
  </si>
  <si>
    <t xml:space="preserve">7665f4ebe6a458dfda45a39e16107a96	</t>
  </si>
  <si>
    <t xml:space="preserve">	e:\GoogleDrive\articles\numericalR\c7-5.pdf				</t>
  </si>
  <si>
    <t xml:space="preserve">7666046daa32e055de7a5207d4c7c784	</t>
  </si>
  <si>
    <t xml:space="preserve">	e:\GoogleDrive\articles\wilmott\0303_news.pdf				</t>
  </si>
  <si>
    <t xml:space="preserve">767eb8d81b1ee56e39027d03aecb7b6d	</t>
  </si>
  <si>
    <t xml:space="preserve">	e:\GoogleDrive\articles\wilmott\0601_prast.pdf				</t>
  </si>
  <si>
    <t xml:space="preserve">769adbacbb65aa49860a95906ce764ba	</t>
  </si>
  <si>
    <t xml:space="preserve">	e:\GoogleDrive\articles\wilmott\0605_engelmann.pdf				</t>
  </si>
  <si>
    <t xml:space="preserve">76b0dae0b413ca46e42c9ee7f49bac47	</t>
  </si>
  <si>
    <t xml:space="preserve">	e:\GoogleDrive\articles\(eBook) - statistical methods\chapter09.pdf				</t>
  </si>
  <si>
    <t xml:space="preserve">76dc12b27ccba44fa509fa2dadbf478a	</t>
  </si>
  <si>
    <t xml:space="preserve">	e:\GoogleDrive\articles\hobby\Go - Cho Chikun Vol3 - Encyclopedia of life and death -Advanced proble	ms.	pdf		</t>
  </si>
  <si>
    <t xml:space="preserve">76f62ef3bdd0cd57165519e162f648af	</t>
  </si>
  <si>
    <t xml:space="preserve">	e:\GoogleDrive\articles\The biomechanics of keratorefractive surgery.pdf				</t>
  </si>
  <si>
    <t xml:space="preserve">7706a6140bb9cca4fbde9b3b494c4cb0	</t>
  </si>
  <si>
    <t xml:space="preserve">	e:\GoogleDrive\articles\wilmott\0301_careers.pdf				</t>
  </si>
  <si>
    <t xml:space="preserve">771096a51d48373d9940551f313189be	</t>
  </si>
  <si>
    <t xml:space="preserve">	e:\GoogleDrive\articles\wilmott\0811_brown.pdf				</t>
  </si>
  <si>
    <t xml:space="preserve">7733640c493efd92eef62dbd8a371b84	</t>
  </si>
  <si>
    <t xml:space="preserve">	e:\GoogleDrive\articles\wilmott\0405_cqf.pdf				</t>
  </si>
  <si>
    <t xml:space="preserve">775af8529455948637f5e700e3cd80aa	</t>
  </si>
  <si>
    <t xml:space="preserve">	e:\GoogleDrive\articles\david cliff - the flash crash of may 6 2010 wtf.pdf				</t>
  </si>
  <si>
    <t xml:space="preserve">77607dcc8546afe5d7e84e6d450c9095	</t>
  </si>
  <si>
    <t xml:space="preserve">	e:\GoogleDrive\articles\Lecture02L.ppt				</t>
  </si>
  <si>
    <t xml:space="preserve">776c13554f26edc07a836773150dc171	</t>
  </si>
  <si>
    <t xml:space="preserve">	e:\GoogleDrive\articles\wilmott\0409_bookclub.pdf				</t>
  </si>
  <si>
    <t xml:space="preserve">776d4f296de52e9d33094ae0d90eef40	</t>
  </si>
  <si>
    <t xml:space="preserve">	e:\GoogleDrive\articles\kahal‚ - Smile interpolation and calibration of the local volatility model.p	df			</t>
  </si>
  <si>
    <t xml:space="preserve">777610139cf6c1cbc70023805ba681b3	</t>
  </si>
  <si>
    <t xml:space="preserve">	e:\GoogleDrive\articles\maths\exercices\ps4ans.pdf				</t>
  </si>
  <si>
    <t xml:space="preserve">778b735e201e3a66f42d5db7ef83094d	</t>
  </si>
  <si>
    <t xml:space="preserve">	e:\GoogleDrive\articles\(ebook) - Analyse numerique\chap2.pdf				</t>
  </si>
  <si>
    <t xml:space="preserve">779c35286b6a10c38c2daa0184a02dea	</t>
  </si>
  <si>
    <t xml:space="preserve">	e:\GoogleDrive\articles\(lecture notes) Paul Dawkins - Calculus I Practice.pdf				</t>
  </si>
  <si>
    <t xml:space="preserve">77a63ba5e3859cba662b6293ed7fd4a4	</t>
  </si>
  <si>
    <t xml:space="preserve">	e:\GoogleDrive\articles\cours finance\cours07.ps				</t>
  </si>
  <si>
    <t xml:space="preserve">77b5de5ceb0a3e204e771c4c51565c33	</t>
  </si>
  <si>
    <t xml:space="preserve">	e:\GoogleDrive\articles\mark rubinstein\Efficiency of the Market for Racetrack Betting.doc				</t>
  </si>
  <si>
    <t xml:space="preserve">77c7048399bb65ad26909ae14844ad79	</t>
  </si>
  <si>
    <t xml:space="preserve">	e:\GoogleDrive\articles\Liu Bargteil o'brien kavan - Fast Simulation of Mass-Spring Systems2013.p	df			</t>
  </si>
  <si>
    <t xml:space="preserve">77d9bce30120b6e274d65343e4262439	</t>
  </si>
  <si>
    <t xml:space="preserve">	e:\GoogleDrive\articles\nagayasu - The Term Structure of Interest Rates and Monetary Policy During a	Ze	ro-I	nt	erest-Rate Period.pdf</t>
  </si>
  <si>
    <t xml:space="preserve">77f154cee709e62a5ca482a4fd744433	</t>
  </si>
  <si>
    <t xml:space="preserve">	e:\GoogleDrive\articles\maths\exercices\backuper.hcs				</t>
  </si>
  <si>
    <t xml:space="preserve">77f86595848e7fdfccf2817898fa3a4c	</t>
  </si>
  <si>
    <t xml:space="preserve">	e:\GoogleDrive\articles\Cox Ingersoll Ross - A Theory of the Term Structure of Interest rates (198	5).	pdf		</t>
  </si>
  <si>
    <t xml:space="preserve">78059a252ab0ca13508ba00875501c13	</t>
  </si>
  <si>
    <t xml:space="preserve">	e:\GoogleDrive\articles\info - graphics\bern eppstein - mesh generattion and optimal triangulation	sur	vey	(1	992).ps</t>
  </si>
  <si>
    <t xml:space="preserve">780916ab5f21d7d02b0831fa518720ae	</t>
  </si>
  <si>
    <t xml:space="preserve">	e:\GoogleDrive\articles\culture generale\TD estimation fonctionelle.pdf				</t>
  </si>
  <si>
    <t xml:space="preserve">781f7f5094b690932a2a82aa34ae5667	</t>
  </si>
  <si>
    <t xml:space="preserve">	e:\GoogleDrive\articles\soft tissue modelling from scanned 3D data.ps				</t>
  </si>
  <si>
    <t xml:space="preserve">7824d78024961a12da4756e6f4af70e6	</t>
  </si>
  <si>
    <t xml:space="preserve">	e:\GoogleDrive\articles\numericalR\c13-4.pdf				</t>
  </si>
  <si>
    <t xml:space="preserve">783a03d31853713e27baa76f927b3b6c	</t>
  </si>
  <si>
    <t xml:space="preserve">	e:\GoogleDrive\articles\wilmott\0507_carreviews.pdf				</t>
  </si>
  <si>
    <t xml:space="preserve">7847d76dd17cf77d89eb4e6af8e5306e	</t>
  </si>
  <si>
    <t xml:space="preserve">	e:\GoogleDrive\articles\maths\CS683 - Advanced algorithms\lec24.ps				</t>
  </si>
  <si>
    <t xml:space="preserve">786b278afd01338d4fc313b2bf9b5f6f	</t>
  </si>
  <si>
    <t xml:space="preserve">	e:\GoogleDrive\articles\maths\Notes on constructive set theory.pdf				</t>
  </si>
  <si>
    <t xml:space="preserve">786b65cb342b50412caeb1c611ef1412	</t>
  </si>
  <si>
    <t xml:space="preserve">	e:\GoogleDrive\articles\info - graphics\Coombes - The Geometry of Sea Shells.pdf				</t>
  </si>
  <si>
    <t xml:space="preserve">78753833a22b2a668c51b789926fe42a	</t>
  </si>
  <si>
    <t xml:space="preserve">	e:\GoogleDrive\articles\wilmott\0701_editorial.pdf				</t>
  </si>
  <si>
    <t xml:space="preserve">787667a6d0cce14dccdd88191c7b3799	</t>
  </si>
  <si>
    <t xml:space="preserve">	e:\GoogleDrive\articles\numericalR\c4-1.pdf				</t>
  </si>
  <si>
    <t xml:space="preserve">788ca19aa89dc0716dc6201d998e3dc7	</t>
  </si>
  <si>
    <t xml:space="preserve">	e:\GoogleDrive\articles\info - algo\acklam - A small paper on Halley's method (rootfinding).pdf				</t>
  </si>
  <si>
    <t xml:space="preserve">789d25d6be1d93905f9cd5a3476a1fd5	</t>
  </si>
  <si>
    <t xml:space="preserve">	e:\GoogleDrive\articles\wilmott\0803_staunton.pdf				</t>
  </si>
  <si>
    <t xml:space="preserve">78ae2391b263748af42e224aab615a6a	</t>
  </si>
  <si>
    <t xml:space="preserve">	e:\GoogleDrive\articles\wilmott\0311_ahn.pdf				</t>
  </si>
  <si>
    <t xml:space="preserve">78be4891709890657eba2754aa71d407	</t>
  </si>
  <si>
    <t xml:space="preserve">	e:\GoogleDrive\articles\streaming algorithms for counting distinct elements.pdf				</t>
  </si>
  <si>
    <t xml:space="preserve">	e:\GoogleDrive\articles\streaming algorithms for countng distinct elements.pdf				</t>
  </si>
  <si>
    <t xml:space="preserve">78c1b74fe7e5cb59b59213940c534487	</t>
  </si>
  <si>
    <t xml:space="preserve">	e:\GoogleDrive\articles\Avellaneda Buff Friedman Grandchamp Kruk Newman - Weighted Monte Carlo	A	New	Te	chnique for Calibrating Asset Pricing Models.pdf</t>
  </si>
  <si>
    <t xml:space="preserve">79244bbff2db28c1332b0587ba32a8ca	</t>
  </si>
  <si>
    <t xml:space="preserve">	e:\GoogleDrive\articles\zivot - HFLectures1.pdf				</t>
  </si>
  <si>
    <t xml:space="preserve">793349ddeefdd20c2a978546a0451c0c	</t>
  </si>
  <si>
    <t xml:space="preserve">	e:\GoogleDrive\articles\wilmott\0805_thulasidas.pdf				</t>
  </si>
  <si>
    <t xml:space="preserve">793566aa781276680694f8338586236f	</t>
  </si>
  <si>
    <t xml:space="preserve">	e:\GoogleDrive\articles\kennedy kaisajunatti - An n-Dimensional Markov-functional Interest rate mod	el.	pdf		</t>
  </si>
  <si>
    <t xml:space="preserve">7937893d0a19dadb3c10dbaef869c8a1	</t>
  </si>
  <si>
    <t xml:space="preserve">	e:\GoogleDrive\articles\kcl seminars\giles - Monte Carlo evaluation of Greeks.pdf				</t>
  </si>
  <si>
    <t xml:space="preserve">7940b386bc030e3ccb38d4c08c425a4f	</t>
  </si>
  <si>
    <t xml:space="preserve">	e:\GoogleDrive\articles\wilmott\0311_sepp.pdf				</t>
  </si>
  <si>
    <t xml:space="preserve">796ed12a78c460ceb457b50a72f0b19e	</t>
  </si>
  <si>
    <t xml:space="preserve">	e:\GoogleDrive\articles\a classer\munk - dynassal.pdf				</t>
  </si>
  <si>
    <t xml:space="preserve">797f903c9d2cb7b467d3173f5f6261e4	</t>
  </si>
  <si>
    <t xml:space="preserve">	e:\GoogleDrive\articles\wystupp book\backuper.hcs				</t>
  </si>
  <si>
    <t xml:space="preserve">7981aabdbe04f067fff4e81a90e94f50	</t>
  </si>
  <si>
    <t xml:space="preserve">	e:\GoogleDrive\articles\(lecture notes) Paul Dawkins - College Algebra.pdf				</t>
  </si>
  <si>
    <t xml:space="preserve">79854c186611c9e4f98463e905e7e047	</t>
  </si>
  <si>
    <t xml:space="preserve">	e:\GoogleDrive\articles\hobby\reykjavik.docx				</t>
  </si>
  <si>
    <t xml:space="preserve">79888d4c9970617af10b4bf4e32648bc	</t>
  </si>
  <si>
    <t xml:space="preserve">	e:\GoogleDrive\articles\maths\cours - jourdain -probas.pdf				</t>
  </si>
  <si>
    <t xml:space="preserve">799f690861beb8b8ac3e6855c0d9ea81	</t>
  </si>
  <si>
    <t xml:space="preserve">	e:\GoogleDrive\articles\nielsen - direct methods for sparse matrices.ps				</t>
  </si>
  <si>
    <t xml:space="preserve">79abf477ed65f107eb7da1bbb6058122	</t>
  </si>
  <si>
    <t xml:space="preserve">	e:\GoogleDrive\articles\wystup - Valuation of options in Heston's stochastic volatility model using	fin	ite	el	ement methods.pdf</t>
  </si>
  <si>
    <t xml:space="preserve">79de79448d2a519bddca2b6a5bde500c	</t>
  </si>
  <si>
    <t xml:space="preserve">	e:\GoogleDrive\articles\(ebook) - Handbook of applied cryptography\chap3.pdf				</t>
  </si>
  <si>
    <t xml:space="preserve">79f12347880e408d39a570bb0b543691	</t>
  </si>
  <si>
    <t xml:space="preserve">	e:\GoogleDrive\articles\(lecture notes) financial maths\chapter1.pdf				</t>
  </si>
  <si>
    <t xml:space="preserve">	e:\GoogleDrive\articles\lecture (financial mathematics)\chapter1.pdf				</t>
  </si>
  <si>
    <t xml:space="preserve">79f1d1d2ed4e6881e8fe2a79c3fe3fa6	</t>
  </si>
  <si>
    <t xml:space="preserve">	e:\GoogleDrive\articles\Notes on Elementary Number Theory\14 - syscong.ps				</t>
  </si>
  <si>
    <t xml:space="preserve">79f49b098cf6d9c91d2fc8f587e32e85	</t>
  </si>
  <si>
    <t xml:space="preserve">	e:\GoogleDrive\articles\maths\xcheng\week02.pdf				</t>
  </si>
  <si>
    <t xml:space="preserve">7a1b625f68c5de1b284c2b1d0af82f68	</t>
  </si>
  <si>
    <t xml:space="preserve">	e:\GoogleDrive\articles\(eBook) - Jackel\BrownianBridge\BrownianBridge.h				</t>
  </si>
  <si>
    <t xml:space="preserve">7a1fa8e145f041ae6698042e9d7ad3e4	</t>
  </si>
  <si>
    <t xml:space="preserve">	e:\GoogleDrive\articles\wilmott\0407_javaheri.pdf				</t>
  </si>
  <si>
    <t xml:space="preserve">7a3fcda5ff74feb75bbb5ae16d97fef3	</t>
  </si>
  <si>
    <t xml:space="preserve">	e:\GoogleDrive\articles\numericalR\c5-10.pdf				</t>
  </si>
  <si>
    <t xml:space="preserve">7a48e5a5e1a87146bd658d0b176432ae	</t>
  </si>
  <si>
    <t xml:space="preserve">	e:\GoogleDrive\articles\Reiss Wystup - Efficient Computation of Option Price Sensit.pdf				</t>
  </si>
  <si>
    <t xml:space="preserve">	e:\GoogleDrive\articles\wystup reiss - Efficient Computation of Option Price Sensitivities Using Ho	mog	enei	ty	and other Tricks.pdf</t>
  </si>
  <si>
    <t xml:space="preserve">7a4ad96ef41477477205d8fba29a653c	</t>
  </si>
  <si>
    <t xml:space="preserve">	e:\GoogleDrive\articles\carr - Robust Replication of Volatility Derivatives.pdf				</t>
  </si>
  <si>
    <t xml:space="preserve">7a5274480d92f9d28470d0ee2671eb1a	</t>
  </si>
  <si>
    <t xml:space="preserve">	e:\GoogleDrive\articles\hobby\Go description and rules.docx				</t>
  </si>
  <si>
    <t xml:space="preserve">7a55edebb27f8ef86d728fb5ad9c72e1	</t>
  </si>
  <si>
    <t xml:space="preserve">	e:\GoogleDrive\articles\mccloud - triangulation risk paper.pdf				</t>
  </si>
  <si>
    <t xml:space="preserve">7a5f2bdf5f11fce4fb5e51b2d303e8e3	</t>
  </si>
  <si>
    <t xml:space="preserve">	e:\GoogleDrive\articles\anagrammer\Modern C++ Design - Generic Programming and Design Patterns Appli	ed.	pdf		</t>
  </si>
  <si>
    <t xml:space="preserve">7a6349c0fdcbfb0f8487416e205986bb	</t>
  </si>
  <si>
    <t xml:space="preserve">	e:\GoogleDrive\articles\carr madan - towards a theory of volatility trading.pdf				</t>
  </si>
  <si>
    <t xml:space="preserve">7a6f9651163074a0a79ae2ff399df673	</t>
  </si>
  <si>
    <t xml:space="preserve">	e:\GoogleDrive\articles\wilmott\0305_news.pdf				</t>
  </si>
  <si>
    <t xml:space="preserve">7a6fdaff3f8e1ab7c994af207012a56b	</t>
  </si>
  <si>
    <t xml:space="preserve">	e:\GoogleDrive\articles\a geometric view of intert rate theory.ps				</t>
  </si>
  <si>
    <t xml:space="preserve">7a7ff8ace6907d09aa2511b476a1746e	</t>
  </si>
  <si>
    <t xml:space="preserve">	e:\GoogleDrive\articles\wilmott\0809_brown.pdf				</t>
  </si>
  <si>
    <t xml:space="preserve">7a8383d6a18393fdc02d22b5da2c2640	</t>
  </si>
  <si>
    <t xml:space="preserve">	e:\GoogleDrive\articles\lecture notes (pittman probas)\PTEtypos.pdf				</t>
  </si>
  <si>
    <t xml:space="preserve">7a8657fb5c2fd7245aee8c1a2f3e2abe	</t>
  </si>
  <si>
    <t xml:space="preserve">	e:\GoogleDrive\articles\schmidt - convexity.pdf				</t>
  </si>
  <si>
    <t xml:space="preserve">7a907ac94e05e9250eed437e8bbbf094	</t>
  </si>
  <si>
    <t xml:space="preserve">	e:\GoogleDrive\articles\numericalR\c5-11.pdf				</t>
  </si>
  <si>
    <t xml:space="preserve">7a9c6475c610516886e2bcc1d1e38549	</t>
  </si>
  <si>
    <t xml:space="preserve">	e:\GoogleDrive\articles\wystup -  Aspects of symmetry homogeneity and duality of the Black-Scholes	pri	cing	f	ormula for European style put and call options.pdf</t>
  </si>
  <si>
    <t xml:space="preserve">7a9dee63c77757ca794abc42ba9559ff	</t>
  </si>
  <si>
    <t xml:space="preserve">	e:\GoogleDrive\articles\Lixin - Calibration of the CEV market model.pdf				</t>
  </si>
  <si>
    <t xml:space="preserve">	e:\GoogleDrive\articles\wu - calibration of CEV market model.pdf				</t>
  </si>
  <si>
    <t xml:space="preserve">7aa5dcc47437d35d1cb1d7b9a74c5d71	</t>
  </si>
  <si>
    <t xml:space="preserve">	e:\GoogleDrive\articles\a classer\Sports\Half Marathon Pace Chart.pdf				</t>
  </si>
  <si>
    <t xml:space="preserve">7aa8a5de460203b0925f9e62be93a66e	</t>
  </si>
  <si>
    <t xml:space="preserve">	e:\GoogleDrive\articles\wilmott\0601_haug.pdf				</t>
  </si>
  <si>
    <t xml:space="preserve">7aadfdabf35f741ffad970f234220e52	</t>
  </si>
  <si>
    <t xml:space="preserve">	e:\GoogleDrive\articles\Pricing Forward Start Options under the CEV Model.pdf				</t>
  </si>
  <si>
    <t xml:space="preserve">	e:\GoogleDrive\articles\Pricing of forward starting options under CEV.pdf				</t>
  </si>
  <si>
    <t xml:space="preserve">7aeafeeac2b46745a8b298946c91713c	</t>
  </si>
  <si>
    <t xml:space="preserve">	e:\GoogleDrive\articles\amerivan options with black and scholes like formulae.pdf				</t>
  </si>
  <si>
    <t xml:space="preserve">7b1320f494147d0ca4e1a2f9fa7b7ba6	</t>
  </si>
  <si>
    <t xml:space="preserve">	e:\GoogleDrive\articles\wilmott\0509_duffy.pdf				</t>
  </si>
  <si>
    <t xml:space="preserve">7b3543b01243d0556346040376faabc1	</t>
  </si>
  <si>
    <t xml:space="preserve">	e:\GoogleDrive\articles\info - algo\Vuillemin - A data structure for manipulating priority queues (B	ino	mial	H	eap).pdf</t>
  </si>
  <si>
    <t xml:space="preserve">7b373c0c1ebf7c6b7ea0ed3d4cb284f8	</t>
  </si>
  <si>
    <t xml:space="preserve">	e:\GoogleDrive\articles\wilmott\0705_duffy.pdf				</t>
  </si>
  <si>
    <t xml:space="preserve">7b42fc5a64951521b1afded07497285b	</t>
  </si>
  <si>
    <t xml:space="preserve">	e:\GoogleDrive\articles\wilmott\0701_xenomorph.pdf				</t>
  </si>
  <si>
    <t xml:space="preserve">7b4fef69bcbe38a1079539ac5094e8b6	</t>
  </si>
  <si>
    <t xml:space="preserve">	e:\GoogleDrive\articles\Caps Oliver - PRD &amp; Equity-Rates Hybrids Dredner(2007).pdf				</t>
  </si>
  <si>
    <t xml:space="preserve">7b5022da7da62dead28ed00f2f56a082	</t>
  </si>
  <si>
    <t xml:space="preserve">	e:\GoogleDrive\articles\wilmott\0601_thorp.pdf				</t>
  </si>
  <si>
    <t xml:space="preserve">7b5e226916020f0184cbfa63ef7e8c29	</t>
  </si>
  <si>
    <t xml:space="preserve">	e:\GoogleDrive\articles\lobaskin\P.Kaufman.Trading Systems &amp; Methods\Kaufman - Trading Systems &amp; Met	hod	s -	Ch	ap07.doc</t>
  </si>
  <si>
    <t xml:space="preserve">7b713539bc04ffbcdbd5d9497fedac45	</t>
  </si>
  <si>
    <t xml:space="preserve">	e:\GoogleDrive\articles\wilmott\0809_thetaris.pdf				</t>
  </si>
  <si>
    <t xml:space="preserve">7b7c7389a6a03acfc77aef8bdc4ee9a1	</t>
  </si>
  <si>
    <t xml:space="preserve">	e:\GoogleDrive\articles\maths\solvers\DFNLPD - prn.pdf				</t>
  </si>
  <si>
    <t xml:space="preserve">7b7e625e9066e948260c93ca1b810b24	</t>
  </si>
  <si>
    <t xml:space="preserve">	e:\GoogleDrive\articles\maths - multinomialAndGaussian.pdf				</t>
  </si>
  <si>
    <t xml:space="preserve">7b805231b07f62905421c7ac5121c4c8	</t>
  </si>
  <si>
    <t xml:space="preserve">	e:\GoogleDrive\articles\wilmott\0807_nesbitt.pdf				</t>
  </si>
  <si>
    <t xml:space="preserve">7b8b26e87da02568585eb1857a7e0ec1	</t>
  </si>
  <si>
    <t xml:space="preserve">	e:\GoogleDrive\articles\(phd) hunor\phd\hackle\ICDM'03\gafo.bib				</t>
  </si>
  <si>
    <t xml:space="preserve">7b9d18135ba21472aa88c0630a581783	</t>
  </si>
  <si>
    <t xml:space="preserve">	e:\GoogleDrive\articles\(eBook) - Trfethen\chazelle - triangulating a simple polygon in linear time.	pdf			</t>
  </si>
  <si>
    <t xml:space="preserve">	e:\GoogleDrive\articles\info - graphics\chazelle - triangulating a simple polygon in linear time.pdf				</t>
  </si>
  <si>
    <t xml:space="preserve">7ba7ec83e1a60a9e4b371b8e3cf44114	</t>
  </si>
  <si>
    <t xml:space="preserve">	e:\GoogleDrive\articles\culture generale\economics\macroeconomics\LN_ch10.pdf				</t>
  </si>
  <si>
    <t xml:space="preserve">7bbf0fbd517e793e5ccb9d49b0a77e55	</t>
  </si>
  <si>
    <t xml:space="preserve">	e:\GoogleDrive\articles\numericalR\c12-0.pdf				</t>
  </si>
  <si>
    <t xml:space="preserve">7c0173ab88c0f778f007f05a06dfc9fe	</t>
  </si>
  <si>
    <t xml:space="preserve">	e:\GoogleDrive\articles\wilmott\0301_news.pdf				</t>
  </si>
  <si>
    <t xml:space="preserve">7c3bc3fc3cc8ef8e8f5db9079066171f	</t>
  </si>
  <si>
    <t xml:space="preserve">	e:\GoogleDrive\articles\numericalR\c6-0 Special functions.pdf				</t>
  </si>
  <si>
    <t xml:space="preserve">7c51e8cbb15d3f0e0a59403d9e220a86	</t>
  </si>
  <si>
    <t xml:space="preserve">	e:\GoogleDrive\articles\maths\xcheng\week05.pdf				</t>
  </si>
  <si>
    <t xml:space="preserve">7c60dfa0c252e316078c1c5ed313a8c7	</t>
  </si>
  <si>
    <t xml:space="preserve">	e:\GoogleDrive\articles\mark rubinstein\Fundamental Theorem.doc				</t>
  </si>
  <si>
    <t xml:space="preserve">7c772d95a3ccaa7854de4f880584bfc1	</t>
  </si>
  <si>
    <t xml:space="preserve">	e:\GoogleDrive\articles\bergomi - smile dynamics III.pdf				</t>
  </si>
  <si>
    <t xml:space="preserve">7c7ad3bbea5cd783db8fabdb84971422	</t>
  </si>
  <si>
    <t xml:space="preserve">	e:\GoogleDrive\articles\castellacci - the practice of delta-gamma var.pdf				</t>
  </si>
  <si>
    <t xml:space="preserve">7c82e34aea87f7ad3d0e5b8e8d45899e	</t>
  </si>
  <si>
    <t xml:space="preserve">	e:\GoogleDrive\articles\wilmott\0503_bouchaud.pdf				</t>
  </si>
  <si>
    <t xml:space="preserve">7c8ff390ba17bacc8396e9f107168e01	</t>
  </si>
  <si>
    <t xml:space="preserve">	e:\GoogleDrive\articles\mc methods for pricing american options.pdf				</t>
  </si>
  <si>
    <t xml:space="preserve">7c93cd58490b97c94487dcdeffd09d1c	</t>
  </si>
  <si>
    <t xml:space="preserve">	e:\GoogleDrive\articles\numericalR\c10-9.pdf				</t>
  </si>
  <si>
    <t xml:space="preserve">7cacb01cede3909a55184ae36ff6556b	</t>
  </si>
  <si>
    <t xml:space="preserve">	e:\GoogleDrive\articles\broadie glasserman - A stochastic Mesh Method for pricing h.pdf				</t>
  </si>
  <si>
    <t xml:space="preserve">	e:\GoogleDrive\articles\broadie glasserman - A stochastic Mesh Method for pricing high dimensional	Ame	rica	n	options - prn.pdf</t>
  </si>
  <si>
    <t xml:space="preserve">7cb9ab4df4bcbaa724aa267d1e4fdc92	</t>
  </si>
  <si>
    <t xml:space="preserve">	e:\GoogleDrive\articles\(eBook) Porter - Competitive Strategy (1998).pdf				</t>
  </si>
  <si>
    <t xml:space="preserve">7cba1a4a00698a6ea3aca7564afa5ed2	</t>
  </si>
  <si>
    <t xml:space="preserve">	e:\GoogleDrive\articles\wilmott\0405_bookreviews.pdf				</t>
  </si>
  <si>
    <t xml:space="preserve">7cbd35d34e98e96b0b930f798668a833	</t>
  </si>
  <si>
    <t xml:space="preserve">	e:\GoogleDrive\articles\britten-jones - Improved Inference and Estimation in Regression with Overlap	pin	g Ob	se	rvations.pdf</t>
  </si>
  <si>
    <t xml:space="preserve">	e:\GoogleDrive\articles\driessen et al. - Option implied correlations and the price of correlation r	isk	.pdf		</t>
  </si>
  <si>
    <t xml:space="preserve">7ce175f1181db6967b1f4f5616ef8c94	</t>
  </si>
  <si>
    <t xml:space="preserve">	e:\GoogleDrive\articles\latex files\Statistical Estimation\Estimation_fig1.pdf				</t>
  </si>
  <si>
    <t xml:space="preserve">7ce998a6c6c8086808c4023850781467	</t>
  </si>
  <si>
    <t xml:space="preserve">	e:\GoogleDrive\articles\CMSConvCorr.pdf				</t>
  </si>
  <si>
    <t xml:space="preserve">7d1127aef0531a50bb0ad20f341ac634	</t>
  </si>
  <si>
    <t xml:space="preserve">	e:\GoogleDrive\articles\info - graphics\lecture3 - Coordinate Systems and Transformations.pdf				</t>
  </si>
  <si>
    <t xml:space="preserve">7d2341b6b5ef2c61768ce845b783edd4	</t>
  </si>
  <si>
    <t xml:space="preserve">	e:\GoogleDrive\articles\wilmott\0809_unrisk.pdf				</t>
  </si>
  <si>
    <t xml:space="preserve">7d24cf1d8be1b9b7473603df0c22e1b3	</t>
  </si>
  <si>
    <t xml:space="preserve">	e:\GoogleDrive\articles\mark rubinstein\SuperShares.doc				</t>
  </si>
  <si>
    <t xml:space="preserve">7d332c9720a45719c4fd39ca9933bae9	</t>
  </si>
  <si>
    <t xml:space="preserve">	e:\GoogleDrive\articles\Pietersz - Rank Reduction of Correlation Matrices by Majoriz.pdf				</t>
  </si>
  <si>
    <t xml:space="preserve">	e:\GoogleDrive\articles\Pietersz - Rank Reduction of Correlation Matrices by Majorization - prn.pdf				</t>
  </si>
  <si>
    <t xml:space="preserve">7d435e23148af1c1d6c0540afa77f757	</t>
  </si>
  <si>
    <t xml:space="preserve">	e:\GoogleDrive\articles\journal of computational finance\v9n3a4.pdf				</t>
  </si>
  <si>
    <t xml:space="preserve">7d6b614acf991884edb4ca2c16fc294a	</t>
  </si>
  <si>
    <t xml:space="preserve">	e:\GoogleDrive\articles\(eBook) - kwok\Kwok_Chap_1.pdf				</t>
  </si>
  <si>
    <t xml:space="preserve">7d84e5bd3d579d4672f0f814eed281cf	</t>
  </si>
  <si>
    <t xml:space="preserve">	e:\GoogleDrive\articles\fu - A review on time series data mining (2011).pdf				</t>
  </si>
  <si>
    <t xml:space="preserve">7d907a14eb567a1d2c0f7519be3ca876	</t>
  </si>
  <si>
    <t xml:space="preserve">	e:\GoogleDrive\articles\culture generale\economics\lecture\reading\ch6 - romers.pdf				</t>
  </si>
  <si>
    <t xml:space="preserve">7d924dc41f1f6b7d32e5da62f823b666	</t>
  </si>
  <si>
    <t xml:space="preserve">	e:\GoogleDrive\articles\culture generale\economics\lecture\6 - policy.pdf				</t>
  </si>
  <si>
    <t xml:space="preserve">7d9448113a840e858014de3acaed541f	</t>
  </si>
  <si>
    <t xml:space="preserve">	e:\GoogleDrive\articles\lobaskin\P.Kaufman.Trading Systems &amp; Methods\Kaufman - Trading Systems &amp; Met	hod	s -	Ch	ap18.doc</t>
  </si>
  <si>
    <t xml:space="preserve">7d94eaf37303bee32993a693dad5d95f	</t>
  </si>
  <si>
    <t xml:space="preserve">	e:\GoogleDrive\articles\nguyen - thŠse.ps				</t>
  </si>
  <si>
    <t xml:space="preserve">7da719d252b93caf94e4ef74c6803c47	</t>
  </si>
  <si>
    <t xml:space="preserve">	e:\GoogleDrive\articles\wilmott\0609_misys.pdf				</t>
  </si>
  <si>
    <t xml:space="preserve">7db6c4d6a75be18e85e126acbdb52bb3	</t>
  </si>
  <si>
    <t xml:space="preserve">	e:\GoogleDrive\articles\culture generale\economics\lecture\7 - consumption.pdf				</t>
  </si>
  <si>
    <t xml:space="preserve">7dcf9665d1b4af704a5cb5c09d58d7e8	</t>
  </si>
  <si>
    <t xml:space="preserve">	e:\GoogleDrive\articles\global risk 2007\day1\Jens Lund - counterparty risk.pdf				</t>
  </si>
  <si>
    <t xml:space="preserve">7dd002f86a16530499bef25cd18b0738	</t>
  </si>
  <si>
    <t xml:space="preserve">	e:\GoogleDrive\articles\data mining\ECMLPKDD2004\tutorials\T7_Notes.pdf				</t>
  </si>
  <si>
    <t xml:space="preserve">7dd192c8735ba7ae7e34de589bf9d76e	</t>
  </si>
  <si>
    <t xml:space="preserve">	e:\GoogleDrive\articles\maths - trig02.bmp				</t>
  </si>
  <si>
    <t xml:space="preserve">7dd471e409a21a294c4b453948d8d2ea	</t>
  </si>
  <si>
    <t xml:space="preserve">	e:\GoogleDrive\articles\wilmott\0711_eurex.pdf				</t>
  </si>
  <si>
    <t xml:space="preserve">7dda8f19455ba5b55428ccd5eea022b1	</t>
  </si>
  <si>
    <t xml:space="preserve">	e:\GoogleDrive\articles\wilmott\0411_ayache.pdf				</t>
  </si>
  <si>
    <t xml:space="preserve">7dfee2d3f6f30f4292a648ece2b94f2d	</t>
  </si>
  <si>
    <t xml:space="preserve">	e:\GoogleDrive\articles\liveeay - Derivation of the B-S formulae.pdf				</t>
  </si>
  <si>
    <t xml:space="preserve">	e:\GoogleDrive\articles\livesay - derivation of the BlackScholes formula.pdf				</t>
  </si>
  <si>
    <t xml:space="preserve">	e:\GoogleDrive\articles\latex files\BlackScholes.pdf				</t>
  </si>
  <si>
    <t xml:space="preserve">7e19d6c16210bfe33827a972576aadd7	</t>
  </si>
  <si>
    <t xml:space="preserve">	e:\GoogleDrive\articles\data mining\ECMLPKDD2004\covers\T2.pdf				</t>
  </si>
  <si>
    <t xml:space="preserve">7e2014cfb61e3f1bd6c2f3cd2e0c154d	</t>
  </si>
  <si>
    <t xml:space="preserve">	e:\GoogleDrive\articles\(eBook) - Bruce - analysys tools with appliation part2.pdf				</t>
  </si>
  <si>
    <t xml:space="preserve">	e:\GoogleDrive\articles\(eBook) Bruce - analysys tools with appliation part2.pdf				</t>
  </si>
  <si>
    <t xml:space="preserve">	e:\GoogleDrive\articles\analpde2-2p.pdf				</t>
  </si>
  <si>
    <t xml:space="preserve">7e320d64b050b22dbaff699967ea628d	</t>
  </si>
  <si>
    <t xml:space="preserve">	e:\GoogleDrive\articles\bernardini mittleman rushmeier silva taubin - The Ball-Pivoting Algorith	m f	or S	ur	face reconstruction.pdf</t>
  </si>
  <si>
    <t xml:space="preserve">	e:\GoogleDrive\articles\info - graphics\Bernardini mittleman Rushmeier Silva Taubin - The Ball-P	ivo	ting	A	lgorithm for Surface Reconstruction.pdf</t>
  </si>
  <si>
    <t xml:space="preserve">7e3fe5fe6ab54a329613ce0876059700	</t>
  </si>
  <si>
    <t xml:space="preserve">	e:\GoogleDrive\articles\schoenmakers - A Market Model For Stochastic Implied Volatility.pdf				</t>
  </si>
  <si>
    <t xml:space="preserve">7e55a0d0296f945e993c2026e6abcdd8	</t>
  </si>
  <si>
    <t xml:space="preserve">	e:\GoogleDrive\articles\wilmott\0311_bookclub.pdf				</t>
  </si>
  <si>
    <t xml:space="preserve">7e5a756236f2e2bef30e8a1ab128d388	</t>
  </si>
  <si>
    <t xml:space="preserve">	e:\GoogleDrive\articles\wilmott\0803_carreviews.pdf				</t>
  </si>
  <si>
    <t xml:space="preserve">7e69e0d8d8cb2029b0d1ebc242e29543	</t>
  </si>
  <si>
    <t xml:space="preserve">	e:\GoogleDrive\articles\echantillonage d'importance et stratification.pdf				</t>
  </si>
  <si>
    <t xml:space="preserve">7e70c9ecb7efce1019fd23735e95ecaf	</t>
  </si>
  <si>
    <t xml:space="preserve">	e:\GoogleDrive\articles\marcus kling - interest only-principal only mortgage backes strips a valua	tio	n an	d	risk analysis.pdf</t>
  </si>
  <si>
    <t xml:space="preserve">7e744acb2fe890a47922ea09f9bcad1d	</t>
  </si>
  <si>
    <t xml:space="preserve">	e:\GoogleDrive\articles\(ebook) selesnick burrus - Digital Signal Processing Handbook\32.pdf				</t>
  </si>
  <si>
    <t xml:space="preserve">7e7863ddb0b1d918e4b664db5a72f12e	</t>
  </si>
  <si>
    <t xml:space="preserve">	e:\GoogleDrive\articles\Memory-Constrained Algorithms for Simple Polygons.pdf				</t>
  </si>
  <si>
    <t xml:space="preserve">7e7c0d9474667e32cbb83fd2c76dc2ed	</t>
  </si>
  <si>
    <t xml:space="preserve">	e:\GoogleDrive\articles\(eBook) eugene l fleeman - tactical missile design.pdf				</t>
  </si>
  <si>
    <t xml:space="preserve">7e822622288d25ff7eb5bac072aa6210	</t>
  </si>
  <si>
    <t xml:space="preserve">	e:\GoogleDrive\articles\piterberg - Computing Deltas of Callable Libor Exotics in LMM - prn.pdf				</t>
  </si>
  <si>
    <t xml:space="preserve">7e84025aca4a04b323163b78ed214f2f	</t>
  </si>
  <si>
    <t xml:space="preserve">	e:\GoogleDrive\articles\(eBook) - Taylor M.E. Partial differential equations 1 (Spr.djvu				</t>
  </si>
  <si>
    <t xml:space="preserve">7e841a0dd9b63477fce1b35b946e5c2d	</t>
  </si>
  <si>
    <t xml:space="preserve">	e:\GoogleDrive\articles\(eBook) Tanenbaum - Operating Systems Design and Implementation 2nd.pdf				</t>
  </si>
  <si>
    <t xml:space="preserve">	e:\GoogleDrive\articles\Tanenbaum - Operating Systems Design and Implementation 2nd.pdf				</t>
  </si>
  <si>
    <t xml:space="preserve">7e8ccab1b10a78d3da5e03643e9089ad	</t>
  </si>
  <si>
    <t xml:space="preserve">	e:\GoogleDrive\articles\global risk 2007\day1\15.05 Youssef Elouerkhaoui - credit.pdf				</t>
  </si>
  <si>
    <t xml:space="preserve">7e8eb29f2850ce5a4a24dd7a1409620b	</t>
  </si>
  <si>
    <t xml:space="preserve">	e:\GoogleDrive\articles\maths\lemmermayer\hwf06.pdf				</t>
  </si>
  <si>
    <t xml:space="preserve">7e9363d7aadbd3fd70fa508033da3e9a	</t>
  </si>
  <si>
    <t xml:space="preserve">	e:\GoogleDrive\articles\(ebook) selesnick burrus - Digital Signal Processing Handbook\07.pdf				</t>
  </si>
  <si>
    <t xml:space="preserve">7e97919e83c36c4c362d0debe3f19341	</t>
  </si>
  <si>
    <t xml:space="preserve">	e:\GoogleDrive\articles\fama - the behavior of stock market prices.pdf				</t>
  </si>
  <si>
    <t xml:space="preserve">7ea2d2accf683159812784e4375d9542	</t>
  </si>
  <si>
    <t xml:space="preserve">	e:\GoogleDrive\articles\(phd) hunor\phd\hackle\hunor - kdid.zip				</t>
  </si>
  <si>
    <t xml:space="preserve">7ea7a5f89f63f226645e6c97ba0c887d	</t>
  </si>
  <si>
    <t xml:space="preserve">	e:\GoogleDrive\articles\Huang - Measuring mesh qualities and application to variational mesh adaptat	ion	.pdf		</t>
  </si>
  <si>
    <t xml:space="preserve">7eb9d5b252e762d3deee3a3f7ab16fda	</t>
  </si>
  <si>
    <t xml:space="preserve">	e:\GoogleDrive\articles\Notes on Elementary Number Theory\F1  Reglements-techniques-2003-f.pdf				</t>
  </si>
  <si>
    <t xml:space="preserve">7eba04b647a79e2870ec8542a312ea97	</t>
  </si>
  <si>
    <t xml:space="preserve">	e:\GoogleDrive\articles\brownian bridge\WP2001C.pdf				</t>
  </si>
  <si>
    <t xml:space="preserve">7ebb24b3536dcd955cceddc8f3278d2a	</t>
  </si>
  <si>
    <t xml:space="preserve">	e:\GoogleDrive\articles\wilmott\0407_aase.pdf				</t>
  </si>
  <si>
    <t xml:space="preserve">7edb049a960603209aa2e8be8a6a1cb6	</t>
  </si>
  <si>
    <t xml:space="preserve">	e:\GoogleDrive\articles\Lajbcygier Connnor - improved option pricingusing artificial neural network	s a	nd b	oo	tstrap methods (1997).pdf</t>
  </si>
  <si>
    <t xml:space="preserve">7ee4a96f0a7eed8899eeb8f80e0c4e37	</t>
  </si>
  <si>
    <t xml:space="preserve">	e:\GoogleDrive\articles\wilmott\0411_thorp.pdf				</t>
  </si>
  <si>
    <t xml:space="preserve">7f098e56e0b11a2b74c53827e5c048d1	</t>
  </si>
  <si>
    <t xml:space="preserve">	e:\GoogleDrive\articles\wilmott\0509_jackel.pdf				</t>
  </si>
  <si>
    <t xml:space="preserve">7f0b5b08601f5245a546649a36e30c63	</t>
  </si>
  <si>
    <t xml:space="preserve">	e:\GoogleDrive\articles\data mining\ECMLPKDD2004\committee.html				</t>
  </si>
  <si>
    <t xml:space="preserve">7f192a42853e2a075686d8fdc356917a	</t>
  </si>
  <si>
    <t xml:space="preserve">	e:\GoogleDrive\articles\wilmott\0301_prast.pdf				</t>
  </si>
  <si>
    <t xml:space="preserve">7f34e464afbf8d46f2b10ef69f5eff2c	</t>
  </si>
  <si>
    <t xml:space="preserve">	e:\GoogleDrive\articles\wilmott\0611_brown.pdf				</t>
  </si>
  <si>
    <t xml:space="preserve">	e:\GoogleDrive\articles\wilmott\Aaron Brown - The Inside Out Corporation.pdf				</t>
  </si>
  <si>
    <t xml:space="preserve">7f67e1045534ddc1f33324f08a342214	</t>
  </si>
  <si>
    <t xml:space="preserve">	e:\GoogleDrive\articles\latex files\Lmm07.tex				</t>
  </si>
  <si>
    <t xml:space="preserve">7f6bc20895b6b27c485faa2b7bf70e0e	</t>
  </si>
  <si>
    <t xml:space="preserve">	e:\GoogleDrive\articles\culture generale\SECTION3.pdf				</t>
  </si>
  <si>
    <t xml:space="preserve">7f7b5e0b9260741382d69b856f688cc4	</t>
  </si>
  <si>
    <t xml:space="preserve">	e:\GoogleDrive\articles\info - data mining\david mount - The Analysis of a Probabilistic Approach to	Ne	ares	t	Neighbor Searching (wads 2001).pdf</t>
  </si>
  <si>
    <t xml:space="preserve">	e:\GoogleDrive\articles\(phd) hunor\neigbours\ost-wads01.pdf				</t>
  </si>
  <si>
    <t xml:space="preserve">7f7d8b085671948003931edd38be7c2e	</t>
  </si>
  <si>
    <t xml:space="preserve">	e:\GoogleDrive\articles\wilmott\0501_blochwitz.pdf				</t>
  </si>
  <si>
    <t xml:space="preserve">7f7f0ae8a49ceff6f7b91118eda22065	</t>
  </si>
  <si>
    <t xml:space="preserve">	e:\GoogleDrive\articles\Notes on Elementary Number Theory\backuper.hcs				</t>
  </si>
  <si>
    <t xml:space="preserve">7f89efeb92b71fdd90c676470ba99d8d	</t>
  </si>
  <si>
    <t xml:space="preserve">	e:\GoogleDrive\articles\PwC PCDG OIS Survey Results  - Final (June 2011).pdf				</t>
  </si>
  <si>
    <t xml:space="preserve">7f9aa2a26c845181932708165cc9ea8e	</t>
  </si>
  <si>
    <t xml:space="preserve">	e:\GoogleDrive\articles\(eBook) de Berg et al - Computational Geometry Algorithms and applications.p	df			</t>
  </si>
  <si>
    <t xml:space="preserve">	e:\GoogleDrive\articles\Computational Geometry Algorithms and Applications 3rd Ed - de Berg et al.p	df			</t>
  </si>
  <si>
    <t xml:space="preserve">7fa42368ba635a4eb71b958a8b240b41	</t>
  </si>
  <si>
    <t xml:space="preserve">	e:\GoogleDrive\articles\Tilley - Cox Ingersoll And Ross Models Of Interest Rates.pdf				</t>
  </si>
  <si>
    <t xml:space="preserve">7fae224d73d85dbeb73b9b1c8bd71a2a	</t>
  </si>
  <si>
    <t xml:space="preserve">	e:\GoogleDrive\articles\WBS IR modelling Course\IR Modelling\IRMWorkshop4_72.pdf				</t>
  </si>
  <si>
    <t xml:space="preserve">7fc02ae904e76136e05b5342335a5c13	</t>
  </si>
  <si>
    <t xml:space="preserve">	e:\GoogleDrive\articles\mark rubinstein\Nonparametric Tests of Alternative Option Pricing Models.doc				</t>
  </si>
  <si>
    <t xml:space="preserve">7fc908eb7af2095dbeb3ce71b3e49031	</t>
  </si>
  <si>
    <t xml:space="preserve">	e:\GoogleDrive\articles\culture generale\definition des swaptions.pdf				</t>
  </si>
  <si>
    <t xml:space="preserve">7fe784981f4c8f5d65d2e119bc7d8cfc	</t>
  </si>
  <si>
    <t xml:space="preserve">	e:\GoogleDrive\articles\imf publications\mb200401en.pdf				</t>
  </si>
  <si>
    <t xml:space="preserve">7fe8b48b42c9d6d43b25429ab4875c39	</t>
  </si>
  <si>
    <t xml:space="preserve">	e:\GoogleDrive\articles\Srinivasan mandal - Remeshing Schemes for Semi-Regular Tilings (2005).pdf				</t>
  </si>
  <si>
    <t xml:space="preserve">7ff384e040e989b9978b972408117bfb	</t>
  </si>
  <si>
    <t xml:space="preserve">	e:\GoogleDrive\articles\lecture notes (pittman probas)\lecture19.pdf				</t>
  </si>
  <si>
    <t xml:space="preserve">8033269ee479cae22b66fc4c4aa89216	</t>
  </si>
  <si>
    <t xml:space="preserve">	e:\GoogleDrive\articles\oxford dpt of statistics\finan3 - Discrete time models II.ps				</t>
  </si>
  <si>
    <t xml:space="preserve">80372e358bf46fa8b6436b061d1b1891	</t>
  </si>
  <si>
    <t xml:space="preserve">	e:\GoogleDrive\articles\Li teng wan - Generate Good Triangular Meshes Conforming to Control Spaci	ng	Requ	ir	ements.pdf</t>
  </si>
  <si>
    <t xml:space="preserve">803b5ecf6364988e2a104c3ef578e4e6	</t>
  </si>
  <si>
    <t xml:space="preserve">	e:\GoogleDrive\articles\brigo - on the distributional distance between the libor and swap market mod	el.	pdf		</t>
  </si>
  <si>
    <t xml:space="preserve">	e:\GoogleDrive\articles\brigo - on the distributional distance between the libor and.pdf				</t>
  </si>
  <si>
    <t xml:space="preserve">807636e8ad1be98158b11f510278e216	</t>
  </si>
  <si>
    <t xml:space="preserve">	e:\GoogleDrive\articles\(eBook) - Wilmott - The Mathematics Of Financial Derivatives.pdf				</t>
  </si>
  <si>
    <t xml:space="preserve">	e:\GoogleDrive\articles\(ebook) Wilmott - The Mathematics Of Financial Derivatives.pdf				</t>
  </si>
  <si>
    <t xml:space="preserve">808873536ff4d8431290fe27fa5b86c3	</t>
  </si>
  <si>
    <t xml:space="preserve">	e:\GoogleDrive\articles\(eBook) - Jackel\AUTORUN.DAT				</t>
  </si>
  <si>
    <t xml:space="preserve">80a40a1c0fec609f6af9da725b7b8371	</t>
  </si>
  <si>
    <t xml:space="preserve">	e:\GoogleDrive\articles\shreve - upgrade your passport.pdf				</t>
  </si>
  <si>
    <t xml:space="preserve">80ba14912c4f28dafeacc29f6bba0a9a	</t>
  </si>
  <si>
    <t xml:space="preserve">	e:\GoogleDrive\articles\global risk 2007\day3\backuper.hcs				</t>
  </si>
  <si>
    <t xml:space="preserve">80c3d959cd03a4551668bd9b5d5da037	</t>
  </si>
  <si>
    <t xml:space="preserve">	e:\GoogleDrive\articles\wilmott\0503_staunton.pdf				</t>
  </si>
  <si>
    <t xml:space="preserve">80d78996b619f2b44e7589376383ac25	</t>
  </si>
  <si>
    <t xml:space="preserve">	e:\GoogleDrive\articles\data mining\ECMLPKDD2004\tutorials\The Distributed Data Mining Bibliography.	htm			</t>
  </si>
  <si>
    <t xml:space="preserve">80dd813c45874dbe5a09334a32ac6a33	</t>
  </si>
  <si>
    <t xml:space="preserve">	e:\GoogleDrive\articles\latex files\FX Option\FXOptions.tex				</t>
  </si>
  <si>
    <t xml:space="preserve">80e698bf6b8077fed785d2231562573d	</t>
  </si>
  <si>
    <t xml:space="preserve">	e:\GoogleDrive\articles\wilmott\0705_unrisk.pdf				</t>
  </si>
  <si>
    <t xml:space="preserve">8123c8b4ee039bacc50cf802a4b119c8	</t>
  </si>
  <si>
    <t xml:space="preserve">	e:\GoogleDrive\articles\joshi rebonato - A stochastic volatility displaced-diffusion extension of t	he	LIBO	R	market model.pdf</t>
  </si>
  <si>
    <t xml:space="preserve">	e:\GoogleDrive\articles\rebonato joshi - A Stochastic-Volatility dispaled-diffusion extension LMM.	pdf			</t>
  </si>
  <si>
    <t xml:space="preserve">812524c6e8f06cb16795bbf6c0b5422c	</t>
  </si>
  <si>
    <t xml:space="preserve">	e:\GoogleDrive\articles\kohn - sde\section5.ps				</t>
  </si>
  <si>
    <t xml:space="preserve">812a6349152ee55290c0af2022ad1e40	</t>
  </si>
  <si>
    <t xml:space="preserve">	e:\GoogleDrive\articles\brownian bridge\fsdfsdfsd gf.ps				</t>
  </si>
  <si>
    <t xml:space="preserve">814391b48d030a44a291c56aa4a3f389	</t>
  </si>
  <si>
    <t xml:space="preserve">	e:\GoogleDrive\articles\Nengjiu - Pricing Asian and Basket Options Via Taylor Expansion(2002).pdf				</t>
  </si>
  <si>
    <t xml:space="preserve">8144652d1c61f1db94d072eb5e8ee196	</t>
  </si>
  <si>
    <t xml:space="preserve">	e:\GoogleDrive\articles\cours finance\cours03.ps				</t>
  </si>
  <si>
    <t xml:space="preserve">814d48abb378afe11f1f1b288d16179a	</t>
  </si>
  <si>
    <t xml:space="preserve">	e:\GoogleDrive\articles\WBS IR modelling Course\IR Modelling\IRMWorkshop6_74.pdf				</t>
  </si>
  <si>
    <t xml:space="preserve">816399380f52bacc62d8f19be835aa90	</t>
  </si>
  <si>
    <t xml:space="preserve">	e:\GoogleDrive\articles\anagrammer\Designing Components with the C++ STL.pdf				</t>
  </si>
  <si>
    <t xml:space="preserve">8171863ae6085b8434d51b48506cfd91	</t>
  </si>
  <si>
    <t xml:space="preserve">	e:\GoogleDrive\articles\stanford - convex optimisation\11 - equality.pdf				</t>
  </si>
  <si>
    <t xml:space="preserve">819268c8cd9e68af11e34c9ed2f310b2	</t>
  </si>
  <si>
    <t xml:space="preserve">	e:\GoogleDrive\articles\global risk 2007\day3\Kuenzi.zip				</t>
  </si>
  <si>
    <t xml:space="preserve">81bb9e0deab815dbbc87c690cb819ab7	</t>
  </si>
  <si>
    <t xml:space="preserve">	e:\GoogleDrive\articles\rama cont &amp; Tankov - entropy.pdf				</t>
  </si>
  <si>
    <t xml:space="preserve">	e:\GoogleDrive\articles\entropy\rama cont &amp; Tankov - entropy.pdf				</t>
  </si>
  <si>
    <t xml:space="preserve">81cafb14e5f54c85f3726f6ae88a7479	</t>
  </si>
  <si>
    <t xml:space="preserve">	e:\GoogleDrive\articles\(eBook) - statistical methods\chapter09-041018.pdf				</t>
  </si>
  <si>
    <t xml:space="preserve">820f49c5112fcf714128d0e2136e6810	</t>
  </si>
  <si>
    <t xml:space="preserve">	e:\GoogleDrive\articles\(phd) hunor\phd\remerciements.tex				</t>
  </si>
  <si>
    <t xml:space="preserve">8218ec17cbb6cd33587a990212670954	</t>
  </si>
  <si>
    <t xml:space="preserve">	e:\GoogleDrive\articles\wilmott\0409_thorp.pdf				</t>
  </si>
  <si>
    <t xml:space="preserve">822e3843e3d6ea174367b0e5c8245633	</t>
  </si>
  <si>
    <t xml:space="preserve">	e:\GoogleDrive\articles\wilmott\0311_editorial.pdf				</t>
  </si>
  <si>
    <t xml:space="preserve">8231890fb1062f6700426ad66fcb66bc	</t>
  </si>
  <si>
    <t xml:space="preserve">	e:\GoogleDrive\articles\wilmott\0611_summit.pdf				</t>
  </si>
  <si>
    <t xml:space="preserve">82393ccca89be0a6f2052183d1ff86a9	</t>
  </si>
  <si>
    <t xml:space="preserve">	e:\GoogleDrive\articles\maths\lois.doc				</t>
  </si>
  <si>
    <t xml:space="preserve">82492bc2ae1813cd4e83ccc4e128c42d	</t>
  </si>
  <si>
    <t xml:space="preserve">	e:\GoogleDrive\articles\numericalR\c11-1.pdf				</t>
  </si>
  <si>
    <t xml:space="preserve">8252b51b2c42441f377500d6c6688c7e	</t>
  </si>
  <si>
    <t xml:space="preserve">	e:\GoogleDrive\articles\Rubinstein - Implied binomial trees.pdf				</t>
  </si>
  <si>
    <t xml:space="preserve">8262da6f38c91113aa92020a4b2d9bc9	</t>
  </si>
  <si>
    <t xml:space="preserve">	e:\GoogleDrive\articles\lecture\Lecture1.pdf				</t>
  </si>
  <si>
    <t xml:space="preserve">8267ca1fe29ab3e70eb453411f3c4dd3	</t>
  </si>
  <si>
    <t xml:space="preserve">	e:\GoogleDrive\articles\Gatheral - lecture7_2005.pdf				</t>
  </si>
  <si>
    <t xml:space="preserve">82806047eb86e622ad14b42875897db3	</t>
  </si>
  <si>
    <t xml:space="preserve">	e:\GoogleDrive\articles\global risk 2007\day2\12.15 Stephens.zip				</t>
  </si>
  <si>
    <t xml:space="preserve">82aec667a20c56db1c1492c29ecbbb9b	</t>
  </si>
  <si>
    <t xml:space="preserve">	e:\GoogleDrive\articles\lady - Recognizing Types of First Order Differential Equations.pdf				</t>
  </si>
  <si>
    <t xml:space="preserve">82c54a93f5c506f24699f87e172ddb4a	</t>
  </si>
  <si>
    <t xml:space="preserve">	e:\GoogleDrive\articles\faulhaber - Analytic Solutions for pricing double Barrier .options in the pr	ese	nce	of	SV.pdf</t>
  </si>
  <si>
    <t xml:space="preserve">82ca92e065b9d8829bdffb2e619778c9	</t>
  </si>
  <si>
    <t xml:space="preserve">	e:\GoogleDrive\articles\wilmott\0707_das.pdf				</t>
  </si>
  <si>
    <t xml:space="preserve">82ff1123cb54feaf415913352eb43149	</t>
  </si>
  <si>
    <t xml:space="preserve">	e:\GoogleDrive\articles\ben pfaf - binary search trees and balanced trees.ps				</t>
  </si>
  <si>
    <t xml:space="preserve">8309538024ee4fbc1dbf898dc6c511e7	</t>
  </si>
  <si>
    <t xml:space="preserve">	e:\GoogleDrive\articles\lobaskin\P.Kaufman.Trading Systems &amp; Methods\Kaufman - Trading Systems &amp; Met	hod	s -	Ch	ap08.doc</t>
  </si>
  <si>
    <t xml:space="preserve">830b281df75c1d2d4a8ff3bd585f8f37	</t>
  </si>
  <si>
    <t xml:space="preserve">	e:\GoogleDrive\articles\a classer\ir models.ps				</t>
  </si>
  <si>
    <t xml:space="preserve">831e039dd1cb21f9f85b9665f5ee082f	</t>
  </si>
  <si>
    <t xml:space="preserve">	e:\GoogleDrive\articles\wilmott\0309_kruse.pdf				</t>
  </si>
  <si>
    <t xml:space="preserve">832f5ea295d70a76530fb80280e03d91	</t>
  </si>
  <si>
    <t xml:space="preserve">	e:\GoogleDrive\articles\bjork - change of numeraire chapter.pdf				</t>
  </si>
  <si>
    <t xml:space="preserve">832f6ba95cfb6a556963bf7b40d45b75	</t>
  </si>
  <si>
    <t xml:space="preserve">	e:\GoogleDrive\articles\wilmott\0411_osband.pdf				</t>
  </si>
  <si>
    <t xml:space="preserve">833c726dbc33a48b4eb0f863ffd379e2	</t>
  </si>
  <si>
    <t xml:space="preserve">	e:\GoogleDrive\articles\equity\Volume8.doc				</t>
  </si>
  <si>
    <t xml:space="preserve">	e:\GoogleDrive\articles\equity (lehman brothers)\Volume8.doc				</t>
  </si>
  <si>
    <t xml:space="preserve">83444a3d6a652487648bb3b870619633	</t>
  </si>
  <si>
    <t xml:space="preserve">	e:\GoogleDrive\articles\wilmott\0607_summit.pdf				</t>
  </si>
  <si>
    <t xml:space="preserve">834b6040bbd6a30843609042fe4280f9	</t>
  </si>
  <si>
    <t xml:space="preserve">	e:\GoogleDrive\articles\mn480 - computational techniques\bib.pdf				</t>
  </si>
  <si>
    <t xml:space="preserve">834f377f83bf5a68ee0aa018667f645c	</t>
  </si>
  <si>
    <t xml:space="preserve">	e:\GoogleDrive\articles\brownian bridge\kac.ps.Z				</t>
  </si>
  <si>
    <t xml:space="preserve">83614fd59cfdf2263b4ed7fc97ffd665	</t>
  </si>
  <si>
    <t xml:space="preserve">	e:\GoogleDrive\articles\hagan - adjusters - prn.pdf				</t>
  </si>
  <si>
    <t xml:space="preserve">	e:\GoogleDrive\articles\wilmott\0211_hagan.pdf				</t>
  </si>
  <si>
    <t xml:space="preserve">837437fc3d9e538fe6db3fcd173a53d7	</t>
  </si>
  <si>
    <t xml:space="preserve">	e:\GoogleDrive\articles\GARCH Modeling of Time.doc				</t>
  </si>
  <si>
    <t xml:space="preserve">83989ae927097329c94d5dd688986d2a	</t>
  </si>
  <si>
    <t xml:space="preserve">	e:\GoogleDrive\articles\rutkowski - continuous time financial modelling.pdf				</t>
  </si>
  <si>
    <t xml:space="preserve">839e3365442ab8e705135766c7bc09f2	</t>
  </si>
  <si>
    <t xml:space="preserve">	e:\GoogleDrive\articles\WBS IR modelling Course\Credit Derivatives and Hybrids\CD1.4Gregory_80.pdf				</t>
  </si>
  <si>
    <t xml:space="preserve">83bd3fd10697818f8f6357716f4343bd	</t>
  </si>
  <si>
    <t xml:space="preserve">	e:\GoogleDrive\articles\Kjaergaard - modelling inflation.pdf				</t>
  </si>
  <si>
    <t xml:space="preserve">83d9b49c27722f000426d1d04d1a6261	</t>
  </si>
  <si>
    <t xml:space="preserve">	e:\GoogleDrive\articles\meucci - Risk contributions from generic user-defined factors.pdf				</t>
  </si>
  <si>
    <t xml:space="preserve">83dc179e1a63e8535524a822bac63a4c	</t>
  </si>
  <si>
    <t xml:space="preserve">	e:\GoogleDrive\articles\gatheral_lecture2_2003.pdf				</t>
  </si>
  <si>
    <t xml:space="preserve">83fc7b718a6d410d377742540f6932c1	</t>
  </si>
  <si>
    <t xml:space="preserve">	e:\GoogleDrive\articles\data mining\ECMLPKDD2004\tutorials.html				</t>
  </si>
  <si>
    <t xml:space="preserve">83fe866f9ec53cdc0f900a181051f8ef	</t>
  </si>
  <si>
    <t xml:space="preserve">	e:\GoogleDrive\articles\wilmott\0607_ebenfeld.pdf				</t>
  </si>
  <si>
    <t xml:space="preserve">8403cb7a48771a49fda6eef47c2555db	</t>
  </si>
  <si>
    <t xml:space="preserve">	e:\GoogleDrive\articles\cebral lohner - from medical images to cfd meshes.ps				</t>
  </si>
  <si>
    <t xml:space="preserve">8406dc33d1f76baca19c3cf1a6c9fcd4	</t>
  </si>
  <si>
    <t xml:space="preserve">	e:\GoogleDrive\articles\(phd) hunor\thirdparty\hunor\basic_tools.h				</t>
  </si>
  <si>
    <t xml:space="preserve">8429ce7ccc24bbbadea52e1eda62c465	</t>
  </si>
  <si>
    <t xml:space="preserve">	e:\GoogleDrive\articles\latex files\compiler.tex				</t>
  </si>
  <si>
    <t xml:space="preserve">843787d55abb413a5524ad5c823cdfa9	</t>
  </si>
  <si>
    <t xml:space="preserve">	e:\GoogleDrive\articles\info - graphics\zorin - Subdivision on Arbitrary Meshes Algorithms and Theor	y.p	df		</t>
  </si>
  <si>
    <t xml:space="preserve">84461406b160b3c58655977edfe14628	</t>
  </si>
  <si>
    <t xml:space="preserve">	e:\GoogleDrive\articles\Thaler &amp; de Bondt 90- Do Security Analysts Overreact.pdf				</t>
  </si>
  <si>
    <t xml:space="preserve">8454dbd621f9f40870ff7516b826ba65	</t>
  </si>
  <si>
    <t xml:space="preserve">	e:\GoogleDrive\articles\Reinstein - RSEctasiaModelPartI (2006).pdf				</t>
  </si>
  <si>
    <t xml:space="preserve">845df6fdadc1f15d85b8816c8b3b279a	</t>
  </si>
  <si>
    <t xml:space="preserve">	e:\GoogleDrive\articles\risk_0812_technical_ird2.pdf				</t>
  </si>
  <si>
    <t xml:space="preserve">8462e985d156d8714bef9109b31450a0	</t>
  </si>
  <si>
    <t xml:space="preserve">	e:\GoogleDrive\articles\pietersz pelsser - a comparison of single factor MF and multi factor LMM.pd	f			</t>
  </si>
  <si>
    <t xml:space="preserve">84659b13de1f45d25618b291ce853b66	</t>
  </si>
  <si>
    <t xml:space="preserve">	e:\GoogleDrive\articles\(ebook) - Manias Panics and Crashes.pdf				</t>
  </si>
  <si>
    <t xml:space="preserve">848c041573627177d676783f8be202aa	</t>
  </si>
  <si>
    <t xml:space="preserve">	e:\GoogleDrive\articles\kleinert - path integrals 21.pdf				</t>
  </si>
  <si>
    <t xml:space="preserve">848eb9a53d71f511df3bb23e091c8ac8	</t>
  </si>
  <si>
    <t xml:space="preserve">	e:\GoogleDrive\articles\lecture notes (pittman probas)\lecture23.pdf				</t>
  </si>
  <si>
    <t xml:space="preserve">84994dc1823ae0547e71bbbd7f512bdc	</t>
  </si>
  <si>
    <t xml:space="preserve">	e:\GoogleDrive\articles\maths sp‚\pr‚s_DS1.ppt				</t>
  </si>
  <si>
    <t xml:space="preserve">84aa9e144b8d9320691346970b187d2b	</t>
  </si>
  <si>
    <t xml:space="preserve">	e:\GoogleDrive\articles\(eBook) - MathematicaV5.pdf				</t>
  </si>
  <si>
    <t xml:space="preserve">	e:\GoogleDrive\articles\Mathematica_V5_Book.pdf				</t>
  </si>
  <si>
    <t xml:space="preserve">84e3e3cd7f51d488e2f53e3031c00b3f	</t>
  </si>
  <si>
    <t xml:space="preserve">	e:\GoogleDrive\articles\latex files\Inflation spot.doc				</t>
  </si>
  <si>
    <t xml:space="preserve">84f6d1af848aa828d83fdcc279c553f3	</t>
  </si>
  <si>
    <t xml:space="preserve">	e:\GoogleDrive\articles\wystupp book\mm\carmona.pdf				</t>
  </si>
  <si>
    <t xml:space="preserve">84fcceab132e7628db5d1e27d7ef2750	</t>
  </si>
  <si>
    <t xml:space="preserve">	e:\GoogleDrive\articles\kohn - sde\section9.ps				</t>
  </si>
  <si>
    <t xml:space="preserve">85049c2c71a561f8187850b268ec4bdf	</t>
  </si>
  <si>
    <t xml:space="preserve">	e:\GoogleDrive\articles\maths\lemmermayer\hwf05.pdf				</t>
  </si>
  <si>
    <t xml:space="preserve">851374a50c4807ea1cf82bc2d9111787	</t>
  </si>
  <si>
    <t xml:space="preserve">	e:\GoogleDrive\articles\wystupp book\chap-7.pdf				</t>
  </si>
  <si>
    <t xml:space="preserve">851b2a3984f3e9e63cb4405a2975e230	</t>
  </si>
  <si>
    <t xml:space="preserve">	e:\GoogleDrive\articles\wilmott\0401_halluin.pdf				</t>
  </si>
  <si>
    <t xml:space="preserve">852004265099bff0290713df31f83d10	</t>
  </si>
  <si>
    <t xml:space="preserve">	e:\GoogleDrive\articles\(eBook) - Jackel\Plot Scripts\TRANS.TBL				</t>
  </si>
  <si>
    <t xml:space="preserve">8520340548ab813139ae2c156095bed9	</t>
  </si>
  <si>
    <t xml:space="preserve">	e:\GoogleDrive\articles\stopping times.pdf				</t>
  </si>
  <si>
    <t xml:space="preserve">85226a5a390c1225cfb2d5f8c69a8fc4	</t>
  </si>
  <si>
    <t xml:space="preserve">	e:\GoogleDrive\articles\(eBook) - Jackel\Readme.html				</t>
  </si>
  <si>
    <t xml:space="preserve">85551bd0c2bb4c65d5ee1f24cc867a86	</t>
  </si>
  <si>
    <t xml:space="preserve">	e:\GoogleDrive\articles\anagrammer\Thinking in C++ 2nd Edition.pdf				</t>
  </si>
  <si>
    <t xml:space="preserve">8560a6abd058710c67b8614e0426ca15	</t>
  </si>
  <si>
    <t xml:space="preserve">	e:\GoogleDrive\articles\chern - lecture notes on fluid dynamics.pdf				</t>
  </si>
  <si>
    <t xml:space="preserve">856572c9a638250c1301e34a14f52c89	</t>
  </si>
  <si>
    <t xml:space="preserve">	e:\GoogleDrive\articles\info - graphics\bay tuytelaars van gool - SURF Speeded Up Robust Features	.pd	f		</t>
  </si>
  <si>
    <t xml:space="preserve">858e1380e11c45198fe49c309c221894	</t>
  </si>
  <si>
    <t xml:space="preserve">	e:\GoogleDrive\articles\culture generale\SECTION4.pdf				</t>
  </si>
  <si>
    <t xml:space="preserve">85922de265f73b6ffdf88011e470bfd1	</t>
  </si>
  <si>
    <t xml:space="preserve">	e:\GoogleDrive\articles\wilmott\0807_nesbitt_tan.pdf				</t>
  </si>
  <si>
    <t xml:space="preserve">859365b509c65745e59436410a9eecf8	</t>
  </si>
  <si>
    <t xml:space="preserve">	e:\GoogleDrive\articles\(phd) hunor\phd\part2.log				</t>
  </si>
  <si>
    <t xml:space="preserve">85983effdf527b6a395454992fd94514	</t>
  </si>
  <si>
    <t xml:space="preserve">	e:\GoogleDrive\articles\kyriakos - cva-cross-section.pdf				</t>
  </si>
  <si>
    <t xml:space="preserve">85ad6d6505f1d013c99bc29f1ff31b57	</t>
  </si>
  <si>
    <t xml:space="preserve">	e:\GoogleDrive\articles\fouque tullie - Varance reduction for Monte Carlo simulation in a stochasti	c v	olat	il	ity environment (2001).pdf</t>
  </si>
  <si>
    <t xml:space="preserve">85cb8f5ae903417f103a0f174eb8c5a0	</t>
  </si>
  <si>
    <t xml:space="preserve">	e:\GoogleDrive\articles\data mining\ng - vldb_journal_feb2000.ps				</t>
  </si>
  <si>
    <t xml:space="preserve">85d1ec7a71e0c0fcbd251897417c636b	</t>
  </si>
  <si>
    <t xml:space="preserve">	e:\GoogleDrive\articles\fries joshi - Conditional Analytic MC pricing scheme of Auto-Callable Produ	cts	.pdf		</t>
  </si>
  <si>
    <t xml:space="preserve">85d9c9274b70c60b79a34bc3c4e26256	</t>
  </si>
  <si>
    <t xml:space="preserve">	e:\GoogleDrive\articles\info - data mining\masson Jacquenet - Mining Frequent Logical Sequences wit	h S	piri	t	L0G(ilp 2002).pdf</t>
  </si>
  <si>
    <t xml:space="preserve">85f432caac2c4c192c1c1e47d4d9e31d	</t>
  </si>
  <si>
    <t xml:space="preserve">	e:\GoogleDrive\articles\Hurlimann - CAPM derivative pricing and hedging.pdf				</t>
  </si>
  <si>
    <t xml:space="preserve">	e:\GoogleDrive\articles\Hurlimann et all - CAPM derivative pricing and hedging.pdf				</t>
  </si>
  <si>
    <t xml:space="preserve">862881ee879338b19c078e262d0fdaab	</t>
  </si>
  <si>
    <t xml:space="preserve">	e:\GoogleDrive\articles\nrigo mauri mercurio - Lognormal-mixture dynamics and calibration to volat	ili	ty s	mi	les and skews.pdf</t>
  </si>
  <si>
    <t xml:space="preserve">862ffc31d02befa1af13e8266f237270	</t>
  </si>
  <si>
    <t xml:space="preserve">	e:\GoogleDrive\articles\lecture notes (pittman probas)\lecture13.pdf				</t>
  </si>
  <si>
    <t xml:space="preserve">864af99b9deff197b36a28a97ff9846f	</t>
  </si>
  <si>
    <t xml:space="preserve">	e:\GoogleDrive\articles\wilmott\2002_09_06-07_Car_Reviews.pdf				</t>
  </si>
  <si>
    <t xml:space="preserve">	e:\GoogleDrive\articles\wilmott\2002_09_08to10_DrZ.pdf				</t>
  </si>
  <si>
    <t xml:space="preserve">86533aa1d5572c09976be20edd5489b6	</t>
  </si>
  <si>
    <t xml:space="preserve">	e:\GoogleDrive\articles\numericalR\c9-1.pdf				</t>
  </si>
  <si>
    <t xml:space="preserve">865ece5e2fdd89889832e3a0ec204f50	</t>
  </si>
  <si>
    <t xml:space="preserve">	e:\GoogleDrive\articles\Fusai Tagliani - Valuation of Asian Options using moments.pdf				</t>
  </si>
  <si>
    <t xml:space="preserve">867c0a9b0aadf2bfd5bcd6fc93a47720	</t>
  </si>
  <si>
    <t xml:space="preserve">	e:\GoogleDrive\articles\class12.pdf				</t>
  </si>
  <si>
    <t xml:space="preserve">868a0e083ce18e4a3cd0e45ed53a6c21	</t>
  </si>
  <si>
    <t xml:space="preserve">	e:\GoogleDrive\articles\imf publications\world economic outlook 2003 septembre\backuper.hcs				</t>
  </si>
  <si>
    <t xml:space="preserve">868ad98110b07a1da23bc5febad8dd7f	</t>
  </si>
  <si>
    <t xml:space="preserve">	e:\GoogleDrive\articles\hobby\Fit A Bath And Wash Basin.pdf				</t>
  </si>
  <si>
    <t xml:space="preserve">868bb32ad752335d79d038cbe4bafd27	</t>
  </si>
  <si>
    <t xml:space="preserve">	e:\GoogleDrive\articles\global risk 2007\day2\Hyer_ICBI_07.pdf				</t>
  </si>
  <si>
    <t xml:space="preserve">86a3e559faa890338d000eafe7602032	</t>
  </si>
  <si>
    <t xml:space="preserve">	e:\GoogleDrive\articles\Mark Joshi Beveridge Interpolation in DDLMM and greeks for Callable Range Ac	cru	als.	pd	f</t>
  </si>
  <si>
    <t xml:space="preserve">86a84d681bdc5f256cb8004b15c9e82a	</t>
  </si>
  <si>
    <t xml:space="preserve">	e:\GoogleDrive\articles\numericalR\c14-2.pdf				</t>
  </si>
  <si>
    <t xml:space="preserve">86ae75a610ba87d0388bc9b83922a5da	</t>
  </si>
  <si>
    <t xml:space="preserve">	e:\GoogleDrive\articles\maths\lemmermayer\hwf04.pdf				</t>
  </si>
  <si>
    <t xml:space="preserve">86ba5b5846eaf21126c6977a38cd0a43	</t>
  </si>
  <si>
    <t xml:space="preserve">	e:\GoogleDrive\articles\wilmott\0503_ayache.pdf				</t>
  </si>
  <si>
    <t xml:space="preserve">86bd509b3d4967420d196eb0d57ec416	</t>
  </si>
  <si>
    <t xml:space="preserve">	e:\GoogleDrive\articles\journal of computational finance\v10n3a2.pdf				</t>
  </si>
  <si>
    <t xml:space="preserve">86c01919ffc0e3658dde0f6eb08af735	</t>
  </si>
  <si>
    <t xml:space="preserve">	e:\GoogleDrive\articles\fisher - correlation between relatives.pdf				</t>
  </si>
  <si>
    <t xml:space="preserve">86cbbc9ffd91641fe6753b5f0a6740ee	</t>
  </si>
  <si>
    <t xml:space="preserve">	e:\GoogleDrive\articles\wilmott\0803_nail.pdf				</t>
  </si>
  <si>
    <t xml:space="preserve">86d0f7ce3b21fae05e706a38876f5acf	</t>
  </si>
  <si>
    <t xml:space="preserve">	e:\GoogleDrive\articles\data mining\ECMLPKDD2004\tutorials\T7_Part 2.pdf				</t>
  </si>
  <si>
    <t xml:space="preserve">86da84ea2c2103317a79f4f66fe33c88	</t>
  </si>
  <si>
    <t xml:space="preserve">	e:\GoogleDrive\articles\culture generale\economics\lecture\reading\backuper.hcs				</t>
  </si>
  <si>
    <t xml:space="preserve">86f51c66d88961d04b09fc2f22ef9e7f	</t>
  </si>
  <si>
    <t xml:space="preserve">	e:\GoogleDrive\articles\infinite products and elementary functions.pdf				</t>
  </si>
  <si>
    <t xml:space="preserve">86f5b987db852636c2a6f8334328c209	</t>
  </si>
  <si>
    <t xml:space="preserve">	e:\GoogleDrive\articles\lecture notes - david mount - Design and Analysis of Computer Algorithms.pdf				</t>
  </si>
  <si>
    <t xml:space="preserve">86fe6d46abe7b0337286e36a605c4baa	</t>
  </si>
  <si>
    <t xml:space="preserve">	e:\GoogleDrive\articles\info - algo\An Implementation of a Near-Linear Polygon Triangulation Algorit	hm	for	Ge	neral Polygons.pdf</t>
  </si>
  <si>
    <t xml:space="preserve">86ff23e01e954c844911cb1fb96266b1	</t>
  </si>
  <si>
    <t xml:space="preserve">	e:\GoogleDrive\articles\benninga bjork - On the use of numeraires in option pricing - prn.pdf				</t>
  </si>
  <si>
    <t xml:space="preserve">	e:\GoogleDrive\articles\benninga bjork - On the use of numeraires in option pricing.pdf				</t>
  </si>
  <si>
    <t xml:space="preserve">8709d4cf906fa9ab32aa36302618c01a	</t>
  </si>
  <si>
    <t xml:space="preserve">	e:\GoogleDrive\articles\kleinert - path integrals 13.pdf				</t>
  </si>
  <si>
    <t xml:space="preserve">8716a1e0f75a3a66c3f362b01271d658	</t>
  </si>
  <si>
    <t xml:space="preserve">	e:\GoogleDrive\articles\maths\semidefinite programming\Chapter3.pdf				</t>
  </si>
  <si>
    <t xml:space="preserve">871d8f8b4143703922740d557bc7caf9	</t>
  </si>
  <si>
    <t xml:space="preserve">	e:\GoogleDrive\articles\(phd) hunor\phd\hackle\balancing08.rtf				</t>
  </si>
  <si>
    <t xml:space="preserve">8725d90df84bf02613f116e83d9d7a3f	</t>
  </si>
  <si>
    <t xml:space="preserve">	e:\GoogleDrive\articles\anagrammer\Assembler Tutorial.pdf				</t>
  </si>
  <si>
    <t xml:space="preserve">873e1759a26ea92b22d3346a2848aede	</t>
  </si>
  <si>
    <t xml:space="preserve">	e:\GoogleDrive\articles\numericalR\c7-3.pdf				</t>
  </si>
  <si>
    <t xml:space="preserve">8752bea7cbff97d69d3e343bd9c42f89	</t>
  </si>
  <si>
    <t xml:space="preserve">	e:\GoogleDrive\articles\wilmott\0511_carreviews.pdf				</t>
  </si>
  <si>
    <t xml:space="preserve">8756345e83c6c1f90fb942f9015cffc8	</t>
  </si>
  <si>
    <t xml:space="preserve">	e:\GoogleDrive\articles\wilmott\0805_darasz.pdf				</t>
  </si>
  <si>
    <t xml:space="preserve">8768dcab73c4788015561a3c9cbe0a52	</t>
  </si>
  <si>
    <t xml:space="preserve">	e:\GoogleDrive\articles\Coleman Li Verma - Reconstructing the unknown volatility function.ps				</t>
  </si>
  <si>
    <t xml:space="preserve">8769afc7d4965bb5d3d460e9884abf06	</t>
  </si>
  <si>
    <t xml:space="preserve">	e:\GoogleDrive\articles\(phd) hunor\phd\hackle\ICDM'03\final_SIAM.tex				</t>
  </si>
  <si>
    <t xml:space="preserve">8777ab9430f1404cce48a422e6b795a3	</t>
  </si>
  <si>
    <t xml:space="preserve">	e:\GoogleDrive\articles\seo Magnenat-Thalmann - An example-based approach to human body manipulatio	n.p	df		</t>
  </si>
  <si>
    <t xml:space="preserve">877ee8ae5906067f12cd529a5825b6b9	</t>
  </si>
  <si>
    <t xml:space="preserve">	e:\GoogleDrive\articles\(eBook) - Jackel\Plot Scripts\backuper.hcs				</t>
  </si>
  <si>
    <t xml:space="preserve">87847380384f801a5887fc938ddc4860	</t>
  </si>
  <si>
    <t xml:space="preserve">	e:\GoogleDrive\articles\info - graphics\lecture4 - viewing.pdf				</t>
  </si>
  <si>
    <t xml:space="preserve">87958319313ef66dcecd57c974bae645	</t>
  </si>
  <si>
    <t xml:space="preserve">	e:\GoogleDrive\articles\(phd) hunor\phd\thesis01.tex				</t>
  </si>
  <si>
    <t xml:space="preserve">87972abfa2aa10ad3798ee90c5a41f63	</t>
  </si>
  <si>
    <t xml:space="preserve">	e:\GoogleDrive\articles\lecture notes (pittman probas)\b_bridge.pdf				</t>
  </si>
  <si>
    <t xml:space="preserve">	e:\GoogleDrive\articles\lecture notes (pittman probas)\lecture22 - b_bridge.pdf				</t>
  </si>
  <si>
    <t xml:space="preserve">87a9d37f2f54e2fa382ce5d4f39c7cf3	</t>
  </si>
  <si>
    <t xml:space="preserve">	e:\GoogleDrive\articles\wilmott\0511_codelab.pdf				</t>
  </si>
  <si>
    <t xml:space="preserve">87ae51798c71b54d98a9b8723233f8ba	</t>
  </si>
  <si>
    <t xml:space="preserve">	e:\GoogleDrive\articles\lowrance wagner - An_Extension_of_the_String_to_String_Correction_Problem.p	pt			</t>
  </si>
  <si>
    <t xml:space="preserve">87b6a13a93fe266e5017b435fc545af9	</t>
  </si>
  <si>
    <t xml:space="preserve">	e:\GoogleDrive\articles\ayache - next generation models for convertible onds with credit risk.pdf				</t>
  </si>
  <si>
    <t xml:space="preserve">	e:\GoogleDrive\articles\wilmott - 030813_ayache.pdf				</t>
  </si>
  <si>
    <t xml:space="preserve">	e:\GoogleDrive\articles\wilmott\0211_ayache.pdf				</t>
  </si>
  <si>
    <t xml:space="preserve">87c8279fc41e536c49dbfd51e1462b4a	</t>
  </si>
  <si>
    <t xml:space="preserve">	e:\GoogleDrive\articles\wilmott\0707_kucherenko.pdf				</t>
  </si>
  <si>
    <t xml:space="preserve">87eb2a7aad87ef9baae114558b7495ef	</t>
  </si>
  <si>
    <t xml:space="preserve">	e:\GoogleDrive\articles\engle - garch 2001.pdf				</t>
  </si>
  <si>
    <t xml:space="preserve">8801e21b34c8b20daf8a34ff8687bb51	</t>
  </si>
  <si>
    <t xml:space="preserve">	e:\GoogleDrive\articles\culture generale\economics\lecture\14 - create.pdf				</t>
  </si>
  <si>
    <t xml:space="preserve">881616707a025d4dac9c35d5d14bd97d	</t>
  </si>
  <si>
    <t xml:space="preserve">	e:\GoogleDrive\articles\WBS IR modelling Course\Credit Derivatives and Hybrids\CDWorkshop_5_68.pdf				</t>
  </si>
  <si>
    <t xml:space="preserve">8819960056fd6911728afeb443bbfe93	</t>
  </si>
  <si>
    <t xml:space="preserve">	e:\GoogleDrive\articles\numericalR\c6-11.pdf				</t>
  </si>
  <si>
    <t xml:space="preserve">881f9e0bbe0881a47e352d00e6ce2d01	</t>
  </si>
  <si>
    <t xml:space="preserve">	e:\GoogleDrive\articles\maths\CS683 - Advanced algorithms\lec02.ps				</t>
  </si>
  <si>
    <t xml:space="preserve">88208c34d978df46fd3d19bcefd52e95	</t>
  </si>
  <si>
    <t xml:space="preserve">	e:\GoogleDrive\articles\wilmott\0409_lyceum.pdf				</t>
  </si>
  <si>
    <t xml:space="preserve">882f5ed17a384621e649534692e105c9	</t>
  </si>
  <si>
    <t xml:space="preserve">	e:\GoogleDrive\articles\culture generale\economics\econ320\5 - ramsey.pdf				</t>
  </si>
  <si>
    <t xml:space="preserve">88411705e5ca8ffab2d12f88e674c97b	</t>
  </si>
  <si>
    <t xml:space="preserve">	e:\GoogleDrive\articles\gatarek - CMS convexity - prn.pdf				</t>
  </si>
  <si>
    <t xml:space="preserve">8844e296c15532340ca09b989381aee2	</t>
  </si>
  <si>
    <t xml:space="preserve">	e:\GoogleDrive\articles\wilmott\0805_nail.pdf				</t>
  </si>
  <si>
    <t xml:space="preserve">885c2d26a3ec7d1aed03cc8e3973653b	</t>
  </si>
  <si>
    <t xml:space="preserve">	e:\GoogleDrive\articles\wilmott\0801_kienitz.pdf				</t>
  </si>
  <si>
    <t xml:space="preserve">88679d41f34f03bb767f49c52eb37f90	</t>
  </si>
  <si>
    <t xml:space="preserve">	e:\GoogleDrive\articles\mn480 - computational techniques\contents.pdf				</t>
  </si>
  <si>
    <t xml:space="preserve">887c7b2d26287811de5e423f96a13d48	</t>
  </si>
  <si>
    <t xml:space="preserve">	e:\GoogleDrive\articles\info - graphics\elgindi everett toussaint - slicing an ear in linear time.	ps			</t>
  </si>
  <si>
    <t xml:space="preserve">887fdaea88193c074b0f8e41b3df4a54	</t>
  </si>
  <si>
    <t xml:space="preserve">	e:\GoogleDrive\articles\(eBook) - Trfethen\2 - all.pdf				</t>
  </si>
  <si>
    <t xml:space="preserve">88803cd973afa2fd9f463c67eb25cbf6	</t>
  </si>
  <si>
    <t xml:space="preserve">	e:\GoogleDrive\articles\(phd) hunor\phd\hackle\ICDM'03\Styles\flies.ps				</t>
  </si>
  <si>
    <t xml:space="preserve">8893631a5d7b8e4cf7663cc37c0eefa4	</t>
  </si>
  <si>
    <t xml:space="preserve">	e:\GoogleDrive\articles\wystupp book\chap-1.pdf				</t>
  </si>
  <si>
    <t xml:space="preserve">88a0ee0809c8dda6910de3cbd76e3c5a	</t>
  </si>
  <si>
    <t xml:space="preserve">	e:\GoogleDrive\articles\imf publications\world economic outlook 2003 april\front.pdf				</t>
  </si>
  <si>
    <t xml:space="preserve">88bac4a506ddcb7f1b8413da2b624101	</t>
  </si>
  <si>
    <t xml:space="preserve">	e:\GoogleDrive\articles\google\Your 119 Billion Google Searches Now a Central Bank Tool.docx				</t>
  </si>
  <si>
    <t xml:space="preserve">88d89c90ea5c7c851520a67a3345563b	</t>
  </si>
  <si>
    <t xml:space="preserve">	e:\GoogleDrive\articles\meyer - monte carlo book.pdf				</t>
  </si>
  <si>
    <t xml:space="preserve">88d96486b620600fa7ae9fc971f43805	</t>
  </si>
  <si>
    <t xml:space="preserve">	e:\GoogleDrive\articles\glasserman - fast greeks by simulation in Forward Libor Models.pdf				</t>
  </si>
  <si>
    <t xml:space="preserve">88e4b9472ec6a8e1450923489c8e9eb7	</t>
  </si>
  <si>
    <t xml:space="preserve">	e:\GoogleDrive\articles\mercurio - Inflatio.pdf				</t>
  </si>
  <si>
    <t xml:space="preserve">891b3d8a50beae021bff594a79ce57af	</t>
  </si>
  <si>
    <t xml:space="preserve">	e:\GoogleDrive\articles\london school of economics &amp; political science (dpt of mathemati\chapter1 -	Pro	babl	it	y Spaces.pdf</t>
  </si>
  <si>
    <t xml:space="preserve">8929edf6f8e8e6cd537f2d5cd0646125	</t>
  </si>
  <si>
    <t xml:space="preserve">	e:\GoogleDrive\articles\mcpain - correctness of a compiler for arithmetic expressions.pdf				</t>
  </si>
  <si>
    <t xml:space="preserve">893cb98603558785dbdb4b082705c13e	</t>
  </si>
  <si>
    <t xml:space="preserve">	e:\GoogleDrive\articles\(Lecture Notes) Younis - Fluid Mechanics 2009.pdf				</t>
  </si>
  <si>
    <t xml:space="preserve">895c6f8b06a7a5317c26540a9451f819	</t>
  </si>
  <si>
    <t xml:space="preserve">	e:\GoogleDrive\articles\data mining\ECMLPKDD2004\covers\T6.pdf				</t>
  </si>
  <si>
    <t xml:space="preserve">89712005052689fa32b40f44d1ce2753	</t>
  </si>
  <si>
    <t xml:space="preserve">	e:\GoogleDrive\articles\SwishCMS_06Talk.ppt				</t>
  </si>
  <si>
    <t xml:space="preserve">897f074c2cdcac8d3a8d41a3075f758b	</t>
  </si>
  <si>
    <t xml:space="preserve">	e:\GoogleDrive\articles\info - graphics\Querying Triangle Meshes.docx				</t>
  </si>
  <si>
    <t xml:space="preserve">8988271ffa829978d78079ffb0c0533a	</t>
  </si>
  <si>
    <t xml:space="preserve">	e:\GoogleDrive\articles\Aspremont - Interest rate model calibration using semidefini.pdf				</t>
  </si>
  <si>
    <t xml:space="preserve">	e:\GoogleDrive\articles\Aspremont - Interest rate model calibration using semidefinite programming.p	df			</t>
  </si>
  <si>
    <t xml:space="preserve">898fd83c0c4ea8eb5452c4ec781b6c6c	</t>
  </si>
  <si>
    <t xml:space="preserve">	e:\GoogleDrive\articles\Jeanblanc - credit risk.pdf				</t>
  </si>
  <si>
    <t xml:space="preserve">89af138fcbe131d835390dd242ef7886	</t>
  </si>
  <si>
    <t xml:space="preserve">	e:\GoogleDrive\articles\gatheral_lecture3_2003.pdf				</t>
  </si>
  <si>
    <t xml:space="preserve">89b4047d5661a1a8401e5452f646a7ef	</t>
  </si>
  <si>
    <t xml:space="preserve">	e:\GoogleDrive\articles\brownian bridge\rBB-at-0.pdf				</t>
  </si>
  <si>
    <t xml:space="preserve">89eb26ca4cec74d56e8b067789ca4820	</t>
  </si>
  <si>
    <t xml:space="preserve">	e:\GoogleDrive\articles\HF trading\potters bouchaud - trend followers lose more often then they win	.pd	f		</t>
  </si>
  <si>
    <t xml:space="preserve">8a3c5f4cdad3faa528416c43e60b79ad	</t>
  </si>
  <si>
    <t xml:space="preserve">	e:\GoogleDrive\articles\wilmott\0311_bookreviews.pdf				</t>
  </si>
  <si>
    <t xml:space="preserve">8a469fa55a81de674f833fb49e9dff8e	</t>
  </si>
  <si>
    <t xml:space="preserve">	e:\GoogleDrive\articles\WBS IR modelling Course\Credit Derivatives and Hybrids\HY2.1Jebjerg_91.ppt				</t>
  </si>
  <si>
    <t xml:space="preserve">8a518bb05c920e27b256f46d2bcfcaea	</t>
  </si>
  <si>
    <t xml:space="preserve">	e:\GoogleDrive\articles\Linear systems\chap8.pdf				</t>
  </si>
  <si>
    <t xml:space="preserve">8a78469ed8998966b3a71746941efbd9	</t>
  </si>
  <si>
    <t xml:space="preserve">	e:\GoogleDrive\articles\lecture - probability (grinstead and snell)\Chapter2.pdf				</t>
  </si>
  <si>
    <t xml:space="preserve">8a7bbe6a27dd8a2cd7b28d74943bcdf9	</t>
  </si>
  <si>
    <t xml:space="preserve">	e:\GoogleDrive\articles\info - graphics\seidel - A simple and fast incremental randomized algorithm	for	com	pu	ting trapezoidal decompositions and for triangulating polygons .pdf</t>
  </si>
  <si>
    <t xml:space="preserve">8a7bcdae8a7bf8b54316531db1bf039a	</t>
  </si>
  <si>
    <t xml:space="preserve">	e:\GoogleDrive\articles\wilmott\0807_ziemba.pdf				</t>
  </si>
  <si>
    <t xml:space="preserve">8a8272e5400b59b76f84ac4279ac4824	</t>
  </si>
  <si>
    <t xml:space="preserve">	e:\GoogleDrive\articles\(phd) hunor\phd\kn08.log				</t>
  </si>
  <si>
    <t xml:space="preserve">8aa8fd34ecbf0a889112cace8aa0a92b	</t>
  </si>
  <si>
    <t xml:space="preserve">	e:\GoogleDrive\articles\zvan forsyth vetzal - PDE Methods For Pricing Barrier Options.pdf				</t>
  </si>
  <si>
    <t xml:space="preserve">8ab4b6a21e2d9e9049a13aecc8da0a5b	</t>
  </si>
  <si>
    <t xml:space="preserve">	e:\GoogleDrive\articles\(ebook) - english grammar drills.pdf				</t>
  </si>
  <si>
    <t xml:space="preserve">8acf1d618d87aadd1b92b470379b6cb3	</t>
  </si>
  <si>
    <t xml:space="preserve">	e:\GoogleDrive\articles\(eBook) - ingles analysis of algorithms\capitulo11-ingles.pdf				</t>
  </si>
  <si>
    <t xml:space="preserve">8ad453914d52abd091aa567e438105f1	</t>
  </si>
  <si>
    <t xml:space="preserve">	e:\GoogleDrive\articles\(ebook) - a non random walk down Wall street\chapt5.pdf				</t>
  </si>
  <si>
    <t xml:space="preserve">8ad6e7c4ee6b779f4c6f736d9c5eed56	</t>
  </si>
  <si>
    <t xml:space="preserve">	e:\GoogleDrive\articles\Marco_Bonvini__Gamma_function.url.txt				</t>
  </si>
  <si>
    <t xml:space="preserve">8b06c155a6b48e2fd4ab5db904839586	</t>
  </si>
  <si>
    <t xml:space="preserve">	e:\GoogleDrive\articles\wilmott\0603_henrotte.pdf				</t>
  </si>
  <si>
    <t xml:space="preserve">8b12dc9f46ff692a299487fb4b63f398	</t>
  </si>
  <si>
    <t xml:space="preserve">	e:\GoogleDrive\articles\info - graphics\cgal theillaud - Computational Geometry From theory to prac	tic	e F	ro	m linear objects to curved objects.pdf</t>
  </si>
  <si>
    <t xml:space="preserve">8b134b021f8c5b3f38416cf281d5c608	</t>
  </si>
  <si>
    <t xml:space="preserve">	e:\GoogleDrive\articles\journal of computational finance\v12n1a3.pdf				</t>
  </si>
  <si>
    <t xml:space="preserve">8b40c05a891de2ec3b4a5107357ccf8a	</t>
  </si>
  <si>
    <t xml:space="preserve">	e:\GoogleDrive\articles\global risk 2007\day2\Perraudin.pdf				</t>
  </si>
  <si>
    <t xml:space="preserve">8b52b49fd49fdba476988b14d134e203	</t>
  </si>
  <si>
    <t xml:space="preserve">	e:\GoogleDrive\articles\data mining\ECMLPKDD2004\covers\W8.pdf				</t>
  </si>
  <si>
    <t xml:space="preserve">8b6b7421847023002626b4c1f7580dd4	</t>
  </si>
  <si>
    <t xml:space="preserve">	e:\GoogleDrive\articles\Kercheval - on rebonato and jaeckel's paramtrisation method for finding near	est	cor	re	lation matrices.pdf</t>
  </si>
  <si>
    <t xml:space="preserve">8b783c3201bed04c1c558737fe7b7f2b	</t>
  </si>
  <si>
    <t xml:space="preserve">	e:\GoogleDrive\articles\data mining\ECMLPKDD2004\tutorials\The Distributed Data Mining Bibliography_	fil	es\b	ac	kuper.hcs</t>
  </si>
  <si>
    <t xml:space="preserve">8b84f29ff4a97eaea46d1b7aaca936d3	</t>
  </si>
  <si>
    <t xml:space="preserve">	e:\GoogleDrive\articles\statistical methods of time series modelling garch copula.pdf				</t>
  </si>
  <si>
    <t xml:space="preserve">8b9488bd8420ebba1617c738d5f52ef2	</t>
  </si>
  <si>
    <t xml:space="preserve">	e:\GoogleDrive\articles\(ebook) - Handbook of applied cryptography\index.pdf				</t>
  </si>
  <si>
    <t xml:space="preserve">8ba12beadf4d6b550245cf6d50461e66	</t>
  </si>
  <si>
    <t xml:space="preserve">	e:\GoogleDrive\articles\Montani - discretised marching cubes (1994).pdf				</t>
  </si>
  <si>
    <t xml:space="preserve">8be481240069a69e1157d35228975e54	</t>
  </si>
  <si>
    <t xml:space="preserve">	e:\GoogleDrive\articles\numericalR\c9-0 Root finding and nonlinear set of equations.pdf				</t>
  </si>
  <si>
    <t xml:space="preserve">8bf7f534084d67c84979b9ad3d642310	</t>
  </si>
  <si>
    <t xml:space="preserve">	e:\GoogleDrive\articles\lohner - surface gridding fron discrete data.ps				</t>
  </si>
  <si>
    <t xml:space="preserve">8bf902400d145dbe3ffd8c656dc61c6e	</t>
  </si>
  <si>
    <t xml:space="preserve">	e:\GoogleDrive\articles\Explicit strong solutions of multidimensioal SDEs.pdf				</t>
  </si>
  <si>
    <t xml:space="preserve">8c0bdf5ad772a6c8555e6b95e74215df	</t>
  </si>
  <si>
    <t xml:space="preserve">	e:\GoogleDrive\articles\wilmott\0401_ziemba.pdf				</t>
  </si>
  <si>
    <t xml:space="preserve">8c1452c469093d51546451e2ae16a7b3	</t>
  </si>
  <si>
    <t xml:space="preserve">	e:\GoogleDrive\articles\simple mean weighted mean or geometric mean (2010).pdf				</t>
  </si>
  <si>
    <t xml:space="preserve">8c251571c5515d135fd03d2a84d77725	</t>
  </si>
  <si>
    <t xml:space="preserve">	e:\GoogleDrive\articles\wilmott\0703_martin.pdf				</t>
  </si>
  <si>
    <t xml:space="preserve">8c2fa54e35bdd078f1fcf1ebae58e6bf	</t>
  </si>
  <si>
    <t xml:space="preserve">	e:\GoogleDrive\articles\(eBook) Munk - Fixed Income Analysis Securities Pricing and Risk Manageme	nt.	pdf		</t>
  </si>
  <si>
    <t xml:space="preserve">	e:\GoogleDrive\articles\a classer\munk - USterm03.pdf				</t>
  </si>
  <si>
    <t xml:space="preserve">8c3c7a8149d17f34f13db3e90a78bc69	</t>
  </si>
  <si>
    <t xml:space="preserve">	e:\GoogleDrive\articles\info - graphics\coelho - Visualization and simulation of 3D artificial neura	l s	truc	tu	res generated by L-system.pdf</t>
  </si>
  <si>
    <t xml:space="preserve">8c69337bcfc234aa3417a89b887f6a65	</t>
  </si>
  <si>
    <t xml:space="preserve">	e:\GoogleDrive\articles\global risk 2007\day2\11.30 Kreinin FINAL.zip				</t>
  </si>
  <si>
    <t xml:space="preserve">8c69390d2bb37831127b87b44a7059bd	</t>
  </si>
  <si>
    <t xml:space="preserve">	e:\GoogleDrive\articles\wilmott\0809_coverstory.pdf				</t>
  </si>
  <si>
    <t xml:space="preserve">8ca1aff3a57d0792ffe41e80943b9e3d	</t>
  </si>
  <si>
    <t xml:space="preserve">	e:\GoogleDrive\articles\wilmott\0211_leippold.pdf				</t>
  </si>
  <si>
    <t xml:space="preserve">8ccaafaead707194a904cacbe747d30d	</t>
  </si>
  <si>
    <t xml:space="preserve">	e:\GoogleDrive\articles\boenkost schmidt - cross currency swap valuation(2005).pdf				</t>
  </si>
  <si>
    <t xml:space="preserve">	e:\GoogleDrive\articles\CPQF_Arbeits2.pdf				</t>
  </si>
  <si>
    <t xml:space="preserve">8cd74ff7dbaa0551ec64bc263950bc73	</t>
  </si>
  <si>
    <t xml:space="preserve">	e:\GoogleDrive\articles\(eBook) Zakon - Basic concepts of Mathematics.pdf				</t>
  </si>
  <si>
    <t xml:space="preserve">	e:\GoogleDrive\articles\(eBook) zakon - Mathematical Analysis I+II.pdf				</t>
  </si>
  <si>
    <t xml:space="preserve">8cdd17caebc22b0f00874bf0878234d4	</t>
  </si>
  <si>
    <t xml:space="preserve">	e:\GoogleDrive\articles\wilmott\0311_osband.pdf				</t>
  </si>
  <si>
    <t xml:space="preserve">8cfffc7917d7a64341cb962cedaf27f8	</t>
  </si>
  <si>
    <t xml:space="preserve">	e:\GoogleDrive\articles\(phd) hunor\phd\figures\original\adaptation2.tif				</t>
  </si>
  <si>
    <t xml:space="preserve">8d0b439d18d7d1c7d07d312cd9f836e8	</t>
  </si>
  <si>
    <t xml:space="preserve">	e:\GoogleDrive\articles\(ebook) Go - gzp3.pdf				</t>
  </si>
  <si>
    <t xml:space="preserve">8d0ef8151d64b3476badcae2f3dee802	</t>
  </si>
  <si>
    <t xml:space="preserve">	e:\GoogleDrive\articles\Interest Rate Hybrid 2.pdf				</t>
  </si>
  <si>
    <t xml:space="preserve">8d17043fc826ac8a14de1e00ba5fd54a	</t>
  </si>
  <si>
    <t xml:space="preserve">	e:\GoogleDrive\articles\(lecture notes) Paul Dawkins - Calculus I.pdf				</t>
  </si>
  <si>
    <t xml:space="preserve">8d21a7d6f83c2712f510c72e78605f99	</t>
  </si>
  <si>
    <t xml:space="preserve">	e:\GoogleDrive\articles\info - graphics\Schirra - How Reliable are Practical Point-in-Polygon Strate	gie	s.pd	f	</t>
  </si>
  <si>
    <t xml:space="preserve">8d29913f2e1eed2b70d16a95a9ff876e	</t>
  </si>
  <si>
    <t xml:space="preserve">	e:\GoogleDrive\articles\Collateral Optimization Liquidity &amp; Funding Value Adjustments Best-Practice	s	LVA	F	VA.pdf</t>
  </si>
  <si>
    <t xml:space="preserve">8d4db085137a67f7b02e5507c194f275	</t>
  </si>
  <si>
    <t xml:space="preserve">	e:\GoogleDrive\articles\wilmott\0307_coverstory.pdf				</t>
  </si>
  <si>
    <t xml:space="preserve">8d4eb30d054773406d71fd16a2749b42	</t>
  </si>
  <si>
    <t xml:space="preserve">	e:\GoogleDrive\articles\choy dun schlogl - Correlating market models.pdf				</t>
  </si>
  <si>
    <t xml:space="preserve">8d6a187b8818f260ed12c6fd6c6a04e7	</t>
  </si>
  <si>
    <t xml:space="preserve">	e:\GoogleDrive\articles\maths - psedo inverse matrix.pdf				</t>
  </si>
  <si>
    <t xml:space="preserve">	e:\GoogleDrive\articles\Linear systems\chap3.pdf				</t>
  </si>
  <si>
    <t xml:space="preserve">8d7dda62ff39e4836e76a9c498911a69	</t>
  </si>
  <si>
    <t xml:space="preserve">	e:\GoogleDrive\articles\culture generale\credit scoring.pdf				</t>
  </si>
  <si>
    <t xml:space="preserve">8d8536b509e2570246dea8952386d046	</t>
  </si>
  <si>
    <t xml:space="preserve">	e:\GoogleDrive\articles\Br”nnimann - Designing and implementing a general purpose halfedge data stru	ctu	re.p	df	</t>
  </si>
  <si>
    <t xml:space="preserve">	e:\GoogleDrive\articles\info - graphics\Br”nnimann - Designing and implementing a general purpose ha	lfe	dge	da	ta s.pdf</t>
  </si>
  <si>
    <t xml:space="preserve">8daead2a40b4185ab4d3c2db4540ad03	</t>
  </si>
  <si>
    <t xml:space="preserve">	e:\GoogleDrive\articles\brigo - chapter6suite.pdf				</t>
  </si>
  <si>
    <t xml:space="preserve">8dd035aca176982ede07c721221d257c	</t>
  </si>
  <si>
    <t xml:space="preserve">	e:\GoogleDrive\articles\numericalR\c5-12.pdf				</t>
  </si>
  <si>
    <t xml:space="preserve">8ded81ebfd14b0a2473d3d02a139e3ae	</t>
  </si>
  <si>
    <t xml:space="preserve">	e:\GoogleDrive\articles\Grant Vora - the Hull and White model of short rate an alternative analyti	cal	rep	re	sentation(2002).pdf</t>
  </si>
  <si>
    <t xml:space="preserve">8e04261b14f0f4452ba8e646fb8969ee	</t>
  </si>
  <si>
    <t xml:space="preserve">	e:\GoogleDrive\articles\piterbarg - cooking with collateral.pdf				</t>
  </si>
  <si>
    <t xml:space="preserve">8e07c4d05eaba4c057166f945b84605c	</t>
  </si>
  <si>
    <t xml:space="preserve">	e:\GoogleDrive\articles\wilmott\0801_staunton.pdf				</t>
  </si>
  <si>
    <t xml:space="preserve">8e2e5fe347d24246a81357bd29abeb10	</t>
  </si>
  <si>
    <t xml:space="preserve">	e:\GoogleDrive\articles\(eBook) syme granicz cysterninon - Expert F# 3.pdf				</t>
  </si>
  <si>
    <t xml:space="preserve">8e314c326a19bb4b960454221509570e	</t>
  </si>
  <si>
    <t xml:space="preserve">	e:\GoogleDrive\articles\(phd) hunor\phd\figures\backuper.hcs				</t>
  </si>
  <si>
    <t xml:space="preserve">8e45c5bf98dd9c05e0f4c94550be3e88	</t>
  </si>
  <si>
    <t xml:space="preserve">	e:\GoogleDrive\articles\wilmott\0607_news.pdf				</t>
  </si>
  <si>
    <t xml:space="preserve">8e77e6d17868bacdef1e4b32144b3f78	</t>
  </si>
  <si>
    <t xml:space="preserve">	e:\GoogleDrive\articles\maths\Number theory.pdf				</t>
  </si>
  <si>
    <t xml:space="preserve">	e:\GoogleDrive\articles\maths\weston - algebraic number theory.pdf				</t>
  </si>
  <si>
    <t xml:space="preserve">8e812f82e3817f4409d593814feb43d3	</t>
  </si>
  <si>
    <t xml:space="preserve">	e:\GoogleDrive\articles\Nearest Neighbor Queries.pdf				</t>
  </si>
  <si>
    <t xml:space="preserve">	e:\GoogleDrive\articles\info - algo\Roussopoulos Kelley Vincent - Nearest Neighbor Queries.pdf				</t>
  </si>
  <si>
    <t xml:space="preserve">8ea908a9b6ee48e6f5d307e3b5ede3d5	</t>
  </si>
  <si>
    <t xml:space="preserve">	e:\GoogleDrive\articles\wilmott\0409_brown.pdf				</t>
  </si>
  <si>
    <t xml:space="preserve">8eb0ececa1c80658e2d98dcb9598c2c0	</t>
  </si>
  <si>
    <t xml:space="preserve">	e:\GoogleDrive\articles\WBS IR modelling Course\Credit Derivatives and Hybrids\CD2.3Bennani_83.pdf				</t>
  </si>
  <si>
    <t xml:space="preserve">8eb4338252e59b866f1a042ede4503f2	</t>
  </si>
  <si>
    <t xml:space="preserve">	e:\GoogleDrive\articles\wilmott\0307_university.pdf				</t>
  </si>
  <si>
    <t xml:space="preserve">8ebf28ecb74d63400d6808d35e4c57ea	</t>
  </si>
  <si>
    <t xml:space="preserve">	e:\GoogleDrive\articles\zhao gao lin - A robust hole filling algorithm for triangular mesh.pdf				</t>
  </si>
  <si>
    <t xml:space="preserve">	e:\GoogleDrive\articles\info - graphics\zhao gao lin - A robust hole filling algorithm for triangu	lar	mes	h.	pdf</t>
  </si>
  <si>
    <t xml:space="preserve">8ee0007a7cdcc71df17e5c30f86610d5	</t>
  </si>
  <si>
    <t xml:space="preserve">	e:\GoogleDrive\articles\data mining\ECMLPKDD2004\images\sponsors\backuper.hcs				</t>
  </si>
  <si>
    <t xml:space="preserve">8ee1f0ad11242dc5913c522b3f9cefc5	</t>
  </si>
  <si>
    <t xml:space="preserve">	e:\GoogleDrive\articles\marcusevans05 - unit5_1.pdf				</t>
  </si>
  <si>
    <t xml:space="preserve">8f14ff2a643f7060a227166daad3e738	</t>
  </si>
  <si>
    <t xml:space="preserve">	e:\GoogleDrive\articles\culture generale\economics\macroeconomics\LN_ch13.pdf				</t>
  </si>
  <si>
    <t xml:space="preserve">8f2472a85cf7b58b92795f0fad35baa6	</t>
  </si>
  <si>
    <t xml:space="preserve">	e:\GoogleDrive\articles\maths\cours - Jacod - Probabilites.pdf				</t>
  </si>
  <si>
    <t xml:space="preserve">8f3a2ca134125ed31a5787cef9700f9f	</t>
  </si>
  <si>
    <t xml:space="preserve">	e:\GoogleDrive\articles\wilmott\0303_thorp.pdf				</t>
  </si>
  <si>
    <t xml:space="preserve">8f4ad8b89e973a1e8eea2eb00e893424	</t>
  </si>
  <si>
    <t xml:space="preserve">	e:\GoogleDrive\articles\maths\Logic.pdf				</t>
  </si>
  <si>
    <t xml:space="preserve">8f7e20cf30a037e327ca8e2ef3bc4f64	</t>
  </si>
  <si>
    <t xml:space="preserve">	e:\GoogleDrive\articles\Large-Scale Scientific Computing.pdf				</t>
  </si>
  <si>
    <t xml:space="preserve">8f9d1874626b4207581849f7e06761d2	</t>
  </si>
  <si>
    <t xml:space="preserve">	e:\GoogleDrive\articles\info - algo\sheehy - Computational Geometry - Nearest Neighbor Search.pdf				</t>
  </si>
  <si>
    <t xml:space="preserve">8f9f2cc6bdf3ad596ff14b8cac9b996e	</t>
  </si>
  <si>
    <t xml:space="preserve">	e:\GoogleDrive\articles\The Black-Scholes Formula (2008).pdf				</t>
  </si>
  <si>
    <t xml:space="preserve">8fb15a1d21d3e46b5ad567734b0be1f7	</t>
  </si>
  <si>
    <t xml:space="preserve">	e:\GoogleDrive\articles\kleinert - path integrals 10.pdf				</t>
  </si>
  <si>
    <t xml:space="preserve">8fb6f254b12b1c2327630f3ccf2a688b	</t>
  </si>
  <si>
    <t xml:space="preserve">	e:\GoogleDrive\articles\nath Chowdhury Kaykobad - MinMax Fine Heaps.pdf				</t>
  </si>
  <si>
    <t xml:space="preserve">	e:\GoogleDrive\articles\info - algo\Nath Chowdhury Kaykobad - Min-Max Fine Heaps.pdf				</t>
  </si>
  <si>
    <t xml:space="preserve">8ffded983ee164f7d45db1c71ae5a609	</t>
  </si>
  <si>
    <t xml:space="preserve">	e:\GoogleDrive\articles\maths - Leibniz rule.doc				</t>
  </si>
  <si>
    <t xml:space="preserve">90228875b0afe25826476243c57038df	</t>
  </si>
  <si>
    <t xml:space="preserve">	e:\GoogleDrive\articles\american monte carlo - convergence results.pdf				</t>
  </si>
  <si>
    <t xml:space="preserve">902716f91e0cf27b0a38059177ef287b	</t>
  </si>
  <si>
    <t xml:space="preserve">	e:\GoogleDrive\articles\(phd) hunor\neigbours\ann\backuper.hcs				</t>
  </si>
  <si>
    <t xml:space="preserve">90321d62d4d58d0faee7736e4b3b10f6	</t>
  </si>
  <si>
    <t xml:space="preserve">	e:\GoogleDrive\articles\(phd) hunor\phd\figures\adaptation1.eps				</t>
  </si>
  <si>
    <t xml:space="preserve">903c1aa6d08a43c56d070cf84a387c7e	</t>
  </si>
  <si>
    <t xml:space="preserve">	e:\GoogleDrive\articles\global risk 2007\day3\11.00 Cowell FINAL.zip				</t>
  </si>
  <si>
    <t xml:space="preserve">904d799ab36df32cc598a8dc7990649f	</t>
  </si>
  <si>
    <t xml:space="preserve">	e:\GoogleDrive\articles\dictionaries\texnic-fr_FR.zip				</t>
  </si>
  <si>
    <t xml:space="preserve">904fdbdd73f4d11892c4f19f57a848b0	</t>
  </si>
  <si>
    <t xml:space="preserve">	e:\GoogleDrive\articles\a classer\carr - prn.pdf				</t>
  </si>
  <si>
    <t xml:space="preserve">9050a323f0d411964dcea7f31a134f57	</t>
  </si>
  <si>
    <t xml:space="preserve">	e:\GoogleDrive\articles\rouah - Derivation of the Heston Model.pdf				</t>
  </si>
  <si>
    <t xml:space="preserve">905780cbe84f84796e8617aca71ec2f4	</t>
  </si>
  <si>
    <t xml:space="preserve">	e:\GoogleDrive\articles\(ebook) selesnick burrus - Digital Signal Processing Handbook\44.pdf				</t>
  </si>
  <si>
    <t xml:space="preserve">906b6dbe76fcba2bbb5777fac8f6576b	</t>
  </si>
  <si>
    <t xml:space="preserve">	e:\GoogleDrive\articles\alexander lvov - statistical properties of fwd libor rates - prn.pdf				</t>
  </si>
  <si>
    <t xml:space="preserve">	e:\GoogleDrive\articles\statistical properties of fwd libor rates - prn.pdf				</t>
  </si>
  <si>
    <t xml:space="preserve">9085acefea937912a9733f18be1dc769	</t>
  </si>
  <si>
    <t xml:space="preserve">	e:\GoogleDrive\articles\administratif\HEC.doc				</t>
  </si>
  <si>
    <t xml:space="preserve">9087617045660be64f75e89b2cb7b8ba	</t>
  </si>
  <si>
    <t xml:space="preserve">	e:\GoogleDrive\articles\barratin d'embauche.pdf				</t>
  </si>
  <si>
    <t xml:space="preserve">90a8ac5d3260282b60acc3da9d3299e1	</t>
  </si>
  <si>
    <t xml:space="preserve">	e:\GoogleDrive\articles\Linear systems\chap2.pdf				</t>
  </si>
  <si>
    <t xml:space="preserve">90af5dea1dd5c3b247333011f5250998	</t>
  </si>
  <si>
    <t xml:space="preserve">	e:\GoogleDrive\articles\hagan - methodology for callable swaps and bermudean swaptions.pdf				</t>
  </si>
  <si>
    <t xml:space="preserve">90eaeb3025004b94be452da3b75cefdf	</t>
  </si>
  <si>
    <t xml:space="preserve">	e:\GoogleDrive\articles\wilmott\0211_wilmott.pdf				</t>
  </si>
  <si>
    <t xml:space="preserve">90ed06f605d3f9c5a53a700138725228	</t>
  </si>
  <si>
    <t xml:space="preserve">	e:\GoogleDrive\articles\wilmott\0701_sayula.pdf				</t>
  </si>
  <si>
    <t xml:space="preserve">90eed32378762f748ad59960bd33c661	</t>
  </si>
  <si>
    <t xml:space="preserve">	e:\GoogleDrive\articles\wystup - FX_Options.pdf				</t>
  </si>
  <si>
    <t xml:space="preserve">90f931454adbd88d5592c0a4e2aacb61	</t>
  </si>
  <si>
    <t xml:space="preserve">	e:\GoogleDrive\articles\culture generale\economics\lecture\3 - nature - prn.pdf				</t>
  </si>
  <si>
    <t xml:space="preserve">90fbd625a0ea302030911171d9921e33	</t>
  </si>
  <si>
    <t xml:space="preserve">	e:\GoogleDrive\articles\piterberg - Risk Sensitivities of Bermuda Swaptions - prn.pdf				</t>
  </si>
  <si>
    <t xml:space="preserve">910312329a765c3f2674298a58840c44	</t>
  </si>
  <si>
    <t xml:space="preserve">	e:\GoogleDrive\articles\Black-Scholes Volatility Surface Interpolator.doc				</t>
  </si>
  <si>
    <t xml:space="preserve">9106cc3b0b04b21bef5e3242d9edf693	</t>
  </si>
  <si>
    <t xml:space="preserve">	e:\GoogleDrive\articles\zhengyun - domain integration.pdf				</t>
  </si>
  <si>
    <t xml:space="preserve">912103a7b00ee50c10e4df5aaa37115e	</t>
  </si>
  <si>
    <t xml:space="preserve">	e:\GoogleDrive\articles\class11.pdf				</t>
  </si>
  <si>
    <t xml:space="preserve">913106f6a9acef91408183a2ab368c9b	</t>
  </si>
  <si>
    <t xml:space="preserve">	e:\GoogleDrive\articles\WBS IR modelling Course\Credit Derivatives and Hybrids\CDWorkshop_2_64.pdf				</t>
  </si>
  <si>
    <t xml:space="preserve">914d9d00c7f69383220a9f7e267c203f	</t>
  </si>
  <si>
    <t xml:space="preserve">	e:\GoogleDrive\articles\silvester - determinants of block matrices.pdf				</t>
  </si>
  <si>
    <t xml:space="preserve">915a21cda2342434213e9c9304454061	</t>
  </si>
  <si>
    <t xml:space="preserve">	e:\GoogleDrive\articles\Levy processes\backuper.hcs				</t>
  </si>
  <si>
    <t xml:space="preserve">916ea32dac92e3b47556428bc86275b3	</t>
  </si>
  <si>
    <t xml:space="preserve">	e:\GoogleDrive\articles\meyer - regression with gaussian measures.pdf				</t>
  </si>
  <si>
    <t xml:space="preserve">916fb858eeec545653053643e1a3330d	</t>
  </si>
  <si>
    <t xml:space="preserve">	e:\GoogleDrive\articles\mark rubinstein\OnAccofESO.doc				</t>
  </si>
  <si>
    <t xml:space="preserve">917fec5be4df6dcbcb8b94665b23ed52	</t>
  </si>
  <si>
    <t xml:space="preserve">	e:\GoogleDrive\articles\oxford dpt of statistics\finan89 - The Black Scholes model.ps				</t>
  </si>
  <si>
    <t xml:space="preserve">918447d44c25c5f0f34d74493006f84c	</t>
  </si>
  <si>
    <t xml:space="preserve">	e:\GoogleDrive\articles\glasserman yu - Simulation for American Options Regression Now or Regressio	n L	ater	.p	df</t>
  </si>
  <si>
    <t xml:space="preserve">	e:\GoogleDrive\articles\glasserman yu - simulation for american options regression now or regressi	on	late	r.	pdf</t>
  </si>
  <si>
    <t xml:space="preserve">9186deb7c1cac4c8f1888d6747a8b37a	</t>
  </si>
  <si>
    <t xml:space="preserve">	e:\GoogleDrive\articles\zivot - analysis of high frequency financial data with s-plus.pdf				</t>
  </si>
  <si>
    <t xml:space="preserve">9189f8b15f8c6ea98ddbbbf26582e2a1	</t>
  </si>
  <si>
    <t xml:space="preserve">	e:\GoogleDrive\articles\wilmott\0711_antonov.pdf				</t>
  </si>
  <si>
    <t xml:space="preserve">91a79130b0d8eaa1528b2d4192ab8068	</t>
  </si>
  <si>
    <t xml:space="preserve">	e:\GoogleDrive\articles\global risk 2007\day1\Sebastien Bossu - eq corr swaps 1.pdf				</t>
  </si>
  <si>
    <t xml:space="preserve">91b382cabcdd814f294d5690edd5c76e	</t>
  </si>
  <si>
    <t xml:space="preserve">	e:\GoogleDrive\articles\Fouque Papanicolaou Sircar Solna - Timing the smile.pdf				</t>
  </si>
  <si>
    <t xml:space="preserve">91c385f38ff5138a173b92cf5b0dadaa	</t>
  </si>
  <si>
    <t xml:space="preserve">	e:\GoogleDrive\articles\latex files\figures\sensitivity.eps				</t>
  </si>
  <si>
    <t xml:space="preserve">	e:\GoogleDrive\articles\(phd) hunor\phd\figures\sensitivity.eps				</t>
  </si>
  <si>
    <t xml:space="preserve">91d659a7486e7d5dd7d1dde8098f1b7a	</t>
  </si>
  <si>
    <t xml:space="preserve">	e:\GoogleDrive\articles\culture generale\structure and texture compression				</t>
  </si>
  <si>
    <t xml:space="preserve">91d7430badf14eff87e2ed57b5345542	</t>
  </si>
  <si>
    <t xml:space="preserve">	e:\GoogleDrive\articles\(ebook) - a non random walk down Wall street\chapt9.pdf				</t>
  </si>
  <si>
    <t xml:space="preserve">91e440d795562593c1054125273275d4	</t>
  </si>
  <si>
    <t xml:space="preserve">	e:\GoogleDrive\articles\Barclays InflationDerivativesGuideJan05.pdf				</t>
  </si>
  <si>
    <t xml:space="preserve">91f6e6b664b3a7dfb0b75e11cee349c8	</t>
  </si>
  <si>
    <t xml:space="preserve">	e:\GoogleDrive\articles\maths sp‚\logique-pdf.pdf				</t>
  </si>
  <si>
    <t xml:space="preserve">920df6ed1f2c97adee15cb7a4e483d5b	</t>
  </si>
  <si>
    <t xml:space="preserve">	e:\GoogleDrive\articles\carr - option pricing using integral transforms.pdf				</t>
  </si>
  <si>
    <t xml:space="preserve">9211e5bfc9544f530d6ab79b8713861f	</t>
  </si>
  <si>
    <t xml:space="preserve">	e:\GoogleDrive\articles\Haerdle W  Kleinow T  Stahl G Applied Quantitative Financ.djvu				</t>
  </si>
  <si>
    <t xml:space="preserve">92301df7167177fd7778fe0e4322fbfc	</t>
  </si>
  <si>
    <t xml:space="preserve">	e:\GoogleDrive\articles\global risk 2007\day2\Marek Musiela.zip				</t>
  </si>
  <si>
    <t xml:space="preserve">924c81ffacdcc93dc59c8a3cf36ccce8	</t>
  </si>
  <si>
    <t xml:space="preserve">	e:\GoogleDrive\articles\culture generale\Macro factors and the Term Structure of Interest Rates - pr	n.p	df		</t>
  </si>
  <si>
    <t xml:space="preserve">92585e25b79c38021bc9fb2734fa0701	</t>
  </si>
  <si>
    <t xml:space="preserve">	e:\GoogleDrive\articles\(ebook) selesnick burrus - Digital Signal Processing Handbook\60.pdf				</t>
  </si>
  <si>
    <t xml:space="preserve">925915ac44af8817cb2bebc11726d0fc	</t>
  </si>
  <si>
    <t xml:space="preserve">	e:\GoogleDrive\articles\wilmott\0307_kraft.pdf				</t>
  </si>
  <si>
    <t xml:space="preserve">929a379a8abba8585f33e90422b2192d	</t>
  </si>
  <si>
    <t xml:space="preserve">	e:\GoogleDrive\articles\ebook with cev chapter\Chapter2 - option.doc				</t>
  </si>
  <si>
    <t xml:space="preserve">92a8d4f684e7487b535cb70936f089f6	</t>
  </si>
  <si>
    <t xml:space="preserve">	e:\GoogleDrive\articles\wilmott\0305_clark.pdf				</t>
  </si>
  <si>
    <t xml:space="preserve">92b3d2395e674ebee27ef068c0548511	</t>
  </si>
  <si>
    <t xml:space="preserve">	e:\GoogleDrive\articles\mark rubinstein\Comments on the 1987 Stock Market Crash - 11 Years Later.doc				</t>
  </si>
  <si>
    <t xml:space="preserve">92bddc0170a9f3425b092119b25f449a	</t>
  </si>
  <si>
    <t xml:space="preserve">	e:\GoogleDrive\articles\anagrammer\Assembly Language Step by Step code\READ.ME				</t>
  </si>
  <si>
    <t xml:space="preserve">92be0886aa0d6025a13a4917d53433cf	</t>
  </si>
  <si>
    <t xml:space="preserve">	e:\GoogleDrive\articles\(phd) hunor\phd\kn08.tex				</t>
  </si>
  <si>
    <t xml:space="preserve">92c7d4d4f1f07b1c084d630b325f99ba	</t>
  </si>
  <si>
    <t xml:space="preserve">	e:\GoogleDrive\articles.txt				</t>
  </si>
  <si>
    <t xml:space="preserve">92c9d3ce3d7fd7124df53f9a828f88d0	</t>
  </si>
  <si>
    <t xml:space="preserve">	e:\GoogleDrive\articles\(phd) hunor\phd\figures\barraquand.eps				</t>
  </si>
  <si>
    <t xml:space="preserve">92ef363b880b3ea4aa80a23ed40cb6dd	</t>
  </si>
  <si>
    <t xml:space="preserve">	e:\GoogleDrive\articles\Notes on Elementary Number Theory\23 - expciph.ps				</t>
  </si>
  <si>
    <t xml:space="preserve">92f085dc3bd0aa474b0685a261c9abeb	</t>
  </si>
  <si>
    <t xml:space="preserve">	e:\GoogleDrive\articles\maths\semidefinite programming\semidef_prog.pdf				</t>
  </si>
  <si>
    <t xml:space="preserve">92faf08e4b57805da80a6c49f6b480b0	</t>
  </si>
  <si>
    <t xml:space="preserve">	e:\GoogleDrive\articles\vasicek.pdf				</t>
  </si>
  <si>
    <t xml:space="preserve">930e23776295f21e83f7d81027d90c92	</t>
  </si>
  <si>
    <t xml:space="preserve">	e:\GoogleDrive\articles\stanford - convex optimisation\09 - num-lin-alg.pdf				</t>
  </si>
  <si>
    <t xml:space="preserve">9327382f1eb98de5d4d58b1b6d9e77d5	</t>
  </si>
  <si>
    <t xml:space="preserve">	e:\GoogleDrive\articles\path integrals.pdf				</t>
  </si>
  <si>
    <t xml:space="preserve">932b85e63cc12052044ef929f1103756	</t>
  </si>
  <si>
    <t xml:space="preserve">	e:\GoogleDrive\articles\garman - kohlhagen.pdf				</t>
  </si>
  <si>
    <t xml:space="preserve">9333d76f32c45a77ba6caa25716a6805	</t>
  </si>
  <si>
    <t xml:space="preserve">	e:\GoogleDrive\articles\maths\lemmermayer\hwntha1.pdf				</t>
  </si>
  <si>
    <t xml:space="preserve">9339b2f8dfb0acae7c8fb61c91f47147	</t>
  </si>
  <si>
    <t xml:space="preserve">	e:\GoogleDrive\articles\optimisation - skript.pdf				</t>
  </si>
  <si>
    <t xml:space="preserve">	e:\GoogleDrive\articles\maths\solvers\skript.pdf				</t>
  </si>
  <si>
    <t xml:space="preserve">933b263040da0626bf2d0100db917bb9	</t>
  </si>
  <si>
    <t xml:space="preserve">	e:\GoogleDrive\articles\wilmott\0607_drz.pdf				</t>
  </si>
  <si>
    <t xml:space="preserve">9387e5e3b3680d49af4380b987bd5341	</t>
  </si>
  <si>
    <t xml:space="preserve">	e:\GoogleDrive\articles\wystup - Valuation of exotic options under short selling constraints.pdf				</t>
  </si>
  <si>
    <t xml:space="preserve">938d9c4b4255ce4fbeb3542b8097bc89	</t>
  </si>
  <si>
    <t xml:space="preserve">	e:\GoogleDrive\articles\stanford - convex optimisation\13 - conclusions.pdf				</t>
  </si>
  <si>
    <t xml:space="preserve">938efd6f85af9064fd9648431faca5ee	</t>
  </si>
  <si>
    <t xml:space="preserve">	e:\GoogleDrive\articles\lu neftci - Convexity Adjustments and Forward Libor Model.pdf				</t>
  </si>
  <si>
    <t xml:space="preserve">939299857b78bd096e2afadbfdc481c7	</t>
  </si>
  <si>
    <t xml:space="preserve">	e:\GoogleDrive\articles\milne\backuper.hcs				</t>
  </si>
  <si>
    <t xml:space="preserve">9397a085618ee7580773df2496395699	</t>
  </si>
  <si>
    <t xml:space="preserve">	e:\GoogleDrive\articles\(ebook) Go - gzp2.pdf				</t>
  </si>
  <si>
    <t xml:space="preserve">939d562d3c7f68ec54a1f75ff70620d7	</t>
  </si>
  <si>
    <t xml:space="preserve">	e:\GoogleDrive\articles\journal of computational finance\v12n2a1.pdf				</t>
  </si>
  <si>
    <t xml:space="preserve">93aeb8721d4facaaf72e2feb1d7b7de1	</t>
  </si>
  <si>
    <t xml:space="preserve">	e:\GoogleDrive\articles\tuckwell wan - First passage time of Markov processes to moving barriers.pd	f			</t>
  </si>
  <si>
    <t xml:space="preserve">93b0150066979d2987952317f220b7f7	</t>
  </si>
  <si>
    <t xml:space="preserve">	e:\GoogleDrive\articles\piterbarg - Funding beyond discounting colateral agreements and derivatives	pr	icin	g.	pdf</t>
  </si>
  <si>
    <t xml:space="preserve">93b0cbd21e8f85387211372afc626bf2	</t>
  </si>
  <si>
    <t xml:space="preserve">	e:\GoogleDrive\articles\meyer - FastLibor.pdf				</t>
  </si>
  <si>
    <t xml:space="preserve">93f2a5255b7d2801c2bf0eeb86f3c542	</t>
  </si>
  <si>
    <t xml:space="preserve">	e:\GoogleDrive\articles\(ebook) kaufman -a short course in technical trading.pdf				</t>
  </si>
  <si>
    <t xml:space="preserve">940c062bd49743bcc64ddeba9a6b1076	</t>
  </si>
  <si>
    <t xml:space="preserve">	e:\GoogleDrive\articles\wilmott\0805_microsoft.pdf				</t>
  </si>
  <si>
    <t xml:space="preserve">9413996d9591b02d6aa6eea78ecad080	</t>
  </si>
  <si>
    <t xml:space="preserve">	e:\GoogleDrive\articles\ebook with cev chapter\Chapter5 - normal an lgonormal distributions.doc				</t>
  </si>
  <si>
    <t xml:space="preserve">943a76a340b8202bc98166fc2b73bd87	</t>
  </si>
  <si>
    <t xml:space="preserve">	e:\GoogleDrive\articles\iPhoneAppProgrammingGuide.pdf				</t>
  </si>
  <si>
    <t xml:space="preserve">943d4e5eadc8ddb6c9292d64adc61864	</t>
  </si>
  <si>
    <t xml:space="preserve">	e:\GoogleDrive\articles\Linear systems\chap7.pdf				</t>
  </si>
  <si>
    <t xml:space="preserve">944089d323ca9c3002c5a8dbdb22b309	</t>
  </si>
  <si>
    <t xml:space="preserve">	e:\GoogleDrive\articles\wystup - figures uocalldelta_c.ps				</t>
  </si>
  <si>
    <t xml:space="preserve">944c5af818fa9c7c7fdc4b00b644872c	</t>
  </si>
  <si>
    <t xml:space="preserve">	e:\GoogleDrive\articles\risk_0209_technical_cd.pdf				</t>
  </si>
  <si>
    <t xml:space="preserve">945f3d164b9f2113ac698df95af646a5	</t>
  </si>
  <si>
    <t xml:space="preserve">	e:\GoogleDrive\articles\data mining\ECMLPKDD2004\images\sponsors\ercim-logo.jpg				</t>
  </si>
  <si>
    <t xml:space="preserve">9489439df4eea4c072e408817127979d	</t>
  </si>
  <si>
    <t xml:space="preserve">	e:\GoogleDrive\articles\culture generale\fguide.pdf				</t>
  </si>
  <si>
    <t xml:space="preserve">949c2107ccb27efc8c07d1c3732b8395	</t>
  </si>
  <si>
    <t xml:space="preserve">	e:\GoogleDrive\articles\(eBook) scott myers - More Effective C++ copy2.pdf				</t>
  </si>
  <si>
    <t xml:space="preserve">94c2f021a216ce84f6bd4ae146a5972c	</t>
  </si>
  <si>
    <t xml:space="preserve">	e:\GoogleDrive\articles\(ebook) Go - xxqj-dbl.pdf				</t>
  </si>
  <si>
    <t xml:space="preserve">94c7742bb71f3b1bb98494bc89aacad3	</t>
  </si>
  <si>
    <t xml:space="preserve">	e:\GoogleDrive\articles\numericalR\c6-1.pdf				</t>
  </si>
  <si>
    <t xml:space="preserve">94d29c8905f006e4c299e9696c36b508	</t>
  </si>
  <si>
    <t xml:space="preserve">	e:\GoogleDrive\articles\Malhotra Bos - Risk models for changing markets.pdf				</t>
  </si>
  <si>
    <t xml:space="preserve">94da061c89e0d2ad8514620f934439a1	</t>
  </si>
  <si>
    <t xml:space="preserve">	e:\GoogleDrive\articles\wilmott\0301_shu.pdf				</t>
  </si>
  <si>
    <t xml:space="preserve">94dcd48147f890c9ab33376881cea79b	</t>
  </si>
  <si>
    <t xml:space="preserve">	e:\GoogleDrive\articles\chanf hung et al - Testing Symmetry of a NIG Distribution.pdf				</t>
  </si>
  <si>
    <t xml:space="preserve">	e:\GoogleDrive\articles\chang hung liu jan - Testing Symmetry of a NIG Distribution.pdf				</t>
  </si>
  <si>
    <t xml:space="preserve">94e8fd321907b5b788246562931d9381	</t>
  </si>
  <si>
    <t xml:space="preserve">	e:\GoogleDrive\articles\wilmott\0609_drz.pdf				</t>
  </si>
  <si>
    <t xml:space="preserve">94f5db4ca4b134cf3e88e2e555126441	</t>
  </si>
  <si>
    <t xml:space="preserve">	e:\GoogleDrive\articles\algo - Topological sorting.docx				</t>
  </si>
  <si>
    <t xml:space="preserve">94f996e7ed854f546a17809d02523656	</t>
  </si>
  <si>
    <t xml:space="preserve">	e:\GoogleDrive\articles\maths\311Quartic.pdf				</t>
  </si>
  <si>
    <t xml:space="preserve">94fccf880bc0f7c98bad8d6cc3e5714b	</t>
  </si>
  <si>
    <t xml:space="preserve">	e:\GoogleDrive\articles\wilmott\0709_eurex.pdf				</t>
  </si>
  <si>
    <t xml:space="preserve">950ade93f9ec2c8ae152b264bfe5da7e	</t>
  </si>
  <si>
    <t xml:space="preserve">	e:\GoogleDrive\articles\(ebook) selesnick burrus - Digital Signal Processing Handbook\33.pdf				</t>
  </si>
  <si>
    <t xml:space="preserve">950d486504673ab9b2ceea5186ce38e7	</t>
  </si>
  <si>
    <t xml:space="preserve">	e:\GoogleDrive\articles\Hughston Rafailidis - A chaotic approach to interest rate modelling.pdf				</t>
  </si>
  <si>
    <t xml:space="preserve">95102bb92a5352e7767ca456945da563	</t>
  </si>
  <si>
    <t xml:space="preserve">	e:\GoogleDrive\articles\culture generale\economics\macroeconomics\LN_ch4.pdf				</t>
  </si>
  <si>
    <t xml:space="preserve">952067cef1707d4f37c4d477fb2e045f	</t>
  </si>
  <si>
    <t xml:space="preserve">	e:\GoogleDrive\articles\wilmott\0601_lgd.pdf				</t>
  </si>
  <si>
    <t xml:space="preserve">953cec1b77b88b4c61e52372e54f9183	</t>
  </si>
  <si>
    <t xml:space="preserve">	e:\GoogleDrive\articles\global risk 2007\day2\Perraudin.zip				</t>
  </si>
  <si>
    <t xml:space="preserve">9544db4f1ddfbb54e0b7530290a7fa0a	</t>
  </si>
  <si>
    <t xml:space="preserve">	e:\GoogleDrive\articles\latex files\Minimizer\Minimizer.tex				</t>
  </si>
  <si>
    <t xml:space="preserve">955534687bbe64a1a3c00d6db469b14a	</t>
  </si>
  <si>
    <t xml:space="preserve">	e:\GoogleDrive\articles\netgen.pdf				</t>
  </si>
  <si>
    <t xml:space="preserve">955ac2dec0dd752ecb6ebd3011af08fd	</t>
  </si>
  <si>
    <t xml:space="preserve">	e:\GoogleDrive\articles\wilmott\0707_news.pdf				</t>
  </si>
  <si>
    <t xml:space="preserve">955da8bc6fe1f9f5e9589f56f178d0a9	</t>
  </si>
  <si>
    <t xml:space="preserve">	e:\GoogleDrive\articles\(lecture notes) Paul Dawkins - Calculus I Solutions.pdf				</t>
  </si>
  <si>
    <t xml:space="preserve">9563942df40e66eb86868131497f97f4	</t>
  </si>
  <si>
    <t xml:space="preserve">	e:\GoogleDrive\articles\dejong - LMM vs SMM an empirical analysis.pdf				</t>
  </si>
  <si>
    <t xml:space="preserve">95747145b9405004c80c181572690971	</t>
  </si>
  <si>
    <t xml:space="preserve">	e:\GoogleDrive\articles\info - graphics\einsele - Localization in Indoor Environments Using a Panora	mic	Las	er	Range Finder.pdf</t>
  </si>
  <si>
    <t xml:space="preserve">9580dfb64273cad1109a91ef868b07bc	</t>
  </si>
  <si>
    <t xml:space="preserve">	e:\GoogleDrive\articles\links.txt				</t>
  </si>
  <si>
    <t xml:space="preserve">958a0112b167cce734b44462b554b93f	</t>
  </si>
  <si>
    <t xml:space="preserve">	e:\GoogleDrive\articles\gander - adaptive quadrature - prn.ps				</t>
  </si>
  <si>
    <t xml:space="preserve">95af33136fe1afc6a8a61bb656868ec5	</t>
  </si>
  <si>
    <t xml:space="preserve">	e:\GoogleDrive\articles\carr - Two Extensions to Barrier Option Valuation.pdf				</t>
  </si>
  <si>
    <t xml:space="preserve">95ba88e6e40a871e8ffdec1511ea2c01	</t>
  </si>
  <si>
    <t xml:space="preserve">	e:\GoogleDrive\articles\Andersen Andreasen - CEV.pdf				</t>
  </si>
  <si>
    <t xml:space="preserve">	e:\GoogleDrive\articles\andersen andreasen - Volatility skew and extensions of the Libor Market Mod	el	#NAME?	n.	pdf</t>
  </si>
  <si>
    <t xml:space="preserve">95da99a111fe338ab1b8faf12fdad4c4	</t>
  </si>
  <si>
    <t xml:space="preserve">	e:\GoogleDrive\articles\data mining\ECMLPKDD2004\images\sponsors\logocomunepisa.gif				</t>
  </si>
  <si>
    <t xml:space="preserve">95ff655eb075005f2a4e6a9601f37681	</t>
  </si>
  <si>
    <t xml:space="preserve">	e:\GoogleDrive\articles\karlsson - fast matrix inversion.pdf				</t>
  </si>
  <si>
    <t xml:space="preserve">960bfb159ac4585524d849f131d57cc1	</t>
  </si>
  <si>
    <t xml:space="preserve">	e:\GoogleDrive\articles\bouchaud - financial applications of random matrix theory old laces and .ne	w p	iece	s.	pdf</t>
  </si>
  <si>
    <t xml:space="preserve">962944a4a56b3526c98903fcb57a8e8b	</t>
  </si>
  <si>
    <t xml:space="preserve">	e:\GoogleDrive\articles\De jong Driessen Pelssner - LFM and SFM.pdf				</t>
  </si>
  <si>
    <t xml:space="preserve">96806d5be14bf5ffcd48e8ec01956c65	</t>
  </si>
  <si>
    <t xml:space="preserve">	e:\GoogleDrive\articles\wilmott\0309_staunton.pdf				</t>
  </si>
  <si>
    <t xml:space="preserve">96835ebe0f1ae479fa8040fdd88761cd	</t>
  </si>
  <si>
    <t xml:space="preserve">	e:\GoogleDrive\articles\wystup - Valuation of exotic options under shortselling constraints as a sin	gul	ar s	to	chastic control problem.ps</t>
  </si>
  <si>
    <t xml:space="preserve">968eed4e9d4cda188fde4c90200043cd	</t>
  </si>
  <si>
    <t xml:space="preserve">	e:\GoogleDrive\articles\Minimax Trees in Linear Time with Applications.pdf				</t>
  </si>
  <si>
    <t xml:space="preserve">9693ae3357499867907c99bc756bf368	</t>
  </si>
  <si>
    <t xml:space="preserve">	e:\GoogleDrive\articles\wilmott\0503_coverstory.pdf				</t>
  </si>
  <si>
    <t xml:space="preserve">96b6ba1e930333670850446e4a294c08	</t>
  </si>
  <si>
    <t xml:space="preserve">	e:\GoogleDrive\articles\Mercurio - No-Arbitrage conditions for a finite options system.pdf				</t>
  </si>
  <si>
    <t xml:space="preserve">96bb0f4a8d77e61a6838314e09ae8e3a	</t>
  </si>
  <si>
    <t xml:space="preserve">	e:\GoogleDrive\articles\equity\Volume7.doc				</t>
  </si>
  <si>
    <t xml:space="preserve">	e:\GoogleDrive\articles\equity (lehman brothers)\Volume7.doc				</t>
  </si>
  <si>
    <t xml:space="preserve">96bf9c282b6e8f3af19ac2670e616672	</t>
  </si>
  <si>
    <t xml:space="preserve">	e:\GoogleDrive\articles\global risk 2007\day2\16.20 Dupire.pdf				</t>
  </si>
  <si>
    <t xml:space="preserve">96cc4fa9d291f9ab5893f85a4e3286f5	</t>
  </si>
  <si>
    <t xml:space="preserve">	e:\GoogleDrive\articles\wilmott\0703_duffy.pdf				</t>
  </si>
  <si>
    <t xml:space="preserve">96cf5bdb78bcacc38914127fd9abec12	</t>
  </si>
  <si>
    <t xml:space="preserve">	e:\GoogleDrive\articles\wilmott\0601_bookreview.pdf				</t>
  </si>
  <si>
    <t xml:space="preserve">96efbfae24bcb468af66632fa2dc7774	</t>
  </si>
  <si>
    <t xml:space="preserve">	e:\GoogleDrive\articles\Tsiakas - Spot and forward volatility in FX.pdf				</t>
  </si>
  <si>
    <t xml:space="preserve">9700625d7a982d329d3552097508197e	</t>
  </si>
  <si>
    <t xml:space="preserve">	e:\GoogleDrive\articles\estevao - do active labour market policies increase employment.pdf				</t>
  </si>
  <si>
    <t xml:space="preserve">9700c2f8eb7b4b911ebc1c47584bbbac	</t>
  </si>
  <si>
    <t xml:space="preserve">	e:\GoogleDrive\articles\mark rubinstein\Barrier Options - prn.doc				</t>
  </si>
  <si>
    <t xml:space="preserve">97051ea4c975bceec27dfd27ed8821dc	</t>
  </si>
  <si>
    <t xml:space="preserve">	e:\GoogleDrive\articles\wystupp book\mm\backuper.hcs				</t>
  </si>
  <si>
    <t xml:space="preserve">97160a0806f249ef39542e9a18787ccb	</t>
  </si>
  <si>
    <t xml:space="preserve">	e:\GoogleDrive\articles\wilmott\0607_bogni.pdf				</t>
  </si>
  <si>
    <t xml:space="preserve">972c14765d0359341dc2841acacbb7a2	</t>
  </si>
  <si>
    <t xml:space="preserve">	e:\GoogleDrive\articles\info - algo\Mendelson Tarjan Thorup Zwick - Melding priority queues.pdf				</t>
  </si>
  <si>
    <t xml:space="preserve">972cfdeda4d5f6bf0eab549399a5c87d	</t>
  </si>
  <si>
    <t xml:space="preserve">	e:\GoogleDrive\articles\hagan - dynamic sabr (from wilmott).pdf				</t>
  </si>
  <si>
    <t xml:space="preserve">	e:\GoogleDrive\articles\wilmott\2002_09_84to108_Smile.pdf				</t>
  </si>
  <si>
    <t xml:space="preserve">973ba4a27e319a7a2b3b7f68284f7465	</t>
  </si>
  <si>
    <t xml:space="preserve">	e:\GoogleDrive\articles\(ebook) selesnick burrus - Digital Signal Processing Handbook\24.pdf				</t>
  </si>
  <si>
    <t xml:space="preserve">9748e2c537db07d792ff6ba0eab32755	</t>
  </si>
  <si>
    <t xml:space="preserve">	e:\GoogleDrive\articles\Takahashi Takehara lmm stoch vol fx asymptotic expansion.pdf				</t>
  </si>
  <si>
    <t xml:space="preserve">9758cfa0be0efc0b004c7e289535020e	</t>
  </si>
  <si>
    <t xml:space="preserve">	e:\GoogleDrive\articles\risk0305 - The intrinsic currency valuation framework.pdf				</t>
  </si>
  <si>
    <t xml:space="preserve">9767dc7a1c9e52bea5c0dc2d8269aed2	</t>
  </si>
  <si>
    <t xml:space="preserve">	e:\GoogleDrive\articles\wilmott\0605_coverstory.pdf				</t>
  </si>
  <si>
    <t xml:space="preserve">9777299da8baea57522b527da019d0e9	</t>
  </si>
  <si>
    <t xml:space="preserve">	e:\GoogleDrive\articles\wystup - The market price of one-touch options in foreign exchange markets.p	df			</t>
  </si>
  <si>
    <t xml:space="preserve">	e:\GoogleDrive\articles\wystupp book\mm\onetouch.pdf				</t>
  </si>
  <si>
    <t xml:space="preserve">97837c52feb07ca1de13029d7f47fb8f	</t>
  </si>
  <si>
    <t xml:space="preserve">	e:\GoogleDrive\articles\exercices wt corrections - differential equations.pdf				</t>
  </si>
  <si>
    <t xml:space="preserve">979877b388f23f862e51d705c6ee8a91	</t>
  </si>
  <si>
    <t xml:space="preserve">	e:\GoogleDrive\articles\numericalR\c6-12.pdf				</t>
  </si>
  <si>
    <t xml:space="preserve">97e521e461846c61a46b5d00a1a453dc	</t>
  </si>
  <si>
    <t xml:space="preserve">	e:\GoogleDrive\articles\wilmott\0707_henrard.pdf				</t>
  </si>
  <si>
    <t xml:space="preserve">97e67a05a9a8cd46019238ad6b681d19	</t>
  </si>
  <si>
    <t xml:space="preserve">	e:\GoogleDrive\articles\brownian bridge\slesurvey.ps				</t>
  </si>
  <si>
    <t xml:space="preserve">980ccb04d5bbebd32fb331d68528febe	</t>
  </si>
  <si>
    <t xml:space="preserve">	e:\GoogleDrive\articles\mark rubinstein\Justification of SuperTrust for SEC.doc				</t>
  </si>
  <si>
    <t xml:space="preserve">982a79b196f38abfdd1f0caa37dce275	</t>
  </si>
  <si>
    <t xml:space="preserve">	e:\GoogleDrive\articles\marcusevans05 - unit2.pdf				</t>
  </si>
  <si>
    <t xml:space="preserve">9841b490965ec3c423d82e0ab916e3c7	</t>
  </si>
  <si>
    <t xml:space="preserve">	e:\GoogleDrive\articles\maths sp‚\chapitre11 - series entieres.pdf				</t>
  </si>
  <si>
    <t xml:space="preserve">9850bd4579e636d2bb7c8ac8779f0fbd	</t>
  </si>
  <si>
    <t xml:space="preserve">	e:\GoogleDrive\articles\journal of computational finance\journalofcreditrisk.pdf				</t>
  </si>
  <si>
    <t xml:space="preserve">985254eb9110824ec3cb137f232fdf64	</t>
  </si>
  <si>
    <t xml:space="preserve">	e:\GoogleDrive\articles\stanford - convex optimisation\12 - barrier.pdf				</t>
  </si>
  <si>
    <t xml:space="preserve">9860a6ac1b9419de560ed54b1d3d33f9	</t>
  </si>
  <si>
    <t xml:space="preserve">	e:\GoogleDrive\articles\wilmott\0709_carreviews.pdf				</t>
  </si>
  <si>
    <t xml:space="preserve">986340af9def0ee5d329e38e02231008	</t>
  </si>
  <si>
    <t xml:space="preserve">	e:\GoogleDrive\articles\(lecture notes) Paul Dawkins - Calculus II Practice.pdf				</t>
  </si>
  <si>
    <t xml:space="preserve">987515fd454e1647d3367b6be4601ae7	</t>
  </si>
  <si>
    <t xml:space="preserve">	e:\GoogleDrive\articles\hobby\blacksmithscraft.pdf				</t>
  </si>
  <si>
    <t xml:space="preserve">9883821f8b87b70ab6d8853557069987	</t>
  </si>
  <si>
    <t xml:space="preserve">	e:\GoogleDrive\articles\(phd) hunor\phd\hackle\ICDM'03\ICDM'03.pdf				</t>
  </si>
  <si>
    <t xml:space="preserve">989a146d0ccc769ae5a82d51c8e0151d	</t>
  </si>
  <si>
    <t xml:space="preserve">	e:\GoogleDrive\articles\Herrenschmidt - Pricing of Asian Option on commodity basket .pdf				</t>
  </si>
  <si>
    <t xml:space="preserve">989a6e045472421811cae9b1258a6a6a	</t>
  </si>
  <si>
    <t xml:space="preserve">	e:\GoogleDrive\articles\wilmott\0711_nail.pdf				</t>
  </si>
  <si>
    <t xml:space="preserve">98a09be5a52b7184ce9b69bbe1ee1cf4	</t>
  </si>
  <si>
    <t xml:space="preserve">	e:\GoogleDrive\articles\cohen - the relation between the equity risk premium durati.pdf				</t>
  </si>
  <si>
    <t xml:space="preserve">	e:\GoogleDrive\articles\cohen - the relation between the equity risk premium duration and dividend	yie	ld -	p	rn.pdf</t>
  </si>
  <si>
    <t xml:space="preserve">98dc2f774086384f9f119b2fec163242	</t>
  </si>
  <si>
    <t xml:space="preserve">	e:\GoogleDrive\articles\lobaskin\P.Kaufman.Trading Systems &amp; Methods\Kaufman - Trading Systems &amp; Met	hod	s -	Ch	ap02 1-3.doc</t>
  </si>
  <si>
    <t xml:space="preserve">98e5abdf12c6518c7d35040bd2af1c32	</t>
  </si>
  <si>
    <t xml:space="preserve">	e:\GoogleDrive\articles\a classer\stochastic_covariance.pdf				</t>
  </si>
  <si>
    <t xml:space="preserve">98e9cc65f282ec3b5f03c43bcf323c7a	</t>
  </si>
  <si>
    <t xml:space="preserve">	e:\GoogleDrive\articles\wilmott\0305_bonds.pdf				</t>
  </si>
  <si>
    <t xml:space="preserve">98ed40ba529fbd810da1fc26b1b67d1d	</t>
  </si>
  <si>
    <t xml:space="preserve">	e:\GoogleDrive\articles\carr - FAQ's in option pricing theory (2005).pdf				</t>
  </si>
  <si>
    <t xml:space="preserve">98ee2093c8b5447c27a1fe65de6124d5	</t>
  </si>
  <si>
    <t xml:space="preserve">	e:\GoogleDrive\articles\Towards an Integrated Approach to Music Retrieval (ircdl09).pdf				</t>
  </si>
  <si>
    <t xml:space="preserve">98fbf5e4ec94e48da4c1b5e20b621b33	</t>
  </si>
  <si>
    <t xml:space="preserve">	e:\GoogleDrive\articles\Osborne - Some Quantitative Tests for Stock Price Generating.pdf				</t>
  </si>
  <si>
    <t xml:space="preserve">990be6a45eb718b232bd5c557217322d	</t>
  </si>
  <si>
    <t xml:space="preserve">	e:\GoogleDrive\articles\latex files\MARFX Greeks\MAFXRGreeks.tex				</t>
  </si>
  <si>
    <t xml:space="preserve">996fda270deacb9b28505a5a7a10eb4a	</t>
  </si>
  <si>
    <t xml:space="preserve">	e:\GoogleDrive\articles\(ebook) Go - gzp3-mobile.pdf				</t>
  </si>
  <si>
    <t xml:space="preserve">99784006986391a79c2e81a0637398e2	</t>
  </si>
  <si>
    <t xml:space="preserve">	e:\GoogleDrive\articles\gatheral - modelling the implied volatility surface.pdf				</t>
  </si>
  <si>
    <t xml:space="preserve">997aa896b4d9b2a2a042f5eacd2960c0	</t>
  </si>
  <si>
    <t xml:space="preserve">	e:\GoogleDrive\articles\latex files\Kendalls Tau\KendallsTau.tex				</t>
  </si>
  <si>
    <t xml:space="preserve">997caf6b48fea27d5fd2e2c6a96759eb	</t>
  </si>
  <si>
    <t xml:space="preserve">	e:\GoogleDrive\articles\Brigo Capitani Mercurio - On the joint calibration of the forward LIBOR mo	del	to	ca	ps and swaptions..pdf</t>
  </si>
  <si>
    <t xml:space="preserve">99974ccc0fd023310066652110fccbaf	</t>
  </si>
  <si>
    <t xml:space="preserve">	e:\GoogleDrive\articles\Giles Pierce - An introduction to the adjoint approach to design.pdf				</t>
  </si>
  <si>
    <t xml:space="preserve">999c03101dea9f218dd9595d6bcaf1a1	</t>
  </si>
  <si>
    <t xml:space="preserve">	e:\GoogleDrive\articles\lobaskin\P.Kaufman.Trading Systems &amp; Methods\Kaufman - Trading Systems &amp; Met	hod	s -	Ch	ap03 1-11.doc</t>
  </si>
  <si>
    <t xml:space="preserve">999f62fa74206d201e9902a3252b868b	</t>
  </si>
  <si>
    <t xml:space="preserve">	e:\GoogleDrive\articles\Russel E. Caflisch and Suneal Chaudhary - Monte Carlo Methods for American O	pti	ons.	pd	f</t>
  </si>
  <si>
    <t xml:space="preserve">99a3213994e7cfd99156e23dc7b0fba0	</t>
  </si>
  <si>
    <t xml:space="preserve">	e:\GoogleDrive\articles\(Ebook) shreve - Stochastic Calculus and Finance.pdf				</t>
  </si>
  <si>
    <t xml:space="preserve">99b255445f01e257cfe6b4fa57416e63	</t>
  </si>
  <si>
    <t xml:space="preserve">	e:\GoogleDrive\articles\stanford - convex optimisation\06 - approx.pdf				</t>
  </si>
  <si>
    <t xml:space="preserve">99de1fe8eb230a8ef43320430e32a897	</t>
  </si>
  <si>
    <t xml:space="preserve">	e:\GoogleDrive\articles\lee - option pricing by transform methods.pdf				</t>
  </si>
  <si>
    <t xml:space="preserve">9a0d5d5914f87d1c31de68549f4d9df4	</t>
  </si>
  <si>
    <t xml:space="preserve">	e:\GoogleDrive\articles\wilmott\0401_qfr.pdf				</t>
  </si>
  <si>
    <t xml:space="preserve">9a51ccd1fe79b92c20786147b4a3456a	</t>
  </si>
  <si>
    <t xml:space="preserve">	e:\GoogleDrive\articles\brownian bridge\backuper.hcs				</t>
  </si>
  <si>
    <t xml:space="preserve">9a6bb6b4f5fb2d5a02d15e1962d54c5b	</t>
  </si>
  <si>
    <t xml:space="preserve">	e:\GoogleDrive\articles\wilmott\0409_drz.pdf				</t>
  </si>
  <si>
    <t xml:space="preserve">9a715fc0b6d20c20972dca43e05affea	</t>
  </si>
  <si>
    <t xml:space="preserve">	e:\GoogleDrive\articles\Notes on Elementary Number Theory\32 - pythtrip.ps				</t>
  </si>
  <si>
    <t xml:space="preserve">9a7641bfbac0bcc8a54ed34e37ed94e3	</t>
  </si>
  <si>
    <t xml:space="preserve">	e:\GoogleDrive\articles\data mining\ECMLPKDD2004\images\sponsors\istiweb.gif				</t>
  </si>
  <si>
    <t xml:space="preserve">9a83ff3bb2937d419236691d06020547	</t>
  </si>
  <si>
    <t xml:space="preserve">	e:\GoogleDrive\articles\maths sp‚\chapitre19 - isometries affines.pdf				</t>
  </si>
  <si>
    <t xml:space="preserve">9a995581aa2c706e1a360d86dddaa674	</t>
  </si>
  <si>
    <t xml:space="preserve">	e:\GoogleDrive\articles\sun - Openmesh tutorial.pdf				</t>
  </si>
  <si>
    <t xml:space="preserve">9a9fab1ff2778a03f2eac1108d06bd64	</t>
  </si>
  <si>
    <t xml:space="preserve">	e:\GoogleDrive\articles\wilmott\0801_editorial.pdf				</t>
  </si>
  <si>
    <t xml:space="preserve">9ad24d048f8ede75d1365045711c5d46	</t>
  </si>
  <si>
    <t xml:space="preserve">	e:\GoogleDrive\articles\wilmott\0403_schoutens.pdf				</t>
  </si>
  <si>
    <t xml:space="preserve">9ad4cfafde1e776c3cc874c20ca74f35	</t>
  </si>
  <si>
    <t xml:space="preserve">	e:\GoogleDrive\articles\course exercices - rutkowsky - term structure modelling.pdf				</t>
  </si>
  <si>
    <t xml:space="preserve">	e:\GoogleDrive\articles\rutkowski - course exercices.pdf				</t>
  </si>
  <si>
    <t xml:space="preserve">9ad6c64e88140c07481e1b08c23f1939	</t>
  </si>
  <si>
    <t xml:space="preserve">	e:\GoogleDrive\articles\wilmott\0705_if.pdf				</t>
  </si>
  <si>
    <t xml:space="preserve">9ae3937417f52b44f4e895c1db8738c2	</t>
  </si>
  <si>
    <t xml:space="preserve">	e:\GoogleDrive\articles\cramer von mises normality test.pdf				</t>
  </si>
  <si>
    <t xml:space="preserve">9af142b0b3c8d847cf6b657a7813fe35	</t>
  </si>
  <si>
    <t xml:space="preserve">	e:\GoogleDrive\articles\anagrammer\Compilers and Compiler Generators an introduction with C++.rar				</t>
  </si>
  <si>
    <t xml:space="preserve">9af4c02e05334f211dd8d730a7467846	</t>
  </si>
  <si>
    <t xml:space="preserve">	e:\GoogleDrive\articles\joshi - achieving decorrelation.pdf				</t>
  </si>
  <si>
    <t xml:space="preserve">9b0687a16fc1239c5cf253f1c1b4363f	</t>
  </si>
  <si>
    <t xml:space="preserve">	e:\GoogleDrive\articles\wilmott\2002_09_12to13_Book_Club.pdf				</t>
  </si>
  <si>
    <t xml:space="preserve">9b0779fc9e742809d2420e8e012949af	</t>
  </si>
  <si>
    <t xml:space="preserve">	e:\GoogleDrive\articles\(phd) hunor\phd\tools.aux				</t>
  </si>
  <si>
    <t xml:space="preserve">9b4711dbae772d6ad3973fc62c7f0f71	</t>
  </si>
  <si>
    <t xml:space="preserve">	e:\GoogleDrive\articles\info - graphics\math - Data structures for 3d meshes.docx				</t>
  </si>
  <si>
    <t xml:space="preserve">9bb5085cc1cd54e9d9f84a287b8ec9a0	</t>
  </si>
  <si>
    <t xml:space="preserve">	e:\GoogleDrive\articles\(phd) hunor\phd\hackle\ICDM'03\ltexpprt.sty				</t>
  </si>
  <si>
    <t xml:space="preserve">9bbad696c5039cb837e4e56495e1efd7	</t>
  </si>
  <si>
    <t xml:space="preserve">	e:\GoogleDrive\articles\hagan west - interpolation methods for curve construction.pdf				</t>
  </si>
  <si>
    <t xml:space="preserve">9bc5e9f87bc03d7709e54af8df209c4d	</t>
  </si>
  <si>
    <t xml:space="preserve">	e:\GoogleDrive\articles\cuda\gpu - Sarah Tariq - An introduction to GPU computing and the CUDA archi	tec	ture	(	June2011).pdf</t>
  </si>
  <si>
    <t xml:space="preserve">9bd18c8060e08d51f91b24adb589e0ef	</t>
  </si>
  <si>
    <t xml:space="preserve">	e:\GoogleDrive\articles\Frank - classification trees C4.5.pdf				</t>
  </si>
  <si>
    <t xml:space="preserve">9bdcf0f4b5bd061fed46646b9d568023	</t>
  </si>
  <si>
    <t xml:space="preserve">	e:\GoogleDrive\articles\albanese - a stochastic volatility model for risk-reversals in foreign excha	nge	(FX	).	pdf</t>
  </si>
  <si>
    <t xml:space="preserve">	e:\GoogleDrive\articles\albanese - a stochastic volatility model for risk-reversals in foreign excha	nge	.pdf		</t>
  </si>
  <si>
    <t xml:space="preserve">9be023e22ff35875b30ee2493130b2d1	</t>
  </si>
  <si>
    <t xml:space="preserve">	e:\GoogleDrive\articles\numericalR\c6-7.pdf				</t>
  </si>
  <si>
    <t xml:space="preserve">9c01fb5e92e3a325e10ada43e2fb262f	</t>
  </si>
  <si>
    <t xml:space="preserve">	e:\GoogleDrive\articles\(phd) hunor\phd\figures\hackleValidation2.eps				</t>
  </si>
  <si>
    <t xml:space="preserve">9c12c1e08edd6c34be56d7d8536bd1fa	</t>
  </si>
  <si>
    <t xml:space="preserve">	e:\GoogleDrive\articles\maths\cours de calcul stochastique II.ps				</t>
  </si>
  <si>
    <t xml:space="preserve">9c3199252158d29a1f6a9cbb30e7534e	</t>
  </si>
  <si>
    <t xml:space="preserve">	e:\GoogleDrive\articles\anagrammer\Memory Management - Algorithms and Implementation in C C++.pdf				</t>
  </si>
  <si>
    <t xml:space="preserve">9c36dbc3eae8e9d68e346a96a224d4da	</t>
  </si>
  <si>
    <t xml:space="preserve">	e:\GoogleDrive\articles\cox ingersoll ross - an intemporal general equilibrium model of asset pric	es.	pdf		</t>
  </si>
  <si>
    <t xml:space="preserve">9c3fdc353ebbedee657bef75d5e450f0	</t>
  </si>
  <si>
    <t xml:space="preserve">	e:\GoogleDrive\articles\wystup - On the Cost of Delayed Currency Fixing Announcements.pdf				</t>
  </si>
  <si>
    <t xml:space="preserve">9c50f3408704e652059ef849d2deec62	</t>
  </si>
  <si>
    <t xml:space="preserve">	e:\GoogleDrive\articles\(phd) hunor\phd\other.aux				</t>
  </si>
  <si>
    <t xml:space="preserve">9c5e12f4879f3877f0cc51eaa2f5c349	</t>
  </si>
  <si>
    <t xml:space="preserve">	e:\GoogleDrive\articles\wilmott\0305_coverstory.pdf				</t>
  </si>
  <si>
    <t xml:space="preserve">9c72a0911a529a95111f3cd79072fa8d	</t>
  </si>
  <si>
    <t xml:space="preserve">	e:\GoogleDrive\articles\info - graphics\Zhang wang wang tong zhou - A Deformable Surface Model f	or	Real	#NAME?	ime Water Drop Animation.pdf</t>
  </si>
  <si>
    <t xml:space="preserve">9c86b6bff0e9a5ed7397aaf08872c6f1	</t>
  </si>
  <si>
    <t xml:space="preserve">	e:\GoogleDrive\articles\(phd) hunor\phd\figures\original\barraquand.TIF				</t>
  </si>
  <si>
    <t xml:space="preserve">9ca14ece804ab04043af7068b434347a	</t>
  </si>
  <si>
    <t xml:space="preserve">	e:\GoogleDrive\articles\data mining\ECMLPKDD2004\images\sponsors\logoMSR.gif				</t>
  </si>
  <si>
    <t xml:space="preserve">9cb3cca4fabe06046b990a52950bcedc	</t>
  </si>
  <si>
    <t xml:space="preserve">	e:\GoogleDrive\articles\(phd) hunor\phd\bibliography.log				</t>
  </si>
  <si>
    <t xml:space="preserve">9cb41a1a90ceb80d5098e1047cca72cd	</t>
  </si>
  <si>
    <t xml:space="preserve">	e:\GoogleDrive\articles\info - graphics\lecture2 - Basic Graphics Programming.pdf				</t>
  </si>
  <si>
    <t xml:space="preserve">9cc9c8497e6a4be0bbcd2c3a3faa31e6	</t>
  </si>
  <si>
    <t xml:space="preserve">	e:\GoogleDrive\articles\wilmott\0309_bogni.pdf				</t>
  </si>
  <si>
    <t xml:space="preserve">9cdfaf75af65e7a792b70a5c5ca2e5d5	</t>
  </si>
  <si>
    <t xml:space="preserve">	e:\GoogleDrive\articles\conventions - Zero Coupon Margin.doc				</t>
  </si>
  <si>
    <t xml:space="preserve">9ced1da2e9b116fe3d89039925e54335	</t>
  </si>
  <si>
    <t xml:space="preserve">	e:\GoogleDrive\articles\jaeckel rebonato - An efficient and general method to value American-style	equ	ity	an	d FX options in the presence of user-defined smiles and time-dependent volatility  (2000).pdf</t>
  </si>
  <si>
    <t xml:space="preserve">	e:\GoogleDrive\articles\jaeckel rebonato - Valuing American options in the presence of user-defined	sm	iles	a	nd time-dependent volatility scenario analysis model stress and lower-bound pricing applications.pdf</t>
  </si>
  <si>
    <t xml:space="preserve">9cee09ec1a5f91176eb751604ef8d2ce	</t>
  </si>
  <si>
    <t xml:space="preserve">	e:\GoogleDrive\articles\WBS IR modelling Course\Credit Derivatives and Hybrids\CDWorkshop_3_66.pdf				</t>
  </si>
  <si>
    <t xml:space="preserve">9d008f8c8f35e11372f5ad679283dcc3	</t>
  </si>
  <si>
    <t xml:space="preserve">	e:\GoogleDrive\articles\lecture notes (pittman probas)\lecture12.pdf				</t>
  </si>
  <si>
    <t xml:space="preserve">9d01f805dc1d07b26ffacbaf924d6bad	</t>
  </si>
  <si>
    <t xml:space="preserve">	e:\GoogleDrive\articles\Mankiw - Macroeconomics 7th Ed.pdf				</t>
  </si>
  <si>
    <t xml:space="preserve">9d106b5e1438c958865cc373495ac53c	</t>
  </si>
  <si>
    <t xml:space="preserve">	e:\GoogleDrive\articles\a classer\general_pricing.ppt				</t>
  </si>
  <si>
    <t xml:space="preserve">9d15a279ba8bea15fa38ecf372a6364c	</t>
  </si>
  <si>
    <t xml:space="preserve">	e:\GoogleDrive\articles\wilmott\0309_art.pdf				</t>
  </si>
  <si>
    <t xml:space="preserve">9d20ac7d414539947f3cc1d98b8866fc	</t>
  </si>
  <si>
    <t xml:space="preserve">	e:\GoogleDrive\articles\maths\bertstein copulae.pdf				</t>
  </si>
  <si>
    <t xml:space="preserve">9d29b0b220d598fb8e630704e67fecd9	</t>
  </si>
  <si>
    <t xml:space="preserve">	e:\GoogleDrive\articles\culture generale\Cox_Pedersen - assurances.pdf				</t>
  </si>
  <si>
    <t xml:space="preserve">9d43fb26afcadd98c4d913c95f8063c4	</t>
  </si>
  <si>
    <t xml:space="preserve">	e:\GoogleDrive\articles\wilmott\0307_bamberger.pdf				</t>
  </si>
  <si>
    <t xml:space="preserve">9d58d0fe7d830d92404fbfea936a4e7a	</t>
  </si>
  <si>
    <t xml:space="preserve">	e:\GoogleDrive\articles\(eBook) - Jackel\CD.ICO				</t>
  </si>
  <si>
    <t xml:space="preserve">9d5bd2d9dd16c50db6a2e18e9832f2b2	</t>
  </si>
  <si>
    <t xml:space="preserve">	e:\GoogleDrive\articles\vgood lecture\url.txt				</t>
  </si>
  <si>
    <t xml:space="preserve">9d935e6b8e44bff336de4771d7e7c0bc	</t>
  </si>
  <si>
    <t xml:space="preserve">	e:\GoogleDrive\articles\wilmott\0611_jackel.pdf				</t>
  </si>
  <si>
    <t xml:space="preserve">9da0598537ad4daaed46ea3cb885445c	</t>
  </si>
  <si>
    <t xml:space="preserve">	e:\GoogleDrive\articles\wilmott\0405_villiger.pdf				</t>
  </si>
  <si>
    <t xml:space="preserve">9daaa31e25e9a8088b85b333095cf815	</t>
  </si>
  <si>
    <t xml:space="preserve">	e:\GoogleDrive\articles\(ebook) selesnick burrus - Digital Signal Processing Handbook\35.pdf				</t>
  </si>
  <si>
    <t xml:space="preserve">9db42346887d099f8aefdfb54096a4a7	</t>
  </si>
  <si>
    <t xml:space="preserve">	e:\GoogleDrive\articles\entropy\CompFinTalk.ps				</t>
  </si>
  <si>
    <t xml:space="preserve">9ddbe22b02e12c3888d52d4a3babbbe0	</t>
  </si>
  <si>
    <t xml:space="preserve">	e:\GoogleDrive\articles\culture generale\economics\econ320\backuper.hcs				</t>
  </si>
  <si>
    <t xml:space="preserve">9dee1e93048db1d1ab6577ddce331520	</t>
  </si>
  <si>
    <t xml:space="preserve">	e:\GoogleDrive\articles\wilmott\0409_swishchuk.pdf				</t>
  </si>
  <si>
    <t xml:space="preserve">9e096e136a11608afc068c703896604c	</t>
  </si>
  <si>
    <t xml:space="preserve">	e:\GoogleDrive\articles\(eBook) - ingles analysis of algorithms\intervalheap.pdf				</t>
  </si>
  <si>
    <t xml:space="preserve">9e16cb6f03811ff11606198d93d9bf08	</t>
  </si>
  <si>
    <t xml:space="preserve">	e:\GoogleDrive\articles\generalised market equilibrium stable capm.ps				</t>
  </si>
  <si>
    <t xml:space="preserve">9e6abc648e4741d753ff53b0b5baddfd	</t>
  </si>
  <si>
    <t xml:space="preserve">	e:\GoogleDrive\articles\administratif\loca-pass.pdf				</t>
  </si>
  <si>
    <t xml:space="preserve">9e6bbe343be8ed3e48d06dcc883f51ec	</t>
  </si>
  <si>
    <t xml:space="preserve">	e:\GoogleDrive\articles\Finance - Foundations of Technical Analysis (Lo Andrew etc..pdf				</t>
  </si>
  <si>
    <t xml:space="preserve">9e83390dbded55e904b3f6860bf5ca1e	</t>
  </si>
  <si>
    <t xml:space="preserve">	e:\GoogleDrive\articles\wilmott\0401_2003review.pdf				</t>
  </si>
  <si>
    <t xml:space="preserve">9e917f6f08f1091138d266c7ab909aeb	</t>
  </si>
  <si>
    <t xml:space="preserve">	e:\GoogleDrive\articles\lobaskin\P.Kaufman.Trading Systems &amp; Methods\Kaufman - Trading Systems &amp; Met	hod	s -	Ch	ap16.doc</t>
  </si>
  <si>
    <t xml:space="preserve">9e9d90cd0d6b9182515a9b3570b808e4	</t>
  </si>
  <si>
    <t xml:space="preserve">	e:\GoogleDrive\articles\mccloud - collateral convexity.pdf				</t>
  </si>
  <si>
    <t xml:space="preserve">9ed5fe372c9107213ea384394c68f409	</t>
  </si>
  <si>
    <t xml:space="preserve">	e:\GoogleDrive\articles\data mining\ECMLPKDD2004\workshops\W5.pdf				</t>
  </si>
  <si>
    <t xml:space="preserve">9eda1f6214b34241197fff423bcfd18f	</t>
  </si>
  <si>
    <t xml:space="preserve">	e:\GoogleDrive\articles\Schlogl - A multicurrency extension of the lognormal interest rate Market Mo	del	s.pd	f	</t>
  </si>
  <si>
    <t xml:space="preserve">9ee7f8631575ec64692d9334fae517f5	</t>
  </si>
  <si>
    <t xml:space="preserve">	e:\GoogleDrive\articles\numericalR\c8-4.pdf				</t>
  </si>
  <si>
    <t xml:space="preserve">9ee837c487c8bc892f88d8b49ce47edb	</t>
  </si>
  <si>
    <t xml:space="preserve">	e:\GoogleDrive\articles\wilmott\0803_jaeckel.pdf				</t>
  </si>
  <si>
    <t xml:space="preserve">9eefc04098da7a226a55237301418d39	</t>
  </si>
  <si>
    <t xml:space="preserve">	e:\GoogleDrive\articles\(ebook) - Physics for Engineers and Scientists 3E (Part 1a).pdf				</t>
  </si>
  <si>
    <t xml:space="preserve">9f1ef018598734accfff8d3168f19db0	</t>
  </si>
  <si>
    <t xml:space="preserve">	e:\GoogleDrive\articles\maths\xcheng\week18.pdf				</t>
  </si>
  <si>
    <t xml:space="preserve">9f2030e4d10890374ba969eab2f43509	</t>
  </si>
  <si>
    <t xml:space="preserve">	e:\GoogleDrive\articles\info - algo\(phd) Algorithms for Music Information Retrieval.pdf				</t>
  </si>
  <si>
    <t xml:space="preserve">9f32d58231b198097278ae071e7f140e	</t>
  </si>
  <si>
    <t xml:space="preserve">	e:\GoogleDrive\articles\hobby\bridge rules.docx				</t>
  </si>
  <si>
    <t xml:space="preserve">9f33b375194104fc0dc8a3abf582e583	</t>
  </si>
  <si>
    <t xml:space="preserve">	e:\GoogleDrive\articles\schonbucher - a libor market model with default risk.pdf				</t>
  </si>
  <si>
    <t xml:space="preserve">9f44705f4277ccf79e0e21d39b0f32c0	</t>
  </si>
  <si>
    <t xml:space="preserve">	e:\GoogleDrive\articles\culture generale\web graphs.ps				</t>
  </si>
  <si>
    <t xml:space="preserve">9f8c14189305a41e2eb92778145eab29	</t>
  </si>
  <si>
    <t xml:space="preserve">	e:\GoogleDrive\articles\(ebook) selesnick burrus - Digital Signal Processing Handbook\59.pdf				</t>
  </si>
  <si>
    <t xml:space="preserve">9f8c5449b7af85fd29fb535011b58ef6	</t>
  </si>
  <si>
    <t xml:space="preserve">	e:\GoogleDrive\articles\mn480 - computational techniques\chapt4.pdf				</t>
  </si>
  <si>
    <t xml:space="preserve">9fa5e6d48a66e7aacacad87f64c75f23	</t>
  </si>
  <si>
    <t xml:space="preserve">	e:\GoogleDrive\articles\(ebook) Go - cho-3-advanced-mobile.pdf				</t>
  </si>
  <si>
    <t xml:space="preserve">9faa0b9a7bfec3bc8eeb9e702fdd5804	</t>
  </si>
  <si>
    <t xml:space="preserve">	e:\GoogleDrive\articles\(eBook) - ingles analysis of algorithms\capitulo15-ingles.pdf				</t>
  </si>
  <si>
    <t xml:space="preserve">9fab7f685145ea182c149dc85783675f	</t>
  </si>
  <si>
    <t xml:space="preserve">	e:\GoogleDrive\articles\Andrea Petrelli Jun Zhang Olivia Siu Rupak Chatterjee Vivek Kapoor - Opt	ima	l Dy	na	mic Hedging of Cliquets.pdf</t>
  </si>
  <si>
    <t xml:space="preserve">9fb1a31c54f20f61459407af336537bf	</t>
  </si>
  <si>
    <t xml:space="preserve">	e:\GoogleDrive\articles\wilmott\0705_das.pdf				</t>
  </si>
  <si>
    <t xml:space="preserve">9fb481c77182d13c2872996590bd14ba	</t>
  </si>
  <si>
    <t xml:space="preserve">	e:\GoogleDrive\articles\info - graphics\Lankinen - 3D Surface Modeling From Point Clouds.pdf				</t>
  </si>
  <si>
    <t xml:space="preserve">9fc5a799b919172f766fcd001b880113	</t>
  </si>
  <si>
    <t xml:space="preserve">	e:\GoogleDrive\articles\lecture\Lecture6.pdf				</t>
  </si>
  <si>
    <t xml:space="preserve">9fc96e35303487489b4e82e0c93ca96b	</t>
  </si>
  <si>
    <t xml:space="preserve">	e:\GoogleDrive\articles\culture generale\economics\lecture\reading\ch12 - animal.pdf				</t>
  </si>
  <si>
    <t xml:space="preserve">a0067b89639ba98db4578f1c7e0a3651	</t>
  </si>
  <si>
    <t xml:space="preserve">	e:\GoogleDrive\articles\exercices wt corrections - differential equations 4.pdf				</t>
  </si>
  <si>
    <t xml:space="preserve">a01529be0ee07bf944c0413fedeed9b6	</t>
  </si>
  <si>
    <t xml:space="preserve">	e:\GoogleDrive\articles\wilmott\0411_zhabin.pdf				</t>
  </si>
  <si>
    <t xml:space="preserve">a01e7c080f7a0463cfa4aef5828d09d4	</t>
  </si>
  <si>
    <t xml:space="preserve">	e:\GoogleDrive\articles\wilmott\0607_brown.pdf				</t>
  </si>
  <si>
    <t xml:space="preserve">a01ea6fcd48c0f053683a2e4840bf8df	</t>
  </si>
  <si>
    <t xml:space="preserve">	e:\GoogleDrive\articles\anagrammer\backuper.hcs				</t>
  </si>
  <si>
    <t xml:space="preserve">a023c56820cfd2fcb49b62e35ce34c2c	</t>
  </si>
  <si>
    <t xml:space="preserve">	e:\GoogleDrive\articles\data mining\ECMLPKDD2004\images\sponsors\logoregionetoscana.jpg				</t>
  </si>
  <si>
    <t xml:space="preserve">a024406fce2610b103b5843568f3b766	</t>
  </si>
  <si>
    <t xml:space="preserve">	e:\GoogleDrive\articles\global risk 2007\day3\P.J. van der Sluis.zip				</t>
  </si>
  <si>
    <t xml:space="preserve">a02df68f1dd0c95d5b25389e9be0d2a6	</t>
  </si>
  <si>
    <t xml:space="preserve">	e:\GoogleDrive\articles\info - algo\abaza Harrisona - Ear Recognition A Complete System.pdf				</t>
  </si>
  <si>
    <t xml:space="preserve">a065ef7a3e5fce48d845ca9d97506354	</t>
  </si>
  <si>
    <t xml:space="preserve">	e:\GoogleDrive\articles\Hunor Albert-Lorincz Revital Vision Application.pdf				</t>
  </si>
  <si>
    <t xml:space="preserve">a0725db437df8056f532b19ccc7f05e9	</t>
  </si>
  <si>
    <t xml:space="preserve">	e:\GoogleDrive\articles\minenna - the detection of market abuse.pdf				</t>
  </si>
  <si>
    <t xml:space="preserve">a07a8a64df1f4a5072e75b1f102382c5	</t>
  </si>
  <si>
    <t xml:space="preserve">	e:\GoogleDrive\articles\wilmott\0411_bookclub.pdf				</t>
  </si>
  <si>
    <t xml:space="preserve">a09625a38bfe057f9a5d66607263fe6a	</t>
  </si>
  <si>
    <t xml:space="preserve">	e:\GoogleDrive\articles\(phd) hunor\phd\figures\ensemblisation.eps				</t>
  </si>
  <si>
    <t xml:space="preserve">a0b4beb38ca2c97cd005f687c770dc64	</t>
  </si>
  <si>
    <t xml:space="preserve">	e:\GoogleDrive\articles\david cliff - further exploration in the evolutionary design of trading agen	ts	and	on	line auction-market mechanisms.pdf</t>
  </si>
  <si>
    <t xml:space="preserve">a0ce5d0ba35bf561be41ffc864e8556f	</t>
  </si>
  <si>
    <t xml:space="preserve">	e:\GoogleDrive\articles\maths\copula.pdf				</t>
  </si>
  <si>
    <t xml:space="preserve">a0dcc30440c8cd83a455a29d1f30edc0	</t>
  </si>
  <si>
    <t xml:space="preserve">	e:\GoogleDrive\articles\numericalR\c10-0 Minimization maximisation.pdf				</t>
  </si>
  <si>
    <t xml:space="preserve">a0e89fdbae47b16114f3eea96c9aeb5e	</t>
  </si>
  <si>
    <t xml:space="preserve">	e:\GoogleDrive\articles\wilmott\0503_lyceum.pdf				</t>
  </si>
  <si>
    <t xml:space="preserve">a0fb250226df4076927f3da5072b1755	</t>
  </si>
  <si>
    <t xml:space="preserve">	e:\GoogleDrive\articles\brownian bridge\sp.pdf				</t>
  </si>
  <si>
    <t xml:space="preserve">a10c9190898d04e9991a30b0f852f0b2	</t>
  </si>
  <si>
    <t xml:space="preserve">	e:\GoogleDrive\articles\wilmott\0405_ayache.pdf				</t>
  </si>
  <si>
    <t xml:space="preserve">a10ddcf1cca8e442c0a9197a75c4fb8e	</t>
  </si>
  <si>
    <t xml:space="preserve">	e:\GoogleDrive\articles\wilmott\0703_xenomorph.pdf				</t>
  </si>
  <si>
    <t xml:space="preserve">a1112e190b8afbea934d1588eea1b1e2	</t>
  </si>
  <si>
    <t xml:space="preserve">	e:\GoogleDrive\articles\Giles  - Monte Carlo evaluation of sensitivities in computational finance(20	07)	.pdf		</t>
  </si>
  <si>
    <t xml:space="preserve">a115ea98a05ef256a2dc486c582f8928	</t>
  </si>
  <si>
    <t xml:space="preserve">	e:\GoogleDrive\articles\milne\math594g - group theory.pdf				</t>
  </si>
  <si>
    <t xml:space="preserve">a12207940d6c593072af1e4c0c32e239	</t>
  </si>
  <si>
    <t xml:space="preserve">	e:\GoogleDrive\articles\joshi&amp;kaith_nthtodefault_greeks.pdf				</t>
  </si>
  <si>
    <t xml:space="preserve">a12931f5e768c9343702c15593fd7d14	</t>
  </si>
  <si>
    <t xml:space="preserve">	e:\GoogleDrive\articles\info - algo\(phd) hoppe - Surface Reconstruction from Unorganized Points.pdf				</t>
  </si>
  <si>
    <t xml:space="preserve">a129eddbc7dc8c4410f7a63ce6bbdf28	</t>
  </si>
  <si>
    <t xml:space="preserve">	e:\GoogleDrive\articles\wilmott\0601_osband.pdf				</t>
  </si>
  <si>
    <t xml:space="preserve">a137b66f50d0a62279a642479a1241d6	</t>
  </si>
  <si>
    <t xml:space="preserve">	e:\GoogleDrive\articles\info - algo\Analysis of an On-line Random Number Generator.pdf				</t>
  </si>
  <si>
    <t xml:space="preserve">a147b1ba09259e3e40c0bf08b0ba8e01	</t>
  </si>
  <si>
    <t xml:space="preserve">	e:\GoogleDrive\articles\(eBook) - Jackel\Halton\PrimeNumbers.cpp				</t>
  </si>
  <si>
    <t xml:space="preserve">a150eda34566b21c0521759df8efedb4	</t>
  </si>
  <si>
    <t xml:space="preserve">	e:\GoogleDrive\articles\The Performance of Multi-Factor Term Structure Models for Pricing and Hedgin	g C	aps	an	d Swaptions.pdf</t>
  </si>
  <si>
    <t xml:space="preserve">	e:\GoogleDrive\articles\a classer\multifactor_models.pdf				</t>
  </si>
  <si>
    <t xml:space="preserve">a151bf00c692bba3441dd36aaef025ea	</t>
  </si>
  <si>
    <t xml:space="preserve">	e:\GoogleDrive\articles\imf publications\world economic outlook 2003 septembre\chapter3.pdf				</t>
  </si>
  <si>
    <t xml:space="preserve">a15220f5a7c9094b943c41d34411853f	</t>
  </si>
  <si>
    <t xml:space="preserve">	e:\GoogleDrive\articles\joe kuo - Notes on generating Sobol sequences (2008).pdf				</t>
  </si>
  <si>
    <t xml:space="preserve">a15488eb5ab9255636efb5125fb81693	</t>
  </si>
  <si>
    <t xml:space="preserve">	e:\GoogleDrive\articles\morini webber - an EZI method to reduce the rank of the correlation matrix.	pdf			</t>
  </si>
  <si>
    <t xml:space="preserve">a17388d7a0e16168ac0127cce3151bca	</t>
  </si>
  <si>
    <t xml:space="preserve">	e:\GoogleDrive\articles\pelsser - mathematical foundation of convexity correction.pdf				</t>
  </si>
  <si>
    <t xml:space="preserve">a18b9271e6b8d413af6f03f1a1d9cc33	</t>
  </si>
  <si>
    <t xml:space="preserve">	e:\GoogleDrive\articles\culture generale\chapter11 - graph theory.ps				</t>
  </si>
  <si>
    <t xml:space="preserve">	e:\GoogleDrive\articles\maths\CS683 - Advanced algorithms\lec11.ps				</t>
  </si>
  <si>
    <t xml:space="preserve">a19a2a30f15f65fe9a24c8132a099e22	</t>
  </si>
  <si>
    <t xml:space="preserve">	e:\GoogleDrive\articles\wilmott\0605_fincad.pdf				</t>
  </si>
  <si>
    <t xml:space="preserve">a19d8a85be7da7d8202b5743f091740c	</t>
  </si>
  <si>
    <t xml:space="preserve">	e:\GoogleDrive\articles\schonbucher - a note on survival measures and the pricing of options on cred	it	defa	ul	t swaps.pdf</t>
  </si>
  <si>
    <t xml:space="preserve">a1a243f984d2b1f824021b0200007275	</t>
  </si>
  <si>
    <t xml:space="preserve">	e:\GoogleDrive\articles\(eBook) - statistical methods\chapter02.pdf				</t>
  </si>
  <si>
    <t xml:space="preserve">a1a266d2b67ab65f425187aa4fa8f275	</t>
  </si>
  <si>
    <t xml:space="preserve">	e:\GoogleDrive\articles\(eBook) - ingles analysis of algorithms\capitulo6-ingles.pdf				</t>
  </si>
  <si>
    <t xml:space="preserve">a1ebb01e177b0e83c39ba1a53773936a	</t>
  </si>
  <si>
    <t xml:space="preserve">	e:\GoogleDrive\articles\maths\book - factor analysis.pdf				</t>
  </si>
  <si>
    <t xml:space="preserve">a1f734150cf6ef5eaa3264787d5e3b86	</t>
  </si>
  <si>
    <t xml:space="preserve">	e:\GoogleDrive\articles\imf publications\wp03200.pdf				</t>
  </si>
  <si>
    <t xml:space="preserve">a215be8e67b8e8106587ac8147a72ecd	</t>
  </si>
  <si>
    <t xml:space="preserve">	e:\GoogleDrive\articles\wilmott\0507_jandarasz.pdf				</t>
  </si>
  <si>
    <t xml:space="preserve">a21f65e75643383ff39bded545d1dceb	</t>
  </si>
  <si>
    <t xml:space="preserve">	e:\GoogleDrive\articles\(ebook) - a non random walk down Wall street\chapt2.pdf				</t>
  </si>
  <si>
    <t xml:space="preserve">a227d63418222136767f2c3ecbed51f3	</t>
  </si>
  <si>
    <t xml:space="preserve">	e:\GoogleDrive\articles\(ebook) Bernheim Whinston - Microeconomics.pdf				</t>
  </si>
  <si>
    <t xml:space="preserve">a22a2a142ef069e49d4ee3617fd528e9	</t>
  </si>
  <si>
    <t xml:space="preserve">	e:\GoogleDrive\articles\wilmott\0211_carreviews.pdf				</t>
  </si>
  <si>
    <t xml:space="preserve">a25c2bffc35611ae8b29da1fa13af617	</t>
  </si>
  <si>
    <t xml:space="preserve">	e:\GoogleDrive\articles\WBS IR modelling Course\IR Modelling\IR2.4Morini_103.pdf				</t>
  </si>
  <si>
    <t xml:space="preserve">a2640496986115bd230868a4ce85fc8e	</t>
  </si>
  <si>
    <t xml:space="preserve">	e:\GoogleDrive\articles\(lecture notes) zeituomi - random walks in random environments.ps				</t>
  </si>
  <si>
    <t xml:space="preserve">a278cf0a0e887336ca913e4bdaff243e	</t>
  </si>
  <si>
    <t xml:space="preserve">	e:\GoogleDrive\articles\martinez velho carvalho - Computing Geodesics on Triangular Meshes (2005).	pdf			</t>
  </si>
  <si>
    <t xml:space="preserve">	e:\GoogleDrive\articles\info - graphics\martinez velho carvalho - Computing Geodesics on Triangula	r m	eshe	s	(2005).pdf</t>
  </si>
  <si>
    <t xml:space="preserve">a27e0a58b0c6253f53788d958859b29a	</t>
  </si>
  <si>
    <t xml:space="preserve">	e:\GoogleDrive\articles\wilmott\2002_09_78to83_Storing_Arb.pdf				</t>
  </si>
  <si>
    <t xml:space="preserve">a2857884c1b9d48f8241bc0cb2967c6b	</t>
  </si>
  <si>
    <t xml:space="preserve">	e:\GoogleDrive\articles\culture generale\economics\macroeconomics\LN_ch12.pdf				</t>
  </si>
  <si>
    <t xml:space="preserve">a2b45c346ddb15f0d8201920c8ec2095	</t>
  </si>
  <si>
    <t xml:space="preserve">	e:\GoogleDrive\articles\Notes on Elementary Number Theory\01 - ringint.ps				</t>
  </si>
  <si>
    <t xml:space="preserve">a2bb3fda248502b156769472a9d08cc6	</t>
  </si>
  <si>
    <t xml:space="preserve">	e:\GoogleDrive\articles\(phd) hunor\phd\figures\treesab.eps				</t>
  </si>
  <si>
    <t xml:space="preserve">a2cc2886eaa19b002c06327bf8e34271	</t>
  </si>
  <si>
    <t xml:space="preserve">	e:\GoogleDrive\articles\data mining\ECMLPKDD2004\workshops\W9.pdf				</t>
  </si>
  <si>
    <t xml:space="preserve">a2d2972569bd672071d0ee045cfb70df	</t>
  </si>
  <si>
    <t xml:space="preserve">	e:\GoogleDrive\articles\maths sp‚\chapitre08 - integrale generalisee.pdf				</t>
  </si>
  <si>
    <t xml:space="preserve">a2e76bf7137ce18ed412c500419a5d37	</t>
  </si>
  <si>
    <t xml:space="preserve">	e:\GoogleDrive\articles\hbr - Creativity and the Role of the Leader.doc				</t>
  </si>
  <si>
    <t xml:space="preserve">a2ff37854665332b9f71558ad4956004	</t>
  </si>
  <si>
    <t xml:space="preserve">	e:\GoogleDrive\articles\latex files\figures\sensitivity.gnu				</t>
  </si>
  <si>
    <t xml:space="preserve">a301da6e3f55f4ddf009dad784495193	</t>
  </si>
  <si>
    <t xml:space="preserve">	e:\GoogleDrive\articles\numericalR\c7-2.pdf				</t>
  </si>
  <si>
    <t xml:space="preserve">a3718d26a58917f0c360fea4089a1b23	</t>
  </si>
  <si>
    <t xml:space="preserve">	e:\GoogleDrive\articles\numericalR\c5-6.pdf				</t>
  </si>
  <si>
    <t xml:space="preserve">a377ef85c2fa20f6e15a2566b0ffc7f8	</t>
  </si>
  <si>
    <t xml:space="preserve">	e:\GoogleDrive\articles\wilmott\0401_bookclub.pdf				</t>
  </si>
  <si>
    <t xml:space="preserve">a384a879f34b2270956df030aedbf629	</t>
  </si>
  <si>
    <t xml:space="preserve">	e:\GoogleDrive\articles\info - algo\becker - On the Tension Between Object-Oriented and Programming	in	C+ .	do	c</t>
  </si>
  <si>
    <t xml:space="preserve">a39929fc2a0fe9590d9edfd42ef9bd70	</t>
  </si>
  <si>
    <t xml:space="preserve">	e:\GoogleDrive\articles\(ebook) selesnick burrus - Digital Signal Processing Handbook\17.pdf				</t>
  </si>
  <si>
    <t xml:space="preserve">a3a16268c9da59b24eaa4a24b2181974	</t>
  </si>
  <si>
    <t xml:space="preserve">	e:\GoogleDrive\articles\numericalR\c11-2.pdf				</t>
  </si>
  <si>
    <t xml:space="preserve">a3b57d68b9705dbeab39edb91906880d	</t>
  </si>
  <si>
    <t xml:space="preserve">	e:\GoogleDrive\articles\Interest Rate Hybrid 6.pdf				</t>
  </si>
  <si>
    <t xml:space="preserve">a3b59a4f5bc3d50febb573768aae3fde	</t>
  </si>
  <si>
    <t xml:space="preserve">	e:\GoogleDrive\articles\wilmott\wilmott cliquet.zip				</t>
  </si>
  <si>
    <t xml:space="preserve">a3d1460121beed2bfdb1165dc3f67a27	</t>
  </si>
  <si>
    <t xml:space="preserve">	e:\GoogleDrive\articles\lewis book - Ch6.pdf				</t>
  </si>
  <si>
    <t xml:space="preserve">a3f95fc6ec0ab551ca14fdffad234011	</t>
  </si>
  <si>
    <t xml:space="preserve">	e:\GoogleDrive\articles\numericalR\c7-0 random numbers.pdf				</t>
  </si>
  <si>
    <t xml:space="preserve">a4056cae326dd1d16c9c7437c659502a	</t>
  </si>
  <si>
    <t xml:space="preserve">	e:\GoogleDrive\articles\gc-full.pdf				</t>
  </si>
  <si>
    <t xml:space="preserve">a41d4bf15b45eb3083976e8a8b853694	</t>
  </si>
  <si>
    <t xml:space="preserve">	e:\GoogleDrive\articles\data mining\ECMLPKDD2004\images\sponsors\style.css				</t>
  </si>
  <si>
    <t xml:space="preserve">a41e53afa5508b0c0810a51a25c6c0a6	</t>
  </si>
  <si>
    <t xml:space="preserve">	e:\GoogleDrive\articles\numericalR\c13-2.pdf				</t>
  </si>
  <si>
    <t xml:space="preserve">a426c7048996e95a50603900326101a8	</t>
  </si>
  <si>
    <t xml:space="preserve">	e:\GoogleDrive\articles\(ebook) - Analyse numerique\chap3.pdf				</t>
  </si>
  <si>
    <t xml:space="preserve">a430fc755b014c4da898adff97c79eec	</t>
  </si>
  <si>
    <t xml:space="preserve">	e:\GoogleDrive\articles\data mining\ECMLPKDD2004\images\sponsors\logocoop.gif				</t>
  </si>
  <si>
    <t xml:space="preserve">a43f5a86d3a0ac29302b88ba0f5eb224	</t>
  </si>
  <si>
    <t xml:space="preserve">	e:\GoogleDrive\articles\Sandmann Sondermann - On The Stability Of Log-Normal Interest Rate Models A	nd	The	Pr	icing Of Eurodollar Futures(1995).pdf</t>
  </si>
  <si>
    <t xml:space="preserve">a44821cbd88677737f1683a9048ed608	</t>
  </si>
  <si>
    <t xml:space="preserve">	e:\GoogleDrive\articles\wilmott\0711_microsoft.pdf				</t>
  </si>
  <si>
    <t xml:space="preserve">a46929e491b177f14aa3d60f77488910	</t>
  </si>
  <si>
    <t xml:space="preserve">	e:\GoogleDrive\articles\global risk 2007\day2\12.15 Tourkine FINAL.zip				</t>
  </si>
  <si>
    <t xml:space="preserve">a47b3a649f8011234ab3cd6d683f0824	</t>
  </si>
  <si>
    <t xml:space="preserve">	e:\GoogleDrive\articles\numericalR\c13-6.pdf				</t>
  </si>
  <si>
    <t xml:space="preserve">a496a72ff1a09cfaf6fbc2292f292197	</t>
  </si>
  <si>
    <t xml:space="preserve">	e:\GoogleDrive\articles\wilmott\0711_steeltown.pdf				</t>
  </si>
  <si>
    <t xml:space="preserve">a49896a0c5bad7399d0e294211653c1a	</t>
  </si>
  <si>
    <t xml:space="preserve">	e:\GoogleDrive\articles\(ebook) gillian m davies - noise reduction in speach applications.pdf				</t>
  </si>
  <si>
    <t xml:space="preserve">a4a248793e0eca75f146f5f65a3218bd	</t>
  </si>
  <si>
    <t xml:space="preserve">	e:\GoogleDrive\articles\a classer\Sports\Hoffman - Periodized training for the strength and power at	hle	te.p	df	</t>
  </si>
  <si>
    <t xml:space="preserve">a4db2779dcde11976d96a08558b13937	</t>
  </si>
  <si>
    <t xml:space="preserve">	e:\GoogleDrive\articles\wilmott\0311_carreviews.pdf				</t>
  </si>
  <si>
    <t xml:space="preserve">a4dee0e4d246186ccce09c1f2dc9d7b9	</t>
  </si>
  <si>
    <t xml:space="preserve">	e:\GoogleDrive\articles\(ebook) selesnick burrus - Digital Signal Processing Handbook\50.pdf				</t>
  </si>
  <si>
    <t xml:space="preserve">a4f043ed0ebafa1cf6fcb7fa297ced3c	</t>
  </si>
  <si>
    <t xml:space="preserve">	e:\GoogleDrive\articles\Rebonato - on the simultaneous calibration of multi-factor log normal intere	st-	rate	m	odels to Black volatilities and to the correlation matrix.pdf</t>
  </si>
  <si>
    <t xml:space="preserve">a501f14feff057d436bb46947285044e	</t>
  </si>
  <si>
    <t xml:space="preserve">	e:\GoogleDrive\articles\wilmott\0803_editorial.pdf				</t>
  </si>
  <si>
    <t xml:space="preserve">a5148a29238e0e1da5c88f5f45726625	</t>
  </si>
  <si>
    <t xml:space="preserve">	e:\GoogleDrive\articles\Cout_capital_C5.pdf				</t>
  </si>
  <si>
    <t xml:space="preserve">a5228e52ed8d1f3813a133485dc492e3	</t>
  </si>
  <si>
    <t xml:space="preserve">	e:\GoogleDrive\articles\klaus abe.ppt				</t>
  </si>
  <si>
    <t xml:space="preserve">a575369c3889ef9220e4ae734016c8cf	</t>
  </si>
  <si>
    <t xml:space="preserve">	e:\GoogleDrive\articles\wilmott\0307_bookclub.pdf				</t>
  </si>
  <si>
    <t xml:space="preserve">a58c9d73804d842f6e3d9442c612c8b6	</t>
  </si>
  <si>
    <t xml:space="preserve">	e:\GoogleDrive\articles\wilmott\0601_brown.pdf				</t>
  </si>
  <si>
    <t xml:space="preserve">a5a878df942585026b0f35b73c1d234e	</t>
  </si>
  <si>
    <t xml:space="preserve">	e:\GoogleDrive\articles\mark rubinstein\Forward-Start Options .doc				</t>
  </si>
  <si>
    <t xml:space="preserve">a5abec67e6107160775dce8ad93cf681	</t>
  </si>
  <si>
    <t xml:space="preserve">	e:\GoogleDrive\articles\Rebonato - A time-homogeneous SABR-consistent extension of the LMM (2007).p	df			</t>
  </si>
  <si>
    <t xml:space="preserve">a5c79e52b5b75e0b4a54103db7d7ac80	</t>
  </si>
  <si>
    <t xml:space="preserve">	e:\GoogleDrive\articles\(eBook) - Trfethen\5 - all.pdf				</t>
  </si>
  <si>
    <t xml:space="preserve">a5cf6f1bdaa4b13975c4f6f70e182391	</t>
  </si>
  <si>
    <t xml:space="preserve">	e:\GoogleDrive\articles\journal of computational finance\v12n2a4.pdf				</t>
  </si>
  <si>
    <t xml:space="preserve">a5dda59ecc7727c91ec182ec3808113b	</t>
  </si>
  <si>
    <t xml:space="preserve">	e:\GoogleDrive\articles\wilmott\0411_unrisk2.pdf				</t>
  </si>
  <si>
    <t xml:space="preserve">a5e156e2d8d854a5db6e5889c0e54a65	</t>
  </si>
  <si>
    <t xml:space="preserve">	e:\GoogleDrive\articles\un cours de calcul stochastique\backuper.hcs				</t>
  </si>
  <si>
    <t xml:space="preserve">a5ebbbe0347088360553d036e55c59d8	</t>
  </si>
  <si>
    <t xml:space="preserve">	e:\GoogleDrive\articles\data mining\ECMLPKDD2004\discovery.html				</t>
  </si>
  <si>
    <t xml:space="preserve">a60125576544c021c49cd50e09992681	</t>
  </si>
  <si>
    <t xml:space="preserve">	e:\GoogleDrive\articles\latex files\Statistical Estimation\StatisticalEstimation.tex				</t>
  </si>
  <si>
    <t xml:space="preserve">a61e0389b8dc9b0d9ecb5c1dd9bd640d	</t>
  </si>
  <si>
    <t xml:space="preserve">	e:\GoogleDrive\articles\wilmott\0405_thorp.pdf				</t>
  </si>
  <si>
    <t xml:space="preserve">a622f7e63a6bc319c35d7481d2323599	</t>
  </si>
  <si>
    <t xml:space="preserve">	e:\GoogleDrive\articles\kleinert - path integrals 07.pdf				</t>
  </si>
  <si>
    <t xml:space="preserve">a62db686331ff73b0523b3a0cd71b7bc	</t>
  </si>
  <si>
    <t xml:space="preserve">	e:\GoogleDrive\articles\(phd) hunor\phd\these.ind				</t>
  </si>
  <si>
    <t xml:space="preserve">a635afc58a050dc818013a8e1fa53f96	</t>
  </si>
  <si>
    <t xml:space="preserve">	e:\GoogleDrive\articles\Overnight Indexed Swaps.pdf				</t>
  </si>
  <si>
    <t xml:space="preserve">a6465f974987b1cdcf6f17bbde4a9a4f	</t>
  </si>
  <si>
    <t xml:space="preserve">	e:\GoogleDrive\articles\(phd) hunor\phd\hackle\ICDM'03\sigproc-sp.tex				</t>
  </si>
  <si>
    <t xml:space="preserve">a68eef23020e670ae702e63e894b0b10	</t>
  </si>
  <si>
    <t xml:space="preserve">	e:\GoogleDrive\articles\global risk 2007\day2\John Crosby.zip				</t>
  </si>
  <si>
    <t xml:space="preserve">a68ef3435373ac650df93dcdc6c8e893	</t>
  </si>
  <si>
    <t xml:space="preserve">	e:\GoogleDrive\articles\(phd) hunor\phd\hackle\ICDM'03\sigkkdd.pdf				</t>
  </si>
  <si>
    <t xml:space="preserve">a6a03d8ea45a7d8f617091c5e893604c	</t>
  </si>
  <si>
    <t xml:space="preserve">	e:\GoogleDrive\articles\(ebook) george Frey - mesh generation (2008).pdf				</t>
  </si>
  <si>
    <t xml:space="preserve">a6a8cf3d3fec7f9ec30d906b1201c9e4	</t>
  </si>
  <si>
    <t xml:space="preserve">	e:\GoogleDrive\articles\latex files\Corridors\fig_corridor.ppt				</t>
  </si>
  <si>
    <t xml:space="preserve">a6addffefce941df0e66b127b2a17a45	</t>
  </si>
  <si>
    <t xml:space="preserve">	e:\GoogleDrive\articles\cheyette - Interest Rate Models.pdf				</t>
  </si>
  <si>
    <t xml:space="preserve">a6c062e645fb45b3a9ec54cf57dddd30	</t>
  </si>
  <si>
    <t xml:space="preserve">	e:\GoogleDrive\articles\antonov - Exposure &amp; CVA for Large Portfolios of Vanilla Swaps.pdf				</t>
  </si>
  <si>
    <t xml:space="preserve">a6ed1d1c7f402b75f5e968500835ca1a	</t>
  </si>
  <si>
    <t xml:space="preserve">	e:\GoogleDrive\articles\Gatheral - Lecture5_Fall2002.pdf				</t>
  </si>
  <si>
    <t xml:space="preserve">a6f335fa8ab988299485c6c39152374d	</t>
  </si>
  <si>
    <t xml:space="preserve">	e:\GoogleDrive\articles\wilmott\0501_carreviews.pdf				</t>
  </si>
  <si>
    <t xml:space="preserve">a705118210f3474f947a66b516e674ff	</t>
  </si>
  <si>
    <t xml:space="preserve">	e:\GoogleDrive\articles\data mining\ECMLPKDD2004\covers\W10.pdf				</t>
  </si>
  <si>
    <t xml:space="preserve">a70a07cba58c5c6247f32730fa7fd445	</t>
  </si>
  <si>
    <t xml:space="preserve">	e:\GoogleDrive\articles\CorrelationUncertaintyReserveMethodology.pdf				</t>
  </si>
  <si>
    <t xml:space="preserve">a70ceab984ce026f446947a7fdb93e1e	</t>
  </si>
  <si>
    <t xml:space="preserve">	e:\GoogleDrive\articles\(ebook) - Handbook of applied cryptography\chap14.pdf				</t>
  </si>
  <si>
    <t xml:space="preserve">a7328bd7d04958ba5200bf6cfbda14bf	</t>
  </si>
  <si>
    <t xml:space="preserve">	e:\GoogleDrive\articles\(lecture notes) financial maths\New Text Document.txt				</t>
  </si>
  <si>
    <t xml:space="preserve">	e:\GoogleDrive\articles\lecture (financial mathematics)\New Text Document.txt				</t>
  </si>
  <si>
    <t xml:space="preserve">a737dab1f32a80ee5725b92d23fb4a1d	</t>
  </si>
  <si>
    <t xml:space="preserve">	e:\GoogleDrive\articles\highdimfinance.pdf				</t>
  </si>
  <si>
    <t xml:space="preserve">a7572cb98b54b306d7dfeb3cebafcf73	</t>
  </si>
  <si>
    <t xml:space="preserve">	e:\GoogleDrive\articles\he wang - on the optimal parking problem.pdf				</t>
  </si>
  <si>
    <t xml:space="preserve">a75c103f34d778a6aa4855309cfea587	</t>
  </si>
  <si>
    <t xml:space="preserve">	e:\GoogleDrive\articles\bellando  colletaz - extraire d'information a partir des pr.pdf				</t>
  </si>
  <si>
    <t xml:space="preserve">	e:\GoogleDrive\articles\bellando colletaz - extraire d'information a partir des pr.pdf				</t>
  </si>
  <si>
    <t xml:space="preserve">a7763e42da6c09709785df224bd467bc	</t>
  </si>
  <si>
    <t xml:space="preserve">	e:\GoogleDrive\articles\bownian motion.pdf				</t>
  </si>
  <si>
    <t xml:space="preserve">a78c69c73e8e6c8f57893acf3cb3411e	</t>
  </si>
  <si>
    <t xml:space="preserve">	e:\GoogleDrive\articles\culture generale\kenneth rogoff - The mirage of fixed exchange rates - prn.p	df			</t>
  </si>
  <si>
    <t xml:space="preserve">a7af3242aa2e9870f6f6c74c3199eb44	</t>
  </si>
  <si>
    <t xml:space="preserve">	e:\GoogleDrive\articles\kohn - sde\section1.ps				</t>
  </si>
  <si>
    <t xml:space="preserve">a7b4d477a06ee14c16b0aade22258e45	</t>
  </si>
  <si>
    <t xml:space="preserve">	e:\GoogleDrive\articles\maths\semidefinite programming\Chapter2.pdf				</t>
  </si>
  <si>
    <t xml:space="preserve">a7c226f8c72c330ab8a0bde3820e82ce	</t>
  </si>
  <si>
    <t xml:space="preserve">	e:\GoogleDrive\articles\wystup - figures uocallgamma_c.ps				</t>
  </si>
  <si>
    <t xml:space="preserve">a7c7105a6942a8b17dd95f323774afd9	</t>
  </si>
  <si>
    <t xml:space="preserve">	e:\GoogleDrive\articles\numericalR\c5-2.pdf				</t>
  </si>
  <si>
    <t xml:space="preserve">a7c90e83d989ef7f63ef45e23b93286b	</t>
  </si>
  <si>
    <t xml:space="preserve">	e:\GoogleDrive\articles\wilmott\0609_sepp.pdf				</t>
  </si>
  <si>
    <t xml:space="preserve">a7e4d8df3c9597e1a6cb9badf68b4b0b	</t>
  </si>
  <si>
    <t xml:space="preserve">	e:\GoogleDrive\articles\ewma hwma.pdf				</t>
  </si>
  <si>
    <t xml:space="preserve">a7eb18e786b0f2c3298f5dab2930e9a5	</t>
  </si>
  <si>
    <t xml:space="preserve">	e:\GoogleDrive\articles\(eBook) - Oksendal - Stochastic differential equations (6ed. Springer 2003	)(I	SBN	35	40047581)(KA)(T)(385s)_MVspa_.djvu</t>
  </si>
  <si>
    <t xml:space="preserve">a8018a0e770cd2268abba5c1aecd7b01	</t>
  </si>
  <si>
    <t xml:space="preserve">	e:\GoogleDrive\articles\wilmott\0501_coverstory.pdf				</t>
  </si>
  <si>
    <t xml:space="preserve">a8058dd7065047c3b9d46d2907b6a61d	</t>
  </si>
  <si>
    <t xml:space="preserve">	e:\GoogleDrive\articles\london school of economics &amp; political science (dpt of mathemati\Solution 20	1	pdf		</t>
  </si>
  <si>
    <t xml:space="preserve">a80b99400b2db31782225c97b3c1a829	</t>
  </si>
  <si>
    <t xml:space="preserve">	e:\GoogleDrive\articles\culture generale\economics\lecture\1 - index - prn.pdf				</t>
  </si>
  <si>
    <t xml:space="preserve">a8593d5ba7cfa77998527e2f540191d0	</t>
  </si>
  <si>
    <t xml:space="preserve">	e:\GoogleDrive\articles\kleinert - path integrals 01.pdf				</t>
  </si>
  <si>
    <t xml:space="preserve">a863b17b3b9c0d70b3c7a06cd7db3983	</t>
  </si>
  <si>
    <t xml:space="preserve">	e:\GoogleDrive\articles\guan et al - Estimating Human Shape and Pose from a Single Image.pdf				</t>
  </si>
  <si>
    <t xml:space="preserve">a86ef30bfa00e269dc2aa7fe8c40402c	</t>
  </si>
  <si>
    <t xml:space="preserve">	e:\GoogleDrive\articles\global risk 2007\day2\11.30 Benhamou.zip				</t>
  </si>
  <si>
    <t xml:space="preserve">a884a1b8435ee43e81c3856a7ba85f02	</t>
  </si>
  <si>
    <t xml:space="preserve">	e:\GoogleDrive\articles\data mining\ECMLPKDD2004\covers\backuper.hcs				</t>
  </si>
  <si>
    <t xml:space="preserve">a8868a18dd8068051a4efa95cd00364b	</t>
  </si>
  <si>
    <t xml:space="preserve">	e:\GoogleDrive\articles\london school of economics &amp; political science (dpt of mathemati\Exam 2000.p	df			</t>
  </si>
  <si>
    <t xml:space="preserve">a886ab8013745f6e33c7846cbe5906d4	</t>
  </si>
  <si>
    <t xml:space="preserve">	e:\GoogleDrive\articles\Gatheral - A parsimonious arbitrage-free implied volatility parametrrization	wi	th a	pp	lication to the valuation of volatility derivatives.pdf</t>
  </si>
  <si>
    <t xml:space="preserve">	e:\GoogleDrive\articles\Gatheral - arbitrage free volatility parametrisation.pdf				</t>
  </si>
  <si>
    <t xml:space="preserve">a8899712ad53fb500e1e143ccf545279	</t>
  </si>
  <si>
    <t xml:space="preserve">	e:\GoogleDrive\articles\wilmott\0609_fincad.pdf				</t>
  </si>
  <si>
    <t xml:space="preserve">a88ff2fdc93bd2e2d8b2ef280bf37cbe	</t>
  </si>
  <si>
    <t xml:space="preserve">	e:\GoogleDrive\articles\(ebook) Go - xxqj-mobile.pdf				</t>
  </si>
  <si>
    <t xml:space="preserve">a89a237205dd0352b82409d3b420cb21	</t>
  </si>
  <si>
    <t xml:space="preserve">	e:\GoogleDrive\articles\latex files\MAR Greeks\MARGreeks.tex				</t>
  </si>
  <si>
    <t xml:space="preserve">a89b61b403d4bd0816c8b5c0c8255262	</t>
  </si>
  <si>
    <t xml:space="preserve">	e:\GoogleDrive\articles\info - graphics\Unconstrained Isosurface Extraction on Arbitrary Octrees.pdf				</t>
  </si>
  <si>
    <t xml:space="preserve">a8af5027167626bfd1b2412dbc126da8	</t>
  </si>
  <si>
    <t xml:space="preserve">	e:\GoogleDrive\articles\wilmott\0409_penaud.pdf				</t>
  </si>
  <si>
    <t xml:space="preserve">a8b1629b546acc103cd0cf30d688ddde	</t>
  </si>
  <si>
    <t xml:space="preserve">	e:\GoogleDrive\articles\journal of computational finance\v10n2a2.pdf				</t>
  </si>
  <si>
    <t xml:space="preserve">a8b19d7499235041e6c4b03050e992c9	</t>
  </si>
  <si>
    <t xml:space="preserve">	e:\GoogleDrive\articles\maths\analyse complex.zip				</t>
  </si>
  <si>
    <t xml:space="preserve">a8bf546af298755d5f39b6dacd6549e8	</t>
  </si>
  <si>
    <t xml:space="preserve">	e:\GoogleDrive\articles\NIG - KalemanovaWerner_NoteOnImplementation.pdf				</t>
  </si>
  <si>
    <t xml:space="preserve">a8cbbee1e7ea6e40f0b1d1b121a0206c	</t>
  </si>
  <si>
    <t xml:space="preserve">	e:\GoogleDrive\articles\carr - american put call symmetry.pdf				</t>
  </si>
  <si>
    <t xml:space="preserve">a8eeaf02d1fc9d5777b39b217c97ffc8	</t>
  </si>
  <si>
    <t xml:space="preserve">	e:\GoogleDrive\articles\hagan - accrualswapsrangenotes.pdf				</t>
  </si>
  <si>
    <t xml:space="preserve">a903cbb924edc9789b94e4f2c22d5dbe	</t>
  </si>
  <si>
    <t xml:space="preserve">	e:\GoogleDrive\articles\milne\math776 - AllEx.dvi				</t>
  </si>
  <si>
    <t xml:space="preserve">a92a359f05268001dcdc85183a2bef69	</t>
  </si>
  <si>
    <t xml:space="preserve">	e:\GoogleDrive\articles\mercurio pallavicini - swasption skew and convexity adjustments.pdf				</t>
  </si>
  <si>
    <t xml:space="preserve">a92bef52a7bed7ff27c2656bb419ad84	</t>
  </si>
  <si>
    <t xml:space="preserve">	e:\GoogleDrive\articles\numericalR\c10-4.pdf				</t>
  </si>
  <si>
    <t xml:space="preserve">a9445ade4d1ef501df8a58c4d067f182	</t>
  </si>
  <si>
    <t xml:space="preserve">	e:\GoogleDrive\articles\brownian bridge\trees.ps				</t>
  </si>
  <si>
    <t xml:space="preserve">a94aae78cd9c2360bf4111e1cee42a4e	</t>
  </si>
  <si>
    <t xml:space="preserve">	e:\GoogleDrive\articles\goldys musiela - lognormality of rates and term structure mo.ps				</t>
  </si>
  <si>
    <t xml:space="preserve">	e:\GoogleDrive\articles\goldys musiela - lognormality of rates and term structure models.ps				</t>
  </si>
  <si>
    <t xml:space="preserve">a96cdf2c9f2bf0b14e5603c4af92b684	</t>
  </si>
  <si>
    <t xml:space="preserve">	e:\GoogleDrive\articles\(phd) hunor\phd\these.blg				</t>
  </si>
  <si>
    <t xml:space="preserve">a979a33242f6c0e7e8ce09675698b6a2	</t>
  </si>
  <si>
    <t xml:space="preserve">	e:\GoogleDrive\articles\cours finance\cours02.ps				</t>
  </si>
  <si>
    <t xml:space="preserve">a9856dd6fee4970aef6a4007966348d3	</t>
  </si>
  <si>
    <t xml:space="preserve">	e:\GoogleDrive\articles\global risk 2007\day2\12.15 Tourkine FINAL.pdf				</t>
  </si>
  <si>
    <t xml:space="preserve">a9ac960d1e623df11921b1b36e444f5e	</t>
  </si>
  <si>
    <t xml:space="preserve">	e:\GoogleDrive\articles\eriksson - when american options are european.pdf				</t>
  </si>
  <si>
    <t xml:space="preserve">a9bac4dc21513adceaffa58db75e99ad	</t>
  </si>
  <si>
    <t xml:space="preserve">	e:\GoogleDrive\articles\wilmott\0307_careers.pdf				</t>
  </si>
  <si>
    <t xml:space="preserve">a9bfe60a0e5e02be1bccdc96909d4ea3	</t>
  </si>
  <si>
    <t xml:space="preserve">	e:\GoogleDrive\articles\(phd) hunor\neigbours\ann\ann_1.1_MS_Win32_bin.tar				</t>
  </si>
  <si>
    <t xml:space="preserve">a9cbf3406a9c760a1aa2e009286b1d16	</t>
  </si>
  <si>
    <t xml:space="preserve">	e:\GoogleDrive\articles\WBS IR modelling Course\Credit Derivatives and Hybrids\HY1.4Brigo_90.pdf				</t>
  </si>
  <si>
    <t xml:space="preserve">a9ce8bb5a6396fd46554d69d24c454c7	</t>
  </si>
  <si>
    <t xml:space="preserve">	e:\GoogleDrive\articles\maths\CS683 - Advanced algorithms\lec27.ps				</t>
  </si>
  <si>
    <t xml:space="preserve">a9df72c5a2bbe2b7198eb38bcf959d8f	</t>
  </si>
  <si>
    <t xml:space="preserve">	e:\GoogleDrive\articles\mark rubinstein\Comments on the Market Crash - 6 Months After.doc				</t>
  </si>
  <si>
    <t xml:space="preserve">a9f0fb2fb198c9ae8f933531509b644a	</t>
  </si>
  <si>
    <t xml:space="preserve">	e:\GoogleDrive\articles\latex files\Spot Measure in LMM.doc				</t>
  </si>
  <si>
    <t xml:space="preserve">a9f1c990585c4a1acf66102fa52500d3	</t>
  </si>
  <si>
    <t xml:space="preserve">	e:\GoogleDrive\articles\wilmott\0803_bookclub.pdf				</t>
  </si>
  <si>
    <t xml:space="preserve">a9fe33cc8531d3b72f7fabfb681dbe02	</t>
  </si>
  <si>
    <t xml:space="preserve">	e:\GoogleDrive\articles\wilmott\0301_drz.pdf				</t>
  </si>
  <si>
    <t xml:space="preserve">aa005ddf7d95e338fb28387d9c81e5fa	</t>
  </si>
  <si>
    <t xml:space="preserve">	e:\GoogleDrive\articles\WBS IR modelling Course\Credit Derivatives and Hybrids\HY1.3Turc_89.ppt				</t>
  </si>
  <si>
    <t xml:space="preserve">aa056825833b66387a659ae3009c154a	</t>
  </si>
  <si>
    <t xml:space="preserve">	e:\GoogleDrive\articles\(ebook) selesnick burrus - Digital Signal Processing Handbook\29.pdf				</t>
  </si>
  <si>
    <t xml:space="preserve">aa10eb373c09c0cb881197b48440246c	</t>
  </si>
  <si>
    <t xml:space="preserve">	e:\GoogleDrive\articles\wilmott\0403_staunton.pdf				</t>
  </si>
  <si>
    <t xml:space="preserve">aa127ac46c4eb180f29b07e7ba86b6de	</t>
  </si>
  <si>
    <t xml:space="preserve">	e:\GoogleDrive\articles\wilmott\0303_osband.pdf				</t>
  </si>
  <si>
    <t xml:space="preserve">aa17773f6a064597bcca2546cacd6fd8	</t>
  </si>
  <si>
    <t xml:space="preserve">	e:\GoogleDrive\articles\wilmott\2002_09_03to05_News_Reviews.pdf				</t>
  </si>
  <si>
    <t xml:space="preserve">aa181c1f6344ffc43197e58c035ffbab	</t>
  </si>
  <si>
    <t xml:space="preserve">	e:\GoogleDrive\articles\data mining\ECMLPKDD2004\images\sponsors\logoinsa.gif				</t>
  </si>
  <si>
    <t xml:space="preserve">aa2418e9081d069b6e500a1e977ebc56	</t>
  </si>
  <si>
    <t xml:space="preserve">	e:\GoogleDrive\articles\Monte Carlo Simulation In The Stochastic Analysis Of Non-Lin.pdf				</t>
  </si>
  <si>
    <t xml:space="preserve">aa2bbe67bde303fae91d59a3bb5d3e23	</t>
  </si>
  <si>
    <t xml:space="preserve">	e:\GoogleDrive\articles\(ebook) - a non random walk down Wall street\chapt4.pdf				</t>
  </si>
  <si>
    <t xml:space="preserve">aa2d81dc039958109ef2f152cfb53e7f	</t>
  </si>
  <si>
    <t xml:space="preserve">	e:\GoogleDrive\articles\lecture notes (pittman probas)\lecture9.pdf				</t>
  </si>
  <si>
    <t xml:space="preserve">aa37397567b6ce4d90b3e95d8e5f0521	</t>
  </si>
  <si>
    <t xml:space="preserve">	e:\GoogleDrive\articles\(eBook) - ingles analysis of algorithms\capitulo4-ingles.pdf				</t>
  </si>
  <si>
    <t xml:space="preserve">aa37ff2cc63b59e9db41ba1673c24a58	</t>
  </si>
  <si>
    <t xml:space="preserve">	e:\GoogleDrive\articles\Labordere - A General Asymptotic Implied Volatility for Stochastic Volatilit	y M	odel	s.	pdf</t>
  </si>
  <si>
    <t xml:space="preserve">aa50d7af90bc10adb5a4df3b1591c09c	</t>
  </si>
  <si>
    <t xml:space="preserve">	e:\GoogleDrive\articles\data mining\ECMLPKDD2004\tutorials\T6.pdf				</t>
  </si>
  <si>
    <t xml:space="preserve">aa600d053568aeed6051c4e98f087202	</t>
  </si>
  <si>
    <t xml:space="preserve">	e:\GoogleDrive\articles\bouye - copulas for finance.pdf				</t>
  </si>
  <si>
    <t xml:space="preserve">aa606fcfd45d69cb240023ebc0ed02b4	</t>
  </si>
  <si>
    <t xml:space="preserve">	e:\GoogleDrive\articles\(ebook) morters peres - Brownian motion.pdf				</t>
  </si>
  <si>
    <t xml:space="preserve">aa6526d4ab7b3ba4aeca25bf1db3e736	</t>
  </si>
  <si>
    <t xml:space="preserve">	e:\GoogleDrive\articles\wilmott\0303_editorial.pdf				</t>
  </si>
  <si>
    <t xml:space="preserve">aa6eba81635b7a95f8f86c467ba0f348	</t>
  </si>
  <si>
    <t xml:space="preserve">	e:\GoogleDrive\articles\(ebook) selesnick burrus - Digital Signal Processing Handbook\08.pdf				</t>
  </si>
  <si>
    <t xml:space="preserve">aa735d60c5a233fe420736c92c0dde18	</t>
  </si>
  <si>
    <t xml:space="preserve">	e:\GoogleDrive\articles\info - algo\cgal - Lutz kettner - Tutorial I Programming with CGAL.ps				</t>
  </si>
  <si>
    <t xml:space="preserve">aa7e5a4e5b3f7a3ce911668d25c64113	</t>
  </si>
  <si>
    <t xml:space="preserve">	e:\GoogleDrive\articles\wilmott\0607_staunton.pdf				</t>
  </si>
  <si>
    <t xml:space="preserve">aa8387e5e9ef0384e7f711e668102380	</t>
  </si>
  <si>
    <t xml:space="preserve">	e:\GoogleDrive\articles\lecture notes (pittman probas)\lecture6.pdf				</t>
  </si>
  <si>
    <t xml:space="preserve">aa98dd7a13debdd764d4245ddc9c68b3	</t>
  </si>
  <si>
    <t xml:space="preserve">	e:\GoogleDrive\articles\journal of computational finance\v11n2a1.pdf				</t>
  </si>
  <si>
    <t xml:space="preserve">aaaa85860a1589aac0949040171a8953	</t>
  </si>
  <si>
    <t xml:space="preserve">	e:\GoogleDrive\articles\DeRose Kass Truong - Subdivision surfaces in character animation SIGGRAPH	19	98.p	df	</t>
  </si>
  <si>
    <t xml:space="preserve">aad235e28c718212925fc30ffc9d8a48	</t>
  </si>
  <si>
    <t xml:space="preserve">	e:\GoogleDrive\articles\douglas jones - Fast Convolution.pdf				</t>
  </si>
  <si>
    <t xml:space="preserve">aad8fbd259a14246146b6891ccee3eaf	</t>
  </si>
  <si>
    <t xml:space="preserve">	e:\GoogleDrive\articles\crosby - commodity options.pdf				</t>
  </si>
  <si>
    <t xml:space="preserve">aaf9ca9178c98e368a96c70a20d948f8	</t>
  </si>
  <si>
    <t xml:space="preserve">	e:\GoogleDrive\articles\maths - trig04.bmp				</t>
  </si>
  <si>
    <t xml:space="preserve">aafb439bec483af8aa119689b325c341	</t>
  </si>
  <si>
    <t xml:space="preserve">	e:\GoogleDrive\articles\stanford - convex optimisation\bv_cvxbook.pdf				</t>
  </si>
  <si>
    <t xml:space="preserve">aafda30edb78c647ca186ab10ee86b1b	</t>
  </si>
  <si>
    <t xml:space="preserve">	e:\GoogleDrive\articles\wilmott\0305_joshi.pdf				</t>
  </si>
  <si>
    <t xml:space="preserve">ab254e0bb71b352e928ef9966a8a3bea	</t>
  </si>
  <si>
    <t xml:space="preserve">	e:\GoogleDrive\articles\info - graphics\lecture10 - Triangle Meshes Simplifcation and Optimization.	pdf			</t>
  </si>
  <si>
    <t xml:space="preserve">ab33ace176563a0b5ba7a91c00a4c20c	</t>
  </si>
  <si>
    <t xml:space="preserve">	e:\GoogleDrive\articles\anagrammer\Assembly Language Step by Step code\VIDTBL.SRC				</t>
  </si>
  <si>
    <t xml:space="preserve">ab38fe5b6c2835782faa7fdf465a642b	</t>
  </si>
  <si>
    <t xml:space="preserve">	e:\GoogleDrive\articles\global risk 2007\day2\09.30 Crider.pdf				</t>
  </si>
  <si>
    <t xml:space="preserve">ab5118791bcf2eb503634562224e0eac	</t>
  </si>
  <si>
    <t xml:space="preserve">	e:\GoogleDrive\articles\Loseille lohner - Robust Boundary Layer Mesh Generation.pdf				</t>
  </si>
  <si>
    <t xml:space="preserve">ab5172f70410d87f979314f31d13cd9b	</t>
  </si>
  <si>
    <t xml:space="preserve">	e:\GoogleDrive\articles\(phd) hunor\phd\bibliography.aux				</t>
  </si>
  <si>
    <t xml:space="preserve">ab552ad3c46bbee985e75eb320e61737	</t>
  </si>
  <si>
    <t xml:space="preserve">	e:\GoogleDrive\articles\global derivatives 2008\sandeep jain - framework for abs.pdf				</t>
  </si>
  <si>
    <t xml:space="preserve">ab5597894ed21ab5fe697d244a72c115	</t>
  </si>
  <si>
    <t xml:space="preserve">	e:\GoogleDrive\articles\grubisi pietersz - efficient rank reduction of correlation matrices.pdf				</t>
  </si>
  <si>
    <t xml:space="preserve">	e:\GoogleDrive\articles\pietersz - efficient rank reduction.pdf				</t>
  </si>
  <si>
    <t xml:space="preserve">ab69d6b89fc7838b4655fed73f19c88b	</t>
  </si>
  <si>
    <t xml:space="preserve">	e:\GoogleDrive\articles\lobaskin\P.Kaufman.Trading Systems &amp; Methods\Kaufman - Trading Systems &amp; Met	hod	s -	ne	w.doc</t>
  </si>
  <si>
    <t xml:space="preserve">ab74c6f1be212abd80d875ffe8daabde	</t>
  </si>
  <si>
    <t xml:space="preserve">	e:\GoogleDrive\articles\Notes on Elementary Number Theory\31 - pell.ps				</t>
  </si>
  <si>
    <t xml:space="preserve">ab9c0348f26d298ffc0bee83230fecea	</t>
  </si>
  <si>
    <t xml:space="preserve">	e:\GoogleDrive\articles\maths\CS683 - Advanced algorithms\lec19.ps				</t>
  </si>
  <si>
    <t xml:space="preserve">aba1a5166b0fc8915828deeca355628f	</t>
  </si>
  <si>
    <t xml:space="preserve">	e:\GoogleDrive\articles\(ebook) - Handbook of applied cryptography\chap13.pdf				</t>
  </si>
  <si>
    <t xml:space="preserve">aba71ab57a1867b8cd973ae70af69026	</t>
  </si>
  <si>
    <t xml:space="preserve">	e:\GoogleDrive\articles\wilmott\0801_wilmott.pdf				</t>
  </si>
  <si>
    <t xml:space="preserve">abaa1f428b7e2916fc6de46e07b19166	</t>
  </si>
  <si>
    <t xml:space="preserve">	e:\GoogleDrive\articles\Risk 2003-may - The road to partition.pdf				</t>
  </si>
  <si>
    <t xml:space="preserve">	e:\GoogleDrive\articles\thompson ordovas - the road to partition (2003).pdf				</t>
  </si>
  <si>
    <t xml:space="preserve">abbd129334cf5dd20bd13c18602e4e59	</t>
  </si>
  <si>
    <t xml:space="preserve">	e:\GoogleDrive\articles\fsa - op25 Measure of market cleanlines.pdf				</t>
  </si>
  <si>
    <t xml:space="preserve">abc3a056158e4c95ac4332af8d36cdbd	</t>
  </si>
  <si>
    <t xml:space="preserve">	e:\GoogleDrive\articles\(phd) hunor\phd\listes.tex				</t>
  </si>
  <si>
    <t xml:space="preserve">abdba5c5ae5a2e0d84d16c228ea7fc19	</t>
  </si>
  <si>
    <t xml:space="preserve">	e:\GoogleDrive\articles\wilmott\0309_brown.pdf				</t>
  </si>
  <si>
    <t xml:space="preserve">abdea3d30c589a28c09c777c38fc6f40	</t>
  </si>
  <si>
    <t xml:space="preserve">	e:\GoogleDrive\articles\fries joshi - Conditional Analytic Monte-Carlo Pricing Scheme of auto-calla	ble	pro	du	cts.pdf</t>
  </si>
  <si>
    <t xml:space="preserve">abe7ea301ae159039e1fab6c25828b44	</t>
  </si>
  <si>
    <t xml:space="preserve">	e:\GoogleDrive\articles\(phd) hunor\phd\appendix-b.aux				</t>
  </si>
  <si>
    <t xml:space="preserve">abee9ec904421a349beb5a908acffa93	</t>
  </si>
  <si>
    <t xml:space="preserve">	e:\GoogleDrive\articles\wilmott\0301_haug.pdf				</t>
  </si>
  <si>
    <t xml:space="preserve">ac0a014bccc82db1c25a6774e50b53b4	</t>
  </si>
  <si>
    <t xml:space="preserve">	e:\GoogleDrive\articles\west - another 2 algorithms for calibration of sabr in illiquid markets.pdf				</t>
  </si>
  <si>
    <t xml:space="preserve">ac14efe11817071f7af321f04443489b	</t>
  </si>
  <si>
    <t xml:space="preserve">	e:\GoogleDrive\articles\eliott jeanblanc yor - default risk.pdf				</t>
  </si>
  <si>
    <t xml:space="preserve">ac1614ced81c0792e02eb77af3bca797	</t>
  </si>
  <si>
    <t xml:space="preserve">	e:\GoogleDrive\articles\WBS IR modelling Course\Credit Derivatives and Hybrids\HY2.3Trovato_93.pdf				</t>
  </si>
  <si>
    <t xml:space="preserve">ac1896f0a39224e06e4e734b4b6ce098	</t>
  </si>
  <si>
    <t xml:space="preserve">	e:\GoogleDrive\articles\minenna - Insider trading abnormal return and preferential .pdf				</t>
  </si>
  <si>
    <t xml:space="preserve">ac4a35cf5c4298565ea3aef16d1fb99d	</t>
  </si>
  <si>
    <t xml:space="preserve">	e:\GoogleDrive\articles\nig Monte Carlo.pdf				</t>
  </si>
  <si>
    <t xml:space="preserve">ac55f5116db606e231c8e8fd8c3b19a7	</t>
  </si>
  <si>
    <t xml:space="preserve">	e:\GoogleDrive\articles\wilmott\0509_pena.pdf				</t>
  </si>
  <si>
    <t xml:space="preserve">ac65b3710ceb4c1e3630732858472ab0	</t>
  </si>
  <si>
    <t xml:space="preserve">	e:\GoogleDrive\articles\bertrand prigent - portfolio insurance the extreme value of the cppi metho	d.p	df		</t>
  </si>
  <si>
    <t xml:space="preserve">	e:\GoogleDrive\articles\Prigent - portfolio insurance the cppi method.pdf				</t>
  </si>
  <si>
    <t xml:space="preserve">ac6c950bf88c1799e40459427c6f0d9e	</t>
  </si>
  <si>
    <t xml:space="preserve">	e:\GoogleDrive\articles\wilmott\0301_bamberger.pdf				</t>
  </si>
  <si>
    <t xml:space="preserve">ac715959d75cee14b3d9efce942abd2e	</t>
  </si>
  <si>
    <t xml:space="preserve">	e:\GoogleDrive\articles\stresstesting\Karim%20Tamir.pdf				</t>
  </si>
  <si>
    <t xml:space="preserve">ac76414125fe60579dc86cc9ece305c7	</t>
  </si>
  <si>
    <t xml:space="preserve">	e:\GoogleDrive\articles\wilmott\0511_putyatin.pdf				</t>
  </si>
  <si>
    <t xml:space="preserve">ac8151b0c081f6271ffaf5862b10ea47	</t>
  </si>
  <si>
    <t xml:space="preserve">	e:\GoogleDrive\articles\global risk 2007\day2\14.30 Collin-Dufresne.zip				</t>
  </si>
  <si>
    <t xml:space="preserve">ac8c3e777d4c76c39e4e9c56133694d1	</t>
  </si>
  <si>
    <t xml:space="preserve">	e:\GoogleDrive\articles\maths\arma.ps				</t>
  </si>
  <si>
    <t xml:space="preserve">ac9210ba2a549fafa8e7abbfd60cf533	</t>
  </si>
  <si>
    <t xml:space="preserve">	e:\GoogleDrive\articles\culture generale\economics\macroeconomics\LN_ch6.pdf				</t>
  </si>
  <si>
    <t xml:space="preserve">ac9fd0163903eecef2a79269eb4670a4	</t>
  </si>
  <si>
    <t xml:space="preserve">	e:\GoogleDrive\articles\Richard White - Local Volatility (OpenGamma).pdf				</t>
  </si>
  <si>
    <t xml:space="preserve">aca182e470274994b04ca544ebefaaee	</t>
  </si>
  <si>
    <t xml:space="preserve">	e:\GoogleDrive\articles\(lecture notes) financial maths\chapter4.pdf				</t>
  </si>
  <si>
    <t xml:space="preserve">	e:\GoogleDrive\articles\lecture (financial mathematics)\chapter4.pdf				</t>
  </si>
  <si>
    <t xml:space="preserve">acb37759e5d51a50c402a2953f4f9076	</t>
  </si>
  <si>
    <t xml:space="preserve">	e:\GoogleDrive\articles\wilmott\0709_editorial.pdf				</t>
  </si>
  <si>
    <t xml:space="preserve">acb6803206b57684cf19a42fa2535c57	</t>
  </si>
  <si>
    <t xml:space="preserve">	e:\GoogleDrive\articles\estimation d'evenements rares.pdf				</t>
  </si>
  <si>
    <t xml:space="preserve">accbe62d5b3f9410bbf6e63e739c386a	</t>
  </si>
  <si>
    <t xml:space="preserve">	e:\GoogleDrive\articles\data mining\ECMLPKDD2004\covers\W2.pdf				</t>
  </si>
  <si>
    <t xml:space="preserve">acd51e85e6f021a62eb67ca5c01677ca	</t>
  </si>
  <si>
    <t xml:space="preserve">	e:\GoogleDrive\articles\(phd) hunor\phd\introduction.tex				</t>
  </si>
  <si>
    <t xml:space="preserve">acd59dfaff5f6685fe8446de7e2a17c7	</t>
  </si>
  <si>
    <t xml:space="preserve">	e:\GoogleDrive\articles\brownian bridge\excursions.ps.gz				</t>
  </si>
  <si>
    <t xml:space="preserve">acd8edb095ec4dc281df59daea385c48	</t>
  </si>
  <si>
    <t xml:space="preserve">	e:\GoogleDrive\articles\lobaskin\P.Kaufman.Trading Systems &amp; Methods\Kaufman - Trading Systems &amp; Met	hod	s -	Ch	ap03 12-21.doc</t>
  </si>
  <si>
    <t xml:space="preserve">aced2bc70a392a6f858cb21b873b0458	</t>
  </si>
  <si>
    <t xml:space="preserve">	e:\GoogleDrive\articles\(eBook) - Financial Analysis Tools And Techniques A Guide (M.pdf				</t>
  </si>
  <si>
    <t xml:space="preserve">ad13a0ef8c4516ac690db4b28537ef77	</t>
  </si>
  <si>
    <t xml:space="preserve">	e:\GoogleDrive\articles\hooghiemistra - On explicit occupation time distributions for Brownian proce	sse	s (2	0	0).pdf</t>
  </si>
  <si>
    <t xml:space="preserve">	e:\GoogleDrive\articles\brownian bridge\on explicit occupation time distributions for brownian proce	.pd	f		</t>
  </si>
  <si>
    <t xml:space="preserve">ad2643d3679f2766c5c95bf3c04d41b6	</t>
  </si>
  <si>
    <t xml:space="preserve">	e:\GoogleDrive\articles\wilmott\0507_gabor.pdf				</t>
  </si>
  <si>
    <t xml:space="preserve">ad2c4f91f2e7e9e5e50ed5aa66fa9365	</t>
  </si>
  <si>
    <t xml:space="preserve">	e:\GoogleDrive\articles\numericalR\c3-2.pdf				</t>
  </si>
  <si>
    <t xml:space="preserve">ad2d83a30f2c23442d9cfad54d478a18	</t>
  </si>
  <si>
    <t xml:space="preserve">	e:\GoogleDrive\articles\numericalR\c6-3.pdf				</t>
  </si>
  <si>
    <t xml:space="preserve">ad33d77e2ac8490b3a9fa3dc4e5cbabb	</t>
  </si>
  <si>
    <t xml:space="preserve">	e:\GoogleDrive\articles\mark rubinstein\Securities Market Efficiency in an Arrow-Debreu Economy.doc				</t>
  </si>
  <si>
    <t xml:space="preserve">ad4e58ca22a7189e9f4ba555b7a054e7	</t>
  </si>
  <si>
    <t xml:space="preserve">	e:\GoogleDrive\articles\wilmott\2002_09_14to18_Aaron_Brown.pdf				</t>
  </si>
  <si>
    <t xml:space="preserve">ad7163772b82c1130e15134b29e847d8	</t>
  </si>
  <si>
    <t xml:space="preserve">	e:\GoogleDrive\articles\mark rubinstein\Edgeworth Binomial Trees.doc				</t>
  </si>
  <si>
    <t xml:space="preserve">ada1a0b03392b8b408fd9e7790e76d34	</t>
  </si>
  <si>
    <t xml:space="preserve">	e:\GoogleDrive\articles\maths\CS683 - Advanced algorithms\lec25.ps				</t>
  </si>
  <si>
    <t xml:space="preserve">ada5c2f07ee0707b7120b73086f64eca	</t>
  </si>
  <si>
    <t xml:space="preserve">	e:\GoogleDrive\articles\wilmott\0301_rogoff.pdf				</t>
  </si>
  <si>
    <t xml:space="preserve">ada6c609f6cc516f122e39074d920619	</t>
  </si>
  <si>
    <t xml:space="preserve">	e:\GoogleDrive\articles\Note About Distressed Debt CDO Delta Calculations04.pdf				</t>
  </si>
  <si>
    <t xml:space="preserve">ada753977c81fa49dd994e247a795f9d	</t>
  </si>
  <si>
    <t xml:space="preserve">	e:\GoogleDrive\articles\garch models.pdf				</t>
  </si>
  <si>
    <t xml:space="preserve">adb2417275610c31ba27597641bc3fc2	</t>
  </si>
  <si>
    <t xml:space="preserve">	e:\GoogleDrive\articles\anagrammer\Assembly Language Step by Step code\VIDCHECK.SRC				</t>
  </si>
  <si>
    <t xml:space="preserve">adb2b7515d4afd1553b3b30402fab9e7	</t>
  </si>
  <si>
    <t xml:space="preserve">	e:\GoogleDrive\articles\An Infinite Product for sin.doc				</t>
  </si>
  <si>
    <t xml:space="preserve">adc69b11a40e1df644ebd26bf749734f	</t>
  </si>
  <si>
    <t xml:space="preserve">	e:\GoogleDrive\articles\stats\9 - Rolling analysis of time series.pdf				</t>
  </si>
  <si>
    <t xml:space="preserve">add5994939904307d59bfc70b87b26e5	</t>
  </si>
  <si>
    <t xml:space="preserve">	e:\GoogleDrive\articles\culture generale\economics\macroeconomics\LN_ch8.pdf				</t>
  </si>
  <si>
    <t xml:space="preserve">adf11629b8da85653431d7f72dbd49c2	</t>
  </si>
  <si>
    <t xml:space="preserve">	e:\GoogleDrive\articles\wystupp book\mm\jeanblanc.pdf				</t>
  </si>
  <si>
    <t xml:space="preserve">adf221c7788018e8a34f43149f7147e7	</t>
  </si>
  <si>
    <t xml:space="preserve">	e:\GoogleDrive\articles\wilmott\0307_carreviews.pdf				</t>
  </si>
  <si>
    <t xml:space="preserve">ae00e8f6b480f9f3840cc162c315e461	</t>
  </si>
  <si>
    <t xml:space="preserve">	e:\GoogleDrive\articles\wystup - how the greeks would have hedged corr risk.pdf				</t>
  </si>
  <si>
    <t xml:space="preserve">	e:\GoogleDrive\articles\wystupp book\greeks.pdf				</t>
  </si>
  <si>
    <t xml:space="preserve">ae11ed0ca11939ba457b57e334acd76f	</t>
  </si>
  <si>
    <t xml:space="preserve">	e:\GoogleDrive\articles\WBS IR modelling Course\IR Modelling\IRMWorkshop5_73.pdf				</t>
  </si>
  <si>
    <t xml:space="preserve">ae216f7eb7d9719e34b93c3a5f8bcfde	</t>
  </si>
  <si>
    <t xml:space="preserve">	e:\GoogleDrive\articles\(ebook) - Handbook of applied cryptography\chap8.pdf				</t>
  </si>
  <si>
    <t xml:space="preserve">ae28862432cc6da7a88798b9ca76ea9b	</t>
  </si>
  <si>
    <t xml:space="preserve">	e:\GoogleDrive\articles\maths\CS683 - Advanced algorithms\lec05.ps				</t>
  </si>
  <si>
    <t xml:space="preserve">ae32119ad0afd147f88e90c82a71bacf	</t>
  </si>
  <si>
    <t xml:space="preserve">	e:\GoogleDrive\articles\wilmott\0505_rees.pdf				</t>
  </si>
  <si>
    <t xml:space="preserve">ae421b4cfee284d6daf1a250eee363d8	</t>
  </si>
  <si>
    <t xml:space="preserve">	e:\GoogleDrive\articles\maths\lemmermayer\ncp - prn.pdf				</t>
  </si>
  <si>
    <t xml:space="preserve">ae44476893bd951cbc3efae64fa9083b	</t>
  </si>
  <si>
    <t xml:space="preserve">	e:\GoogleDrive\articles\Skabelin - The Pricing of Options on Equities with Stock Price Dependent Sto	cha	stic	V	olatility.pdf</t>
  </si>
  <si>
    <t xml:space="preserve">ae445294e8e55370a88d2c900a7f2107	</t>
  </si>
  <si>
    <t xml:space="preserve">	e:\GoogleDrive\articles\(ebook) selesnick burrus - Digital Signal Processing Handbook\63.pdf				</t>
  </si>
  <si>
    <t xml:space="preserve">ae46362f0dfc2fe62679438211be850f	</t>
  </si>
  <si>
    <t xml:space="preserve">	e:\GoogleDrive\articles\culture generale\philip-thesis.pdf				</t>
  </si>
  <si>
    <t xml:space="preserve">ae4e614727f0a95d7cbc925aa1a50a46	</t>
  </si>
  <si>
    <t xml:space="preserve">	e:\GoogleDrive\articles\(ebook) - Handbook of applied cryptography\chap6.pdf				</t>
  </si>
  <si>
    <t xml:space="preserve">ae6f17bb2f90ae72cf3667eaa43a49e2	</t>
  </si>
  <si>
    <t xml:space="preserve">	e:\GoogleDrive\articles\Lengyel - Voxel-based fro real time simulation (phd).pdf				</t>
  </si>
  <si>
    <t xml:space="preserve">ae70e3a8e5eaabf292418a9ae59fdd76	</t>
  </si>
  <si>
    <t xml:space="preserve">	e:\GoogleDrive\articles\anagrammer\Algorithms And Data Structures In C++.zip				</t>
  </si>
  <si>
    <t xml:space="preserve">ae74a764d637eee013e9ebff7c80bc25	</t>
  </si>
  <si>
    <t xml:space="preserve">	e:\GoogleDrive\articles\maths\xcheng\week8.pdf				</t>
  </si>
  <si>
    <t xml:space="preserve">ae814ebf6457be15f8554b49f8a4291e	</t>
  </si>
  <si>
    <t xml:space="preserve">	e:\GoogleDrive\articles\(eBook) - LeVeque - Finite Diffrence methods for differencial equations.pdf				</t>
  </si>
  <si>
    <t xml:space="preserve">ae84dfecd85169e8dd5c41d992d7a09d	</t>
  </si>
  <si>
    <t xml:space="preserve">	e:\GoogleDrive\articles\wilmott\0309_duffy.pdf				</t>
  </si>
  <si>
    <t xml:space="preserve">aea02d8ae761755099d4f06f2fd60b09	</t>
  </si>
  <si>
    <t xml:space="preserve">	e:\GoogleDrive\articles\culture generale\economics\lecture\reading\ch6 - friedman2.pdf				</t>
  </si>
  <si>
    <t xml:space="preserve">af0a1bb404cddc47f47700986cc1df7b	</t>
  </si>
  <si>
    <t xml:space="preserve">	e:\GoogleDrive\articles\(eBook) - Stochastic Calculus With Applications to Finance PD.pdf				</t>
  </si>
  <si>
    <t xml:space="preserve">	e:\GoogleDrive\articles\(eBook) Stochastic Calculus With Applications to Finance PD.pdf				</t>
  </si>
  <si>
    <t xml:space="preserve">af12ff087974c6d4b6326dd8efe578a5	</t>
  </si>
  <si>
    <t xml:space="preserve">	e:\GoogleDrive\articles\brownian bridge\S0002-9947-98-02011-X.pdf				</t>
  </si>
  <si>
    <t xml:space="preserve">af155dde244a91cc6d7f3aa9ffa9cf78	</t>
  </si>
  <si>
    <t xml:space="preserve">	e:\GoogleDrive\articles\data mining\ECMLPKDD2004\workshops\W10.pdf				</t>
  </si>
  <si>
    <t xml:space="preserve">af162281097e690db16146d70dc3c70a	</t>
  </si>
  <si>
    <t xml:space="preserve">	e:\GoogleDrive\articles\hall yhap - Measuring the Correlation of Shocks Between the UK (orthogonal	gar	ch c	or	relation).pdf</t>
  </si>
  <si>
    <t xml:space="preserve">af25310224c729e616a13125f099216b	</t>
  </si>
  <si>
    <t xml:space="preserve">	e:\GoogleDrive\articles\(phd) hunor\phd\these.ilg				</t>
  </si>
  <si>
    <t xml:space="preserve">af5e99e9dc5d62ba162b769f8e86b361	</t>
  </si>
  <si>
    <t xml:space="preserve">	e:\GoogleDrive\articles\patrick-hagan.pdf				</t>
  </si>
  <si>
    <t xml:space="preserve">af8308a97982bddf6b30922550bad0b8	</t>
  </si>
  <si>
    <t xml:space="preserve">	e:\GoogleDrive\articles\R-intro.pdf				</t>
  </si>
  <si>
    <t xml:space="preserve">af89ec00c588a92cf978eb8cacab7184	</t>
  </si>
  <si>
    <t xml:space="preserve">	e:\GoogleDrive\articles\global risk 2007\day2\17.05 Kainth FINAL.zip				</t>
  </si>
  <si>
    <t xml:space="preserve">af91e909ec163300fdb698f970fbee46	</t>
  </si>
  <si>
    <t xml:space="preserve">	e:\GoogleDrive\articles\(ebook) selesnick burrus - Digital Signal Processing Handbook\15.pdf				</t>
  </si>
  <si>
    <t xml:space="preserve">af9f0b93ccfae38b8ef1f4bec5ef0d87	</t>
  </si>
  <si>
    <t xml:space="preserve">	e:\GoogleDrive\articles\convex analysis\05 - relative interiors of convex sets.pdf				</t>
  </si>
  <si>
    <t xml:space="preserve">afa27b0dec7b80abe7c9fcf2b819ed42	</t>
  </si>
  <si>
    <t xml:space="preserve">	e:\GoogleDrive\articles\fries - Hybrid_Markov_Functional_Model.pdf				</t>
  </si>
  <si>
    <t xml:space="preserve">afb0a60138d88eeeb8b1186981a5a092	</t>
  </si>
  <si>
    <t xml:space="preserve">	e:\GoogleDrive\articles\kawai - a new approximative swaption formula in LMM.pdf				</t>
  </si>
  <si>
    <t xml:space="preserve">afcad49b5a6cbad81821103c24b98481	</t>
  </si>
  <si>
    <t xml:space="preserve">	e:\GoogleDrive\articles\wilmott\0711_staunton.pdf				</t>
  </si>
  <si>
    <t xml:space="preserve">afd718b50f32eece6fef89b80fc1726a	</t>
  </si>
  <si>
    <t xml:space="preserve">	e:\GoogleDrive\articles\mark rubinstein\As Simple as 1-2-3.doc				</t>
  </si>
  <si>
    <t xml:space="preserve">b0045bb862e8e683cbbcf51db05c6e24	</t>
  </si>
  <si>
    <t xml:space="preserve">	e:\GoogleDrive\articles\culture generale\assurance contract pricing.pdf				</t>
  </si>
  <si>
    <t xml:space="preserve">b01292e99a7e21285a755c3370b19f67	</t>
  </si>
  <si>
    <t xml:space="preserve">	e:\GoogleDrive\articles\(eBook) vandevoorde josuttis - C++ Templates - Complete Guide.pdf				</t>
  </si>
  <si>
    <t xml:space="preserve">b0332ecb3e780cc7a2279afc7124522a	</t>
  </si>
  <si>
    <t xml:space="preserve">	e:\GoogleDrive\articles\wilmott\0707_engl.pdf				</t>
  </si>
  <si>
    <t xml:space="preserve">b0409ecce69899225766aaa2d4199bfe	</t>
  </si>
  <si>
    <t xml:space="preserve">	e:\GoogleDrive\articles\a classer\not bad.pdf				</t>
  </si>
  <si>
    <t xml:space="preserve">b0462cd0be8bf64345e601d1276f01e7	</t>
  </si>
  <si>
    <t xml:space="preserve">	e:\GoogleDrive\articles\wu zhang - options on the minimum or the maximum of two ave.pdf				</t>
  </si>
  <si>
    <t xml:space="preserve">b047ae5274b6d2d37d4876f813be321c	</t>
  </si>
  <si>
    <t xml:space="preserve">	e:\GoogleDrive\articles\maths\lemmermayer\hwfa7.pdf				</t>
  </si>
  <si>
    <t xml:space="preserve">b050c0afd5a8071fb9be59ed8f47268f	</t>
  </si>
  <si>
    <t xml:space="preserve">	e:\GoogleDrive\articles\maths sp‚\chapitre13 - calcul differentiel.pdf				</t>
  </si>
  <si>
    <t xml:space="preserve">b0648cdeb375e31f5745816642c77bec	</t>
  </si>
  <si>
    <t xml:space="preserve">	e:\GoogleDrive\articles\option_hedging.pdf				</t>
  </si>
  <si>
    <t xml:space="preserve">b06ce597f4479a0a58b6ab4bd3f34f76	</t>
  </si>
  <si>
    <t xml:space="preserve">	e:\GoogleDrive\articles\data mining\ECMLPKDD2004\covers\W6.pdf				</t>
  </si>
  <si>
    <t xml:space="preserve">b07a38c9e01ff4029e2e14cf48a4b5a8	</t>
  </si>
  <si>
    <t xml:space="preserve">	e:\GoogleDrive\articles\inflation - 583642.pdf				</t>
  </si>
  <si>
    <t xml:space="preserve">b081cdf46817545efc3f16b4deea7051	</t>
  </si>
  <si>
    <t xml:space="preserve">	e:\GoogleDrive\articles\lowrance wagner - an extension of the string to string correction problem (	197	5).p	df	</t>
  </si>
  <si>
    <t xml:space="preserve">	e:\GoogleDrive\articles\lowrance wagner - An Extension of the String-to-String Correction Problem.p	df			</t>
  </si>
  <si>
    <t xml:space="preserve">	e:\GoogleDrive\articles\info - algo\lowrance wagner - an extension to the string-to-string correcti	on	prob	le	m.pdf</t>
  </si>
  <si>
    <t xml:space="preserve">b0b5c9bfb0efca8ccf888c90c340877a	</t>
  </si>
  <si>
    <t xml:space="preserve">	e:\GoogleDrive\articles\adresses quasi MC.txt				</t>
  </si>
  <si>
    <t xml:space="preserve">b0bc065888c523b55a7d2f711c424d9a	</t>
  </si>
  <si>
    <t xml:space="preserve">	e:\GoogleDrive\articles\data mining\ECMLPKDD2004\covers\DC.pdf				</t>
  </si>
  <si>
    <t xml:space="preserve">b0c6426d2cdbb0da643a7fdbd1770d3a	</t>
  </si>
  <si>
    <t xml:space="preserve">	e:\GoogleDrive\articles\maths\exercices\ps1.pdf				</t>
  </si>
  <si>
    <t xml:space="preserve">b0c92c2e83f994c451ef5ecd28ec66fb	</t>
  </si>
  <si>
    <t xml:space="preserve">	e:\GoogleDrive\articles\Heat equation - 1D solution.pdf				</t>
  </si>
  <si>
    <t xml:space="preserve">b0d7d1e24c7f22ba9ff3f1230cebb7c1	</t>
  </si>
  <si>
    <t xml:space="preserve">	e:\GoogleDrive\articles\nabil kahal‚ - an arbitrage free interpolation of volatilities - prn.pdf				</t>
  </si>
  <si>
    <t xml:space="preserve">b0e9195b625e04cdc6a18f6059228394	</t>
  </si>
  <si>
    <t xml:space="preserve">	e:\GoogleDrive\articles\anagrammer\Programming Windows Drive Model.zip				</t>
  </si>
  <si>
    <t xml:space="preserve">b0edc31d0b43657717b415961eefbe8a	</t>
  </si>
  <si>
    <t xml:space="preserve">	e:\GoogleDrive\articles\wilmott\0311_mahayni.pdf				</t>
  </si>
  <si>
    <t xml:space="preserve">b0f9a8dee5ab220f692a7223f3e34f09	</t>
  </si>
  <si>
    <t xml:space="preserve">	e:\GoogleDrive\articles\rebonato - Accurate and optimal calibration to co-terminal European swaption	s i	n a	FR	Abased - prn.pdf</t>
  </si>
  <si>
    <t xml:space="preserve">b0fdbba664170890de22864bbd4074e2	</t>
  </si>
  <si>
    <t xml:space="preserve">	e:\GoogleDrive\articles\(eBook) GO - Sakata Eio Modern Joseki and Fuseki.pdf				</t>
  </si>
  <si>
    <t xml:space="preserve">	e:\GoogleDrive\articles\hobby\(ebook) Sakata Eio- Modern Joseki and Fuseki.pdf				</t>
  </si>
  <si>
    <t xml:space="preserve">b117d2102d2ed96bf8fa634ce4371aee	</t>
  </si>
  <si>
    <t xml:space="preserve">	e:\GoogleDrive\articles\krekel et al - An Analysis of Pricing Methods for basket options.pdf				</t>
  </si>
  <si>
    <t xml:space="preserve">	e:\GoogleDrive\articles\Kreket et al. - An Analysis of Pricing Methods for Baskets Options.pdf				</t>
  </si>
  <si>
    <t xml:space="preserve">	e:\GoogleDrive\articles\wilmott\0405_krekel.pdf				</t>
  </si>
  <si>
    <t xml:space="preserve">b14798acac56166d0fe95621b7c5128b	</t>
  </si>
  <si>
    <t xml:space="preserve">	e:\GoogleDrive\articles\Shevchenko - Addressing the bias of monte Carlo pricing of multi-asset optio	ns	with	m	ultiple barriers through discrete sampling.pdf</t>
  </si>
  <si>
    <t xml:space="preserve">b149dd30122c373e64e701a62d1e8fc1	</t>
  </si>
  <si>
    <t xml:space="preserve">	e:\GoogleDrive\articles\avellaneda - arbitrage pricing of equity basket options.ps				</t>
  </si>
  <si>
    <t xml:space="preserve">	e:\GoogleDrive\articles\entropy\avellaneda.ps				</t>
  </si>
  <si>
    <t xml:space="preserve">b14d117492611d1520d604dede6f48ed	</t>
  </si>
  <si>
    <t xml:space="preserve">	e:\GoogleDrive\articles\(ebook) - a non random walk down Wall street\backuper.hcs				</t>
  </si>
  <si>
    <t xml:space="preserve">b1855b06b133ddd6dd325df176d1df40	</t>
  </si>
  <si>
    <t xml:space="preserve">	e:\GoogleDrive\articles\Soos_Kalman_kutatasi_beszamolo.pdf				</t>
  </si>
  <si>
    <t xml:space="preserve">b1b83ebe06c4d6e98cdf42c7fcdb72b2	</t>
  </si>
  <si>
    <t xml:space="preserve">	e:\GoogleDrive\articles\wilmott\0805_thorp.pdf				</t>
  </si>
  <si>
    <t xml:space="preserve">b1be0abc26b153607fe18b84ab5db661	</t>
  </si>
  <si>
    <t xml:space="preserve">	e:\GoogleDrive\articles\lecture notes (pittman probas)\url.txt				</t>
  </si>
  <si>
    <t xml:space="preserve">b1c6d5b08d7f0460ac8215ca111ed412	</t>
  </si>
  <si>
    <t xml:space="preserve">	e:\GoogleDrive\articles\pietersz groenen - rank reduction of correlation matrices b.pdf				</t>
  </si>
  <si>
    <t xml:space="preserve">	e:\GoogleDrive\articles\pietersz groenen - Rank Reduction of Correlation Matrices by Majorization.p	df			</t>
  </si>
  <si>
    <t xml:space="preserve">b1cb7a11d047aa9e37c8e61f2a08f9ba	</t>
  </si>
  <si>
    <t xml:space="preserve">	e:\GoogleDrive\articles\jom pitman - combinatorial stochastic processes.ps				</t>
  </si>
  <si>
    <t xml:space="preserve">	e:\GoogleDrive\articles\pitman - combinatorial stochastic processes.ps				</t>
  </si>
  <si>
    <t xml:space="preserve">b2172d10cb47c1dd3bcd76c1451ad1c1	</t>
  </si>
  <si>
    <t xml:space="preserve">	e:\GoogleDrive\articles\maths\xcheng\week13.pdf				</t>
  </si>
  <si>
    <t xml:space="preserve">b23d1e9c90d4cec346962477088a97b3	</t>
  </si>
  <si>
    <t xml:space="preserve">	e:\GoogleDrive\articles\gaines lyons - variable-step-size-control.pdf				</t>
  </si>
  <si>
    <t xml:space="preserve">b23fda6991656b4205b79b02a0ca2025	</t>
  </si>
  <si>
    <t xml:space="preserve">	e:\GoogleDrive\articles\cours finance\cours12.ps				</t>
  </si>
  <si>
    <t xml:space="preserve">b246a4705e333adc81c50089577f2abd	</t>
  </si>
  <si>
    <t xml:space="preserve">	e:\GoogleDrive\articles\shleifer - The Noise Trader Approach to Finance.pdf				</t>
  </si>
  <si>
    <t xml:space="preserve">b247e3840feec75b9b15064edddadbe9	</t>
  </si>
  <si>
    <t xml:space="preserve">	e:\GoogleDrive\articles\thaler - behavioral finance - prn.pdf				</t>
  </si>
  <si>
    <t xml:space="preserve">b24e09d73b9b343d21d60a547bc9b549	</t>
  </si>
  <si>
    <t xml:space="preserve">	e:\GoogleDrive\articles\wilmott\0211_careers.pdf				</t>
  </si>
  <si>
    <t xml:space="preserve">b25380248057a32d2af17133499074c1	</t>
  </si>
  <si>
    <t xml:space="preserve">	e:\GoogleDrive\articles\global derivatives 2008\olivier vigneron - breakeven correlation.pdf				</t>
  </si>
  <si>
    <t xml:space="preserve">b2563c54710fd68b4659183697e4e5ca	</t>
  </si>
  <si>
    <t xml:space="preserve">	e:\GoogleDrive\articles\(ebook) selesnick burrus - Digital Signal Processing Handbook\20.pdf				</t>
  </si>
  <si>
    <t xml:space="preserve">b289d61758cd3b6fa22f7d0a6d50e507	</t>
  </si>
  <si>
    <t xml:space="preserve">	e:\GoogleDrive\articles\maths\DiffGeom.pdf				</t>
  </si>
  <si>
    <t xml:space="preserve">b28befc5c5e35c5719fe45756e4305a0	</t>
  </si>
  <si>
    <t xml:space="preserve">	e:\GoogleDrive\articles\global risk 2007\day1\15.05 DiGraziano.pdf				</t>
  </si>
  <si>
    <t xml:space="preserve">b2afedd1596d39537698e4b7aef763f0	</t>
  </si>
  <si>
    <t xml:space="preserve">	e:\GoogleDrive\articles\administratif\bail - 1.doc				</t>
  </si>
  <si>
    <t xml:space="preserve">b2b1b1cc2a92b57f3ff1f969f4e5dffe	</t>
  </si>
  <si>
    <t xml:space="preserve">	e:\GoogleDrive\articles\wilmott\0711_editorial.pdf				</t>
  </si>
  <si>
    <t xml:space="preserve">b2b75afc9869a18994380f7aeae43565	</t>
  </si>
  <si>
    <t xml:space="preserve">	e:\GoogleDrive\articles\anagrammer\Assembly Language Step by Step code\SHOWCHAR.ASM				</t>
  </si>
  <si>
    <t xml:space="preserve">b2bd6bc7ec7a16f348ac051d772709fe	</t>
  </si>
  <si>
    <t xml:space="preserve">	e:\GoogleDrive\articles\(ebook) selesnick burrus - Digital Signal Processing Handbook\02.pdf				</t>
  </si>
  <si>
    <t xml:space="preserve">b2ca11abd44bc08b470b3c7e24910839	</t>
  </si>
  <si>
    <t xml:space="preserve">	e:\GoogleDrive\articles\maths\CS683 - Advanced algorithms\lec20.ps				</t>
  </si>
  <si>
    <t xml:space="preserve">b2e6d347ce5e22dd7644f584a443e256	</t>
  </si>
  <si>
    <t xml:space="preserve">	e:\GoogleDrive\articles\fva - Traders close ranks against FVA critics.docx				</t>
  </si>
  <si>
    <t xml:space="preserve">b2eecf89b6b1edab934ce34d61bcebf4	</t>
  </si>
  <si>
    <t xml:space="preserve">	e:\GoogleDrive\articles\wilmott\0303_bookreviews.pdf				</t>
  </si>
  <si>
    <t xml:space="preserve">b30f9d1d7d54672337bc85f9ea209f49	</t>
  </si>
  <si>
    <t xml:space="preserve">	e:\GoogleDrive\articles\wilmott\0601_ayache.pdf				</t>
  </si>
  <si>
    <t xml:space="preserve">b31da8acec3532e51e66dd849e1f42d8	</t>
  </si>
  <si>
    <t xml:space="preserve">	e:\GoogleDrive\articles\wilmott\0501_brown.pdf				</t>
  </si>
  <si>
    <t xml:space="preserve">b33f228cc17b2d185b4583a858d82dd9	</t>
  </si>
  <si>
    <t xml:space="preserve">	e:\GoogleDrive\articles\wystup - FX Smile in the heston model.pdf				</t>
  </si>
  <si>
    <t xml:space="preserve">b380616a7b8c92bf339ce0b7114d89ac	</t>
  </si>
  <si>
    <t xml:space="preserve">	e:\GoogleDrive\articles\info - graphics\Karwowski Prusinkiewicz - Design and implementation of the	L+C	Mod	el	ing Language.pdf</t>
  </si>
  <si>
    <t xml:space="preserve">b3a636514df1126e59dc91301d80d1d5	</t>
  </si>
  <si>
    <t xml:space="preserve">	e:\GoogleDrive\articles\anagrammer\Assembly Language Step by Step code\VIDORG.SRC				</t>
  </si>
  <si>
    <t xml:space="preserve">b3aba74d790765747a7473212d7c4b19	</t>
  </si>
  <si>
    <t xml:space="preserve">	e:\GoogleDrive\articles\kawai - analytical and Monte Carlo Pricing under the forward.pdf				</t>
  </si>
  <si>
    <t xml:space="preserve">b3cadce464e037540cb390e835f90976	</t>
  </si>
  <si>
    <t xml:space="preserve">	e:\GoogleDrive\articles\wilmott\0607_coverstory.pdf				</t>
  </si>
  <si>
    <t xml:space="preserve">b3cb1025d05080a82b3e962abec98c58	</t>
  </si>
  <si>
    <t xml:space="preserve">	e:\GoogleDrive\articles\zivot - Evaluating structural models for the U.S. short rate using EMM and o	pti	mal	fi	lters (2006).pdf</t>
  </si>
  <si>
    <t xml:space="preserve">b3d8a1b166b7ed6d2d70e96419ed1f18	</t>
  </si>
  <si>
    <t xml:space="preserve">	e:\GoogleDrive\articles\kleinert - path integrals 20.pdf				</t>
  </si>
  <si>
    <t xml:space="preserve">b3e5cfd3270f6e92042dac4ee516b780	</t>
  </si>
  <si>
    <t xml:space="preserve">	e:\GoogleDrive\articles\imf publications\world economic outlook 2003 septembre\annex.pdf				</t>
  </si>
  <si>
    <t xml:space="preserve">b3eac521906f6650535597055b3b7c36	</t>
  </si>
  <si>
    <t xml:space="preserve">	e:\GoogleDrive\articles\william shaw - refinement of the Normal Quantile.pdf				</t>
  </si>
  <si>
    <t xml:space="preserve">b3f46ea37eab9047f8a7eb6b2fb47433	</t>
  </si>
  <si>
    <t xml:space="preserve">	e:\GoogleDrive\articles\(ebook) - Handbook of applied cryptography\references.pdf				</t>
  </si>
  <si>
    <t xml:space="preserve">b3fecade2721ee7b7770e798b82c4bd0	</t>
  </si>
  <si>
    <t xml:space="preserve">	e:\GoogleDrive\articles\Avellaneda stoikov - High-frequency trading in a limit order book.pdf				</t>
  </si>
  <si>
    <t xml:space="preserve">b402525e7873498c7c8b9f092f62a83e	</t>
  </si>
  <si>
    <t xml:space="preserve">	e:\GoogleDrive\articles\global risk 2007\day2\Daniel Bloch.pdf				</t>
  </si>
  <si>
    <t xml:space="preserve">b40d1ec67b7b16759e13a24264350574	</t>
  </si>
  <si>
    <t xml:space="preserve">	e:\GoogleDrive\articles\maths\optimisation\painless-conjugate-gradient.ps				</t>
  </si>
  <si>
    <t xml:space="preserve">b40eebf712e70b2e31e4d0e59a7c425e	</t>
  </si>
  <si>
    <t xml:space="preserve">	e:\GoogleDrive\articles\wilmott\0803_brown.pdf				</t>
  </si>
  <si>
    <t xml:space="preserve">b41864fcec9b75eb1c47b613b4798c6c	</t>
  </si>
  <si>
    <t xml:space="preserve">	e:\GoogleDrive\articles\london school of economics &amp; political science (dpt of mathemati\backuper.hc	s			</t>
  </si>
  <si>
    <t xml:space="preserve">b41ce8f8087a453972e8e919e801be0f	</t>
  </si>
  <si>
    <t xml:space="preserve">	e:\GoogleDrive\articles\(eBook) - Jackel\jaeckel - printable version.pdf				</t>
  </si>
  <si>
    <t xml:space="preserve">	e:\GoogleDrive\articles\(eBook) - Jackel\printable version.pdf				</t>
  </si>
  <si>
    <t xml:space="preserve">b41d1c33bf81304fcff344456faca0e2	</t>
  </si>
  <si>
    <t xml:space="preserve">	e:\GoogleDrive\articles\zuhlsdorff - Extended LIBOR Market Models With Affine and Quadratic Volatili	ty.	pdf		</t>
  </si>
  <si>
    <t xml:space="preserve">b429ec641bd0964ee3bbfc76041274f5	</t>
  </si>
  <si>
    <t xml:space="preserve">	e:\GoogleDrive\articles\wilmott\0403_bookclub.pdf				</t>
  </si>
  <si>
    <t xml:space="preserve">b43c1f6a32c12e4ceefb56c45741bc88	</t>
  </si>
  <si>
    <t xml:space="preserve">	e:\GoogleDrive\articles\giles glasserman - Smoking Adjoints fast evaluation of Greeks in Monte Car	lo	calc	ul	ations.pdf</t>
  </si>
  <si>
    <t xml:space="preserve">b43de80610cdd9ed507c986112ba1860	</t>
  </si>
  <si>
    <t xml:space="preserve">	e:\GoogleDrive\articles\culture generale\economics\lecture\ECON815.doc				</t>
  </si>
  <si>
    <t xml:space="preserve">b43f008434c9f42e38d8027ab27dfce1	</t>
  </si>
  <si>
    <t xml:space="preserve">	e:\GoogleDrive\articles\lobaskin\P.Kaufman.Trading Systems &amp; Methods\Kaufman - Trading Systems &amp; Met	hod	s -	Ap	pendix 1.doc</t>
  </si>
  <si>
    <t xml:space="preserve">b440a1893cf0a9ef9da240de4ced69e3	</t>
  </si>
  <si>
    <t xml:space="preserve">	e:\GoogleDrive\articles\(phd) hunor\phd\figures\original\fptreeExample1.TIF				</t>
  </si>
  <si>
    <t xml:space="preserve">b474ba0dd7b7986311a07865a3ad76a5	</t>
  </si>
  <si>
    <t xml:space="preserve">	e:\GoogleDrive\articles\chesney jeanblanc - pricing american currency options in an exponential lev	y m	odel	(	2004).pdf</t>
  </si>
  <si>
    <t xml:space="preserve">b4a72cc3ecf1e60649370d5e84e53724	</t>
  </si>
  <si>
    <t xml:space="preserve">	e:\GoogleDrive\articles\Diego Garcia - A Monte Carlo method for pricing american options.ps				</t>
  </si>
  <si>
    <t xml:space="preserve">b4badf57863c6e247a6b77cda2f1bb22	</t>
  </si>
  <si>
    <t xml:space="preserve">	e:\GoogleDrive\articles\global risk 2007\day2\Daniel Bloch - to go on site with slides.pdf				</t>
  </si>
  <si>
    <t xml:space="preserve">b4e50a6d30dc3e6ac7b5044f7932f115	</t>
  </si>
  <si>
    <t xml:space="preserve">	e:\GoogleDrive\articles\(eBook) - Jackel\Halton\Halton.h				</t>
  </si>
  <si>
    <t xml:space="preserve">b4fbbd2d22b1aca772c03a4ab9343465	</t>
  </si>
  <si>
    <t xml:space="preserve">	e:\GoogleDrive\articles\anagrammer\Assembly Language Step by Step code\TEXTINFO.PAS				</t>
  </si>
  <si>
    <t xml:space="preserve">b4fe9d5e2ab0764e026c4f6c3f5ffc08	</t>
  </si>
  <si>
    <t xml:space="preserve">	e:\GoogleDrive\articles\wilmott\0603_bookreview.pdf				</t>
  </si>
  <si>
    <t xml:space="preserve">b50764d2afa582a6d66705d94900435a	</t>
  </si>
  <si>
    <t xml:space="preserve">	e:\GoogleDrive\articles\broadie99 - connecting continuous and discrete options.pdf				</t>
  </si>
  <si>
    <t xml:space="preserve">b50cb2d4103a90d0d122aaf6220b0488	</t>
  </si>
  <si>
    <t xml:space="preserve">	e:\GoogleDrive\articles\klaus abe - strong taylor schemes for stochastic volatility .pdf				</t>
  </si>
  <si>
    <t xml:space="preserve">b528a7a466b1e86ba25de166f322a1e9	</t>
  </si>
  <si>
    <t xml:space="preserve">	e:\GoogleDrive\articles\market news - shifted lognormal.doc				</t>
  </si>
  <si>
    <t xml:space="preserve">b5359f276a9c06c791679940e389b882	</t>
  </si>
  <si>
    <t xml:space="preserve">	e:\GoogleDrive\articles\(ebook) - job interview book.pdf				</t>
  </si>
  <si>
    <t xml:space="preserve">b53f3df646d9679ce0be4e7b25bf7eb5	</t>
  </si>
  <si>
    <t xml:space="preserve">	e:\GoogleDrive\articles\brownian bridge\rp115 prn.pdf				</t>
  </si>
  <si>
    <t xml:space="preserve">	e:\GoogleDrive\articles\brownian bridge\rp115.pdf				</t>
  </si>
  <si>
    <t xml:space="preserve">b54b69d838d581cf24955cf8bebaa55a	</t>
  </si>
  <si>
    <t xml:space="preserve">	e:\GoogleDrive\articles\(phd) hunor\neigbours\approximate nearest neighbour.pdf				</t>
  </si>
  <si>
    <t xml:space="preserve">b54c3d7ecf0914df6a0b3b0d20ebddd2	</t>
  </si>
  <si>
    <t xml:space="preserve">	e:\GoogleDrive\articles\wilmott\0603_editorial.pdf				</t>
  </si>
  <si>
    <t xml:space="preserve">b589af57667b01e96a3960a88ff73bad	</t>
  </si>
  <si>
    <t xml:space="preserve">	e:\GoogleDrive\articles\kohn - sde\backuper.hcs				</t>
  </si>
  <si>
    <t xml:space="preserve">b597b5abefaedb3ecebeec71eb787614	</t>
  </si>
  <si>
    <t xml:space="preserve">	e:\GoogleDrive\articles\nauta - On Funding Costs and the Valuation of Derivatives.pdf				</t>
  </si>
  <si>
    <t xml:space="preserve">b5a83bcd141795dda0af8065388fb9df	</t>
  </si>
  <si>
    <t xml:space="preserve">	e:\GoogleDrive\articles\statistical methods of time series modelling.pdf				</t>
  </si>
  <si>
    <t xml:space="preserve">b5b594bb600a1096fc375d35e34b8ad1	</t>
  </si>
  <si>
    <t xml:space="preserve">	e:\GoogleDrive\articles\broadie glasserman kou - a continuity correction for discrete barrier opti	ons	.pdf		</t>
  </si>
  <si>
    <t xml:space="preserve">	e:\GoogleDrive\articles\glasserman broadie - Connecting discrete and path dependent options.pdf				</t>
  </si>
  <si>
    <t xml:space="preserve">	e:\GoogleDrive\articles\Glasserman broadie A Continuity Correction for Discrete Barrier Options.pd	f			</t>
  </si>
  <si>
    <t xml:space="preserve">b5b948608c45371428ffb6e7ebc6f7b3	</t>
  </si>
  <si>
    <t xml:space="preserve">	e:\GoogleDrive\articles\(eBook) Go - Shape Up.pdf				</t>
  </si>
  <si>
    <t xml:space="preserve">	e:\GoogleDrive\articles\hobby\Go - Shape Up.pdf				</t>
  </si>
  <si>
    <t xml:space="preserve">b5bb1b8a4353ea7df024f9e9ad8eb2f9	</t>
  </si>
  <si>
    <t xml:space="preserve">	e:\GoogleDrive\articles\wilmott\0805_news.pdf				</t>
  </si>
  <si>
    <t xml:space="preserve">b5e648c9a23da3c324b25af99d03031a	</t>
  </si>
  <si>
    <t xml:space="preserve">	e:\GoogleDrive\articles\anagrammer\Scene of the Cybercrime - Computer Forensics Handbook.pdf				</t>
  </si>
  <si>
    <t xml:space="preserve">b5f1c92cd28b40f02c0803cae0115858	</t>
  </si>
  <si>
    <t xml:space="preserve">	e:\GoogleDrive\articles\info - graphics\Botsch Pauli Rossl Bischoff  Kobbelt - Geometric Modelin	g B	ased	o	n Triangle Meshes.pdf</t>
  </si>
  <si>
    <t xml:space="preserve">b601d8d910bf95b26b19936ed5d4d484	</t>
  </si>
  <si>
    <t xml:space="preserve">	e:\GoogleDrive\articles\numericalR\c2-6.pdf				</t>
  </si>
  <si>
    <t xml:space="preserve">b6580847b9c4f4160e51c36104bc99fe	</t>
  </si>
  <si>
    <t xml:space="preserve">	e:\GoogleDrive\articles\kohn - sde\section4.ps				</t>
  </si>
  <si>
    <t xml:space="preserve">b6779587a2a06c3f2d7c104d1c65a2ed	</t>
  </si>
  <si>
    <t xml:space="preserve">	e:\GoogleDrive\articles\culture generale\economics\macroeconomics\LN - ch9 - tax_cut.pdf				</t>
  </si>
  <si>
    <t xml:space="preserve">b6a6fe495ada7e8b19b9b57e47902276	</t>
  </si>
  <si>
    <t xml:space="preserve">	e:\GoogleDrive\articles\global risk 2007\day3\James Roberts for Dongning Qu.zip				</t>
  </si>
  <si>
    <t xml:space="preserve">b6a8071dacaac22d3dbe8ce40dce01b5	</t>
  </si>
  <si>
    <t xml:space="preserve">	e:\GoogleDrive\articles\(ebook) Go - cho-intermediate-dbl.pdf				</t>
  </si>
  <si>
    <t xml:space="preserve">b6ca2280911841e0b7912ae7fbabe0a1	</t>
  </si>
  <si>
    <t xml:space="preserve">	e:\GoogleDrive\articles\wilmott\0601_johnson.pdf				</t>
  </si>
  <si>
    <t xml:space="preserve">b6e4f561184233b0685b1a6e3f948f58	</t>
  </si>
  <si>
    <t xml:space="preserve">	e:\GoogleDrive\articles\culture generale\bop03.pdf				</t>
  </si>
  <si>
    <t xml:space="preserve">b6e8a83943c800191816de1749ae7018	</t>
  </si>
  <si>
    <t xml:space="preserve">	e:\GoogleDrive\articles\wilmott\0211_haug.pdf				</t>
  </si>
  <si>
    <t xml:space="preserve">b6f0922ad9a603b740e24256c35c8a1b	</t>
  </si>
  <si>
    <t xml:space="preserve">	e:\GoogleDrive\articles\cameron - Count data regression using series expansions with applications.pd	f			</t>
  </si>
  <si>
    <t xml:space="preserve">b6f247ed205f99bcfac120e4806ed53c	</t>
  </si>
  <si>
    <t xml:space="preserve">	e:\GoogleDrive\articles\numericalR\c5-9.pdf				</t>
  </si>
  <si>
    <t xml:space="preserve">b6f3b12ab00c6fea7033236de715718f	</t>
  </si>
  <si>
    <t xml:space="preserve">	e:\GoogleDrive\articles\wilmott\0503_carreviews.pdf				</t>
  </si>
  <si>
    <t xml:space="preserve">b6f7e88cba9bb5266cc6d872f68f672f	</t>
  </si>
  <si>
    <t xml:space="preserve">	e:\GoogleDrive\articles\wilmott\0605_editorial.pdf				</t>
  </si>
  <si>
    <t xml:space="preserve">b6f98b71d80f2884c02a42615ac83f7c	</t>
  </si>
  <si>
    <t xml:space="preserve">	e:\GoogleDrive\articles\algo - Floyd.docx				</t>
  </si>
  <si>
    <t xml:space="preserve">b701cfc43fa09615280147cee311e7a8	</t>
  </si>
  <si>
    <t xml:space="preserve">	e:\GoogleDrive\articles\trivedi zimmer - copula modelling an introduction for practicioners.pdf				</t>
  </si>
  <si>
    <t xml:space="preserve">b70b9984c28f79e7f67778498bed8137	</t>
  </si>
  <si>
    <t xml:space="preserve">	e:\GoogleDrive\articles\global risk 2007\day2\17.05 Geman.pdf				</t>
  </si>
  <si>
    <t xml:space="preserve">b71320760155805ca19c9875ad9dc3fd	</t>
  </si>
  <si>
    <t xml:space="preserve">	e:\GoogleDrive\articles\wystupp book\mm\pdfrisk2.pdf				</t>
  </si>
  <si>
    <t xml:space="preserve">b73549c4e05485278edcc643f5945de5	</t>
  </si>
  <si>
    <t xml:space="preserve">	e:\GoogleDrive\articles\(eBook) - kwok\backuper.hcs				</t>
  </si>
  <si>
    <t xml:space="preserve">b7403521d1cfd6162d334997f16fc8f3	</t>
  </si>
  <si>
    <t xml:space="preserve">	e:\GoogleDrive\articles\marcusevans2005 - unit3_1.pdf				</t>
  </si>
  <si>
    <t xml:space="preserve">b75336fb43fe394c7f3cec0292162a0a	</t>
  </si>
  <si>
    <t xml:space="preserve">	e:\GoogleDrive\articles\Berestycki - Computing Imp Vol in SV models (2004).pdf				</t>
  </si>
  <si>
    <t xml:space="preserve">	e:\GoogleDrive\articles\Berestycki Busca Florent - Computing the implied volatility in stochastic	vol	atil	it	y models.pdf</t>
  </si>
  <si>
    <t xml:space="preserve">b75aab9c13f2baa099be9701dbfb4a0f	</t>
  </si>
  <si>
    <t xml:space="preserve">	e:\GoogleDrive\articles\culture generale\economics\econ320\2 - longshort.pdf				</t>
  </si>
  <si>
    <t xml:space="preserve">b7615453129ad95f27c67e4acf2e9239	</t>
  </si>
  <si>
    <t xml:space="preserve">	e:\GoogleDrive\articles\wilmott\0805_hagan.pdf				</t>
  </si>
  <si>
    <t xml:space="preserve">b764a832d949f26c85238fc9e8aa52ca	</t>
  </si>
  <si>
    <t xml:space="preserve">	e:\GoogleDrive\articles\(phd) hunor\phd\bibliography.tex				</t>
  </si>
  <si>
    <t xml:space="preserve">b77ead18af79be0fed6cc19aa8afb166	</t>
  </si>
  <si>
    <t xml:space="preserve">	e:\GoogleDrive\articles\wilmott\0511_staunton.pdf				</t>
  </si>
  <si>
    <t xml:space="preserve">b7953cd1438d5ebd43a4db97216406bc	</t>
  </si>
  <si>
    <t xml:space="preserve">	e:\GoogleDrive\articles\Schoenmakers Coffey - Systematic generation of parametric correlationstruct	ure	s fo	r	the LIBOR market model (2002).pdf</t>
  </si>
  <si>
    <t xml:space="preserve">b7b11b5042180340c233cc496642a8d9	</t>
  </si>
  <si>
    <t xml:space="preserve">	e:\GoogleDrive\articles\friedman schwartz - the definition of money net wealth and neutrality as c	rit	eria	.p	df</t>
  </si>
  <si>
    <t xml:space="preserve">b7c9866aaf2ebdacfb0e81f83226e2e1	</t>
  </si>
  <si>
    <t xml:space="preserve">	e:\GoogleDrive\articles\culture generale\economics\lecture\13 - endogenous.pdf				</t>
  </si>
  <si>
    <t xml:space="preserve">b7d1525a735ba527af45a52f5dcb53ba	</t>
  </si>
  <si>
    <t xml:space="preserve">	e:\GoogleDrive\articles\numericalR\c6-4.pdf				</t>
  </si>
  <si>
    <t xml:space="preserve">b7eefbfe5f4d021966b92302504b4413	</t>
  </si>
  <si>
    <t xml:space="preserve">	e:\GoogleDrive\articles\(eBook) Siefring Judith - Oxford Dictionary of Idioms 2e (2004).pdf				</t>
  </si>
  <si>
    <t xml:space="preserve">b7f229eb2eff4ca03c3a6970076903b0	</t>
  </si>
  <si>
    <t xml:space="preserve">	e:\GoogleDrive\articles\hunter jaeckel joshi - Drift Approximations in a Forward-Rate-Based LIBOR	Mar	ket	Mo	del.pdf</t>
  </si>
  <si>
    <t xml:space="preserve">	e:\GoogleDrive\articles\imf publications\jaeckel joshi - MarketModelPredictorCorrector - prn.pdf				</t>
  </si>
  <si>
    <t xml:space="preserve">b804906fff513f571663e66b261c7e26	</t>
  </si>
  <si>
    <t xml:space="preserve">	e:\GoogleDrive\articles\stanford - convex optimisation\examples.pdf				</t>
  </si>
  <si>
    <t xml:space="preserve">b81950ec57f2ea2d3c89fb78d1cabc11	</t>
  </si>
  <si>
    <t xml:space="preserve">	e:\GoogleDrive\articles\global risk 2007\day2\ICBI_JG2.zip				</t>
  </si>
  <si>
    <t xml:space="preserve">b8225d534efb75cd3ddbec3a35554b7a	</t>
  </si>
  <si>
    <t xml:space="preserve">	e:\GoogleDrive\articles\(eBook) - Trfethen\7 - all.pdf				</t>
  </si>
  <si>
    <t xml:space="preserve">b82ea4f0f5d31ed57ccdbf976f1c4134	</t>
  </si>
  <si>
    <t xml:space="preserve">	e:\GoogleDrive\articles\(ebook) - a non random walk down Wall street\index.pdf				</t>
  </si>
  <si>
    <t xml:space="preserve">b835d591239e0799446de72d088a8959	</t>
  </si>
  <si>
    <t xml:space="preserve">	e:\GoogleDrive\articles\Ren‚ Garcia Ramazan Gencay - Pricing and Hedging Derivative Securities with	Ne	ural	N	etworks and a Homogeneity Hint.pdf</t>
  </si>
  <si>
    <t xml:space="preserve">b83fd9ac2a5b0a1244de2a908fb9ca66	</t>
  </si>
  <si>
    <t xml:space="preserve">	e:\GoogleDrive\articles\wilmott\0511_news.pdf				</t>
  </si>
  <si>
    <t xml:space="preserve">b84c4b6370bedf65f6090bb580bc784c	</t>
  </si>
  <si>
    <t xml:space="preserve">	e:\GoogleDrive\articles\global risk 2007\day2\John Crosby.pdf				</t>
  </si>
  <si>
    <t xml:space="preserve">b86acb70efdd8870f0e7e9bff21a7b54	</t>
  </si>
  <si>
    <t xml:space="preserve">	e:\GoogleDrive\articles\zvan98 - discrete asian barrier options.pdf				</t>
  </si>
  <si>
    <t xml:space="preserve">b86d3095d8f1416f35729bbbc997c730	</t>
  </si>
  <si>
    <t xml:space="preserve">	e:\GoogleDrive\articles\castagna mercurio - Consistent Pricing of FX Options.pdf				</t>
  </si>
  <si>
    <t xml:space="preserve">b86f61bef20fabd75996d4fd0b259df0	</t>
  </si>
  <si>
    <t xml:space="preserve">	e:\GoogleDrive\articles\wilmott\0703_tavella.pdf				</t>
  </si>
  <si>
    <t xml:space="preserve">b8737892484e48ea9449f997cafc71dd	</t>
  </si>
  <si>
    <t xml:space="preserve">	e:\GoogleDrive\articles\anagrammer\Assembly Language Step by Step code\INFO.ASM				</t>
  </si>
  <si>
    <t xml:space="preserve">b878621d5694fce4931470dc655ba6c1	</t>
  </si>
  <si>
    <t xml:space="preserve">	e:\GoogleDrive\articles\gatheral_lecture7_2003.pdf				</t>
  </si>
  <si>
    <t xml:space="preserve">b87bc063d64cd759882be660eff3b856	</t>
  </si>
  <si>
    <t xml:space="preserve">	e:\GoogleDrive\articles\maths sp‚\chapitre09 - series numeriques.pdf				</t>
  </si>
  <si>
    <t xml:space="preserve">b8a98704a739527ad58b7c61a1bf6e88	</t>
  </si>
  <si>
    <t xml:space="preserve">	e:\GoogleDrive\articles\maths\CS683 - Advanced algorithms\lec26.ps				</t>
  </si>
  <si>
    <t xml:space="preserve">b8bd1ed50c8b7441b02ffb3eeea1aacb	</t>
  </si>
  <si>
    <t xml:space="preserve">	e:\GoogleDrive\articles\wilmott\0507_schouten.pdf				</t>
  </si>
  <si>
    <t xml:space="preserve">b8dd1f39341e7265230366e82b21ce27	</t>
  </si>
  <si>
    <t xml:space="preserve">	e:\GoogleDrive\articles\data mining\ECMLPKDD2004\invited\Chakrabarti.pdf				</t>
  </si>
  <si>
    <t xml:space="preserve">b8f9bd6258d279d280fc8f45fdf30486	</t>
  </si>
  <si>
    <t xml:space="preserve">	e:\GoogleDrive\articles\numericalR\c13-10.pdf				</t>
  </si>
  <si>
    <t xml:space="preserve">b90a7042e6c550f0cc9da1a367a68e44	</t>
  </si>
  <si>
    <t xml:space="preserve">	e:\GoogleDrive\articles\culture generale\vernon - economics in laboratory - prn.pdf				</t>
  </si>
  <si>
    <t xml:space="preserve">b913cf96b656c63a9290838bd9a255c3	</t>
  </si>
  <si>
    <t xml:space="preserve">	e:\GoogleDrive\articles\davies - numerically stable correlation matrices and their factors.pdf				</t>
  </si>
  <si>
    <t xml:space="preserve">	e:\GoogleDrive\articles\davies00 numerically stable correlation matrices and their f.pdf				</t>
  </si>
  <si>
    <t xml:space="preserve">b91cf5713deee4d24bcc2021e053a01a	</t>
  </si>
  <si>
    <t xml:space="preserve">	e:\GoogleDrive\articles\Whang - A linear time probabilistic counting algorithm for DB applications.p	df			</t>
  </si>
  <si>
    <t xml:space="preserve">b92276a02cc3aec6193f95b1535aa309	</t>
  </si>
  <si>
    <t xml:space="preserve">	e:\GoogleDrive\articles\sharpe70 - Portfolio analysis.pdf				</t>
  </si>
  <si>
    <t xml:space="preserve">b9342c8d82eb7e239a587efc0c1135a3	</t>
  </si>
  <si>
    <t xml:space="preserve">	e:\GoogleDrive\articles\fisher nychkazervos - fitting the term structure of intere.pdf				</t>
  </si>
  <si>
    <t xml:space="preserve">	e:\GoogleDrive\articles\fisher nychkazervos - fitting the term structure of interest rayes with sm	oot	hing	s	plines - prn.pdf</t>
  </si>
  <si>
    <t xml:space="preserve">	e:\GoogleDrive\articles\yield curve fitting the term structure with smoothing splines -prn.pdf				</t>
  </si>
  <si>
    <t xml:space="preserve">b945a5b1820ddbdd8d10297257ee18dc	</t>
  </si>
  <si>
    <t xml:space="preserve">	e:\GoogleDrive\articles\chernyaev - marchin cubes 33 - construction of topologically correct isosurf	ace	s.pd	f	</t>
  </si>
  <si>
    <t xml:space="preserve">b9634a22d5451dc885fe8fbf73d59795	</t>
  </si>
  <si>
    <t xml:space="preserve">	e:\GoogleDrive\articles\data mining\ECMLPKDD2004\covers\T1.pdf				</t>
  </si>
  <si>
    <t xml:space="preserve">b98cf37ed6f94c66a09bb958253d0ec6	</t>
  </si>
  <si>
    <t xml:space="preserve">	e:\GoogleDrive\articles\Neammanee - Approximation of Lipschitz Functions on RN by Bernstein Polynomi	als	(20	0	).pdf</t>
  </si>
  <si>
    <t xml:space="preserve">b9b00b614ef197b726a2bb7a013d7794	</t>
  </si>
  <si>
    <t xml:space="preserve">	e:\GoogleDrive\articles\hunt kennedy - Longstaff-Schwartz Effective Model Dimensionality and Reduc	ibl	e Ma	rk	ov-Functional Models.pdf</t>
  </si>
  <si>
    <t xml:space="preserve">	e:\GoogleDrive\articles\huntkennedy - Longstaff-Schwartz Effective Model Dimensionality and Reducib	le	Mark	ov	#NAME?</t>
  </si>
  <si>
    <t xml:space="preserve">b9b4df0e11d435a657257a0d11fd26c2	</t>
  </si>
  <si>
    <t xml:space="preserve">	e:\GoogleDrive\articles\mark rubinstein\Option Pricing - A Simplified Approach.doc				</t>
  </si>
  <si>
    <t xml:space="preserve">b9c3dbf95504e27443d7104882957b9d	</t>
  </si>
  <si>
    <t xml:space="preserve">	e:\GoogleDrive\articles\cam - maximum likelyhood (MLE) estimate.pdf				</t>
  </si>
  <si>
    <t xml:space="preserve">b9c758911b5a9ab83b4553a6190c8d49	</t>
  </si>
  <si>
    <t xml:space="preserve">	e:\GoogleDrive\articles\Gehrke Ramakrishnan Gantiyrf - RainForest - A Framework for Fast Decision	Tre	e Co	ns	truction of Large Datasets (vldb 1998).pdf</t>
  </si>
  <si>
    <t xml:space="preserve">b9d68642bb497775faa117989c0c1566	</t>
  </si>
  <si>
    <t xml:space="preserve">	e:\GoogleDrive\articles\latex files\barrier.tex				</t>
  </si>
  <si>
    <t xml:space="preserve">b9d9f9f9ef80f68cd8211d65ad1e5872	</t>
  </si>
  <si>
    <t xml:space="preserve">	e:\GoogleDrive\articles\hull white - numerical procedures for implementing term structure models II	-	two	fa	ctor models (1994).pdf</t>
  </si>
  <si>
    <t xml:space="preserve">b9db994648226afa31503b3a2beae35f	</t>
  </si>
  <si>
    <t xml:space="preserve">	e:\GoogleDrive\articles\vcubebbg3.pdf				</t>
  </si>
  <si>
    <t xml:space="preserve">b9eab721bd889479bf5bb5e13549f7d0	</t>
  </si>
  <si>
    <t xml:space="preserve">	e:\GoogleDrive\articles\global risk 2007\day3\ICBI Bas Peeters Presentation.zip				</t>
  </si>
  <si>
    <t xml:space="preserve">ba0154d043df809a428ab6160f3bab1a	</t>
  </si>
  <si>
    <t xml:space="preserve">	e:\GoogleDrive\articles\(ebook) - a non random walk down Wall street\chapt3.pdf				</t>
  </si>
  <si>
    <t xml:space="preserve">ba06c8d2f8abd4f8810b3329e9487591	</t>
  </si>
  <si>
    <t xml:space="preserve">	e:\GoogleDrive\articles\lecture - probability (grinstead and snell)\Chapter1.pdf				</t>
  </si>
  <si>
    <t xml:space="preserve">ba40d2378b03f726857775979aa91ce8	</t>
  </si>
  <si>
    <t xml:space="preserve">	e:\GoogleDrive\articles\wilmott\0805_sentance.pdf				</t>
  </si>
  <si>
    <t xml:space="preserve">ba4a8bab16ac52806f9485cd579dbf0f	</t>
  </si>
  <si>
    <t xml:space="preserve">	e:\GoogleDrive\articles\Berestycki Busca Florent - Asymptotics and calibration of local volatility	mo	dels	.	pdf</t>
  </si>
  <si>
    <t xml:space="preserve">ba4d29de7fbf4f37fab6b75f12b4ed5d	</t>
  </si>
  <si>
    <t xml:space="preserve">	e:\GoogleDrive\articles\maths\point processes and martingales - exercices.pdf				</t>
  </si>
  <si>
    <t xml:space="preserve">ba4e9b1d5fd4e8877dfa8a96525a0a35	</t>
  </si>
  <si>
    <t xml:space="preserve">	e:\GoogleDrive\articles\wilmott\0607_bartlett.pdf				</t>
  </si>
  <si>
    <t xml:space="preserve">ba5aed65909250434de8863f1a73151f	</t>
  </si>
  <si>
    <t xml:space="preserve">	e:\GoogleDrive\articles\wilmott\0705_drz.pdf				</t>
  </si>
  <si>
    <t xml:space="preserve">ba5d6e36b58cd541523200ee357eccc7	</t>
  </si>
  <si>
    <t xml:space="preserve">	e:\GoogleDrive\articles\desvilles - 200011.pdf				</t>
  </si>
  <si>
    <t xml:space="preserve">ba5dcc51d95d1d9a477626ba0133f99b	</t>
  </si>
  <si>
    <t xml:space="preserve">	e:\GoogleDrive\articles\mercurio morini - joining the SABR and Libor Models together (2009).pdf				</t>
  </si>
  <si>
    <t xml:space="preserve">	e:\GoogleDrive\articles\mercurio morini - Joining the SABR and Libor models together.pdf				</t>
  </si>
  <si>
    <t xml:space="preserve">ba67de6a3c7af7ff81f7224900092377	</t>
  </si>
  <si>
    <t xml:space="preserve">	e:\GoogleDrive\articles\mark rubinstein\vita.doc				</t>
  </si>
  <si>
    <t xml:space="preserve">ba74fab2da41b2347364473ef24ff3bc	</t>
  </si>
  <si>
    <t xml:space="preserve">	e:\GoogleDrive\articles\hughston - Inflation Derivatives.pdf				</t>
  </si>
  <si>
    <t xml:space="preserve">ba7ec5f1d64404efed84eea94916f473	</t>
  </si>
  <si>
    <t xml:space="preserve">	e:\GoogleDrive\articles\lecture\Lecture8.pdf				</t>
  </si>
  <si>
    <t xml:space="preserve">bab450f3b6d57eb03d7c21f21d5eaadd	</t>
  </si>
  <si>
    <t xml:space="preserve">	e:\GoogleDrive\articles\data mining\ECMLPKDD2004\invited\backuper.hcs				</t>
  </si>
  <si>
    <t xml:space="preserve">babdda7e1ea08e528ef83fe43fb382e5	</t>
  </si>
  <si>
    <t xml:space="preserve">	e:\GoogleDrive\articles\(lecture notes) Paul Dawkins - College Algebra Practice.pdf				</t>
  </si>
  <si>
    <t xml:space="preserve">bac4c97af140d4d5da3525417f41c599	</t>
  </si>
  <si>
    <t xml:space="preserve">	e:\GoogleDrive\articles\maths\CS683 - Advanced algorithms\backuper.hcs				</t>
  </si>
  <si>
    <t xml:space="preserve">bae81f6d5eeae6939330f567b2fb6de4	</t>
  </si>
  <si>
    <t xml:space="preserve">	e:\GoogleDrive\articles\latex files\Corridors\fig_fixedcorridor3.pdf				</t>
  </si>
  <si>
    <t xml:space="preserve">baebae971e35fbe14188b62bcfdd9a1d	</t>
  </si>
  <si>
    <t xml:space="preserve">	e:\GoogleDrive\articles\wilmott\0211_bookclub.pdf				</t>
  </si>
  <si>
    <t xml:space="preserve">baf6e0efaf97884aee11e4a4a7c5ae8a	</t>
  </si>
  <si>
    <t xml:space="preserve">	e:\GoogleDrive\articles\wilmott\0807_nail.pdf				</t>
  </si>
  <si>
    <t xml:space="preserve">bb000b92fda9a55d16a08a67ec8458f2	</t>
  </si>
  <si>
    <t xml:space="preserve">	e:\GoogleDrive\articles\wilmott\0503_olsen.pdf				</t>
  </si>
  <si>
    <t xml:space="preserve">bb12c8ec12e0caa53968fe9e778ffd18	</t>
  </si>
  <si>
    <t xml:space="preserve">	e:\GoogleDrive\articles\glasserman zhao - fast greeks bt simulation in fwd LIBOR models.pdf				</t>
  </si>
  <si>
    <t xml:space="preserve">bb25e508e084c68e4a10a4b796b9f63c	</t>
  </si>
  <si>
    <t xml:space="preserve">	e:\GoogleDrive\articles\info - algo\C++11.docx				</t>
  </si>
  <si>
    <t xml:space="preserve">bb278542768b5a5687af7e777c97c762	</t>
  </si>
  <si>
    <t xml:space="preserve">	e:\GoogleDrive\articles\Yu - Empirical characteristic function estimation and its applications.pdf				</t>
  </si>
  <si>
    <t xml:space="preserve">bb2a2ee5c91b7691fe27802522f511a7	</t>
  </si>
  <si>
    <t xml:space="preserve">	e:\GoogleDrive\articles\blue - a legendre polynomial integral.pdf				</t>
  </si>
  <si>
    <t xml:space="preserve">bb35484e5981031a5fe6fd46aa06c9d6	</t>
  </si>
  <si>
    <t xml:space="preserve">	e:\GoogleDrive\articles\Levy processes\Manchester2005.pdf				</t>
  </si>
  <si>
    <t xml:space="preserve">bb6bb894f588e06180acbba67d09e692	</t>
  </si>
  <si>
    <t xml:space="preserve">	e:\GoogleDrive\articles\devilles - Cahier9913.pdf				</t>
  </si>
  <si>
    <t xml:space="preserve">bb9e0f6fbc70de53363e5767445e6639	</t>
  </si>
  <si>
    <t xml:space="preserve">	e:\GoogleDrive\articles\lecture notes - david mount - Computational Geometry.pdf				</t>
  </si>
  <si>
    <t xml:space="preserve">bba552a0074ddd31f11e169be0d5def7	</t>
  </si>
  <si>
    <t xml:space="preserve">	e:\GoogleDrive\articles\info - algo\kobbelt - Model Repair.pdf				</t>
  </si>
  <si>
    <t xml:space="preserve">	e:\GoogleDrive\articles\info - graphics\kobbelt - Model Repair.pdf				</t>
  </si>
  <si>
    <t xml:space="preserve">bbc5b65f184524d7eea74340acb6c4b3	</t>
  </si>
  <si>
    <t xml:space="preserve">	e:\GoogleDrive\articles\anagrammer\Assembly Language Step by Step code\JED.PAS				</t>
  </si>
  <si>
    <t xml:space="preserve">bbc9494a4543d96d6737947f459b41fc	</t>
  </si>
  <si>
    <t xml:space="preserve">	e:\GoogleDrive\articles\gatarek - Bgm modelling without tears.pdf				</t>
  </si>
  <si>
    <t xml:space="preserve">bbe7619d85ebe1446e1c5db10c510d37	</t>
  </si>
  <si>
    <t xml:space="preserve">	e:\GoogleDrive\articles\a classer\propably useless - LeippoldDesign.pdf				</t>
  </si>
  <si>
    <t xml:space="preserve">bbec1fbd4db0b891cf55c0bec54131b8	</t>
  </si>
  <si>
    <t xml:space="preserve">	e:\GoogleDrive\articles\(eBook) - Jackel\Readme.txt				</t>
  </si>
  <si>
    <t xml:space="preserve">bbeca2dcf9d86097e5680b1c7fd06bf6	</t>
  </si>
  <si>
    <t xml:space="preserve">	e:\GoogleDrive\articles\global risk 2007\day1\Alexander Lipton - credit correlation.pdf				</t>
  </si>
  <si>
    <t xml:space="preserve">bbf76d107be915b53691eafe22e90267	</t>
  </si>
  <si>
    <t xml:space="preserve">	e:\GoogleDrive\articles\Interest Rate Hybrid 1.pdf				</t>
  </si>
  <si>
    <t xml:space="preserve">bbffa8c11b7b3cc9f948a7fa0dbfae89	</t>
  </si>
  <si>
    <t xml:space="preserve">	e:\GoogleDrive\articles\maths\xcheng\week11.pdf				</t>
  </si>
  <si>
    <t xml:space="preserve">bc01f417de823fb251248c143ec17a9f	</t>
  </si>
  <si>
    <t xml:space="preserve">	e:\GoogleDrive\articles\WBS IR modelling Course\Credit Derivatives and Hybrids\CD2.1Elouerkhaoui_81.	pdf			</t>
  </si>
  <si>
    <t xml:space="preserve">bc0257aceff82ed1dd4e1e10a4afb9b5	</t>
  </si>
  <si>
    <t xml:space="preserve">	e:\GoogleDrive\articles\anagrammer\Assembly Language Step by Step code\WHATAMI.ASM				</t>
  </si>
  <si>
    <t xml:space="preserve">	e:\GoogleDrive\articles\anagrammer\Assembly Language Step by Step code\WHATAMI.BAK				</t>
  </si>
  <si>
    <t xml:space="preserve">bc1c58ae42c9c4478ce4baa5f4375b68	</t>
  </si>
  <si>
    <t xml:space="preserve">	e:\GoogleDrive\articles\WBS IR modelling Course\Credit Derivatives and Hybrids\HY1.1.1Geman_85.pdf				</t>
  </si>
  <si>
    <t xml:space="preserve">bc1ecfb3c6894f52c8bd5c2e44de3910	</t>
  </si>
  <si>
    <t xml:space="preserve">	e:\GoogleDrive\articles\wilmott\0505_thorp.pdf				</t>
  </si>
  <si>
    <t xml:space="preserve">bc39929fa3fce5f04b71be6fbdcfd51c	</t>
  </si>
  <si>
    <t xml:space="preserve">	e:\GoogleDrive\articles\mitchell west - determinig forward risk neutral probabilities.pdf				</t>
  </si>
  <si>
    <t xml:space="preserve">bc415495630f60087211c9ded77457d4	</t>
  </si>
  <si>
    <t xml:space="preserve">	e:\GoogleDrive\articles\anagrammer\Assembly Language Step by Step code\JED.CFG				</t>
  </si>
  <si>
    <t xml:space="preserve">bc4cfa7f18cfea33fbaaffe344b2092d	</t>
  </si>
  <si>
    <t xml:space="preserve">	e:\GoogleDrive\articles\info - algo\(lecture notes) Darve - vector analysis.pdf				</t>
  </si>
  <si>
    <t xml:space="preserve">bc7c798b3e2b849d3b9c4ea8245513c3	</t>
  </si>
  <si>
    <t xml:space="preserve">	e:\GoogleDrive\articles\logstaff et all - the market price of risk in interest rate swaps - prn.pdf				</t>
  </si>
  <si>
    <t xml:space="preserve">bca1bc80b48d88cc430f5153e45953e5	</t>
  </si>
  <si>
    <t xml:space="preserve">	e:\GoogleDrive\articles\brace goldys klebaner  womersley - market model of stochastic implied vol	ati	lity	w	ith applications to the bgm model.ps</t>
  </si>
  <si>
    <t xml:space="preserve">bca520bb40b6afcbfa1e0efbd16744e3	</t>
  </si>
  <si>
    <t xml:space="preserve">	e:\GoogleDrive\articles\Kennedy bennet - Common interests (MF vc LMM).pdf				</t>
  </si>
  <si>
    <t xml:space="preserve">bcb1a3aa363330f37e13edeb24eea238	</t>
  </si>
  <si>
    <t xml:space="preserve">	e:\GoogleDrive\articles\(ebook) selesnick burrus - Digital Signal Processing Handbook\06.pdf				</t>
  </si>
  <si>
    <t xml:space="preserve">bcc41df885b9130a3d6dfa64db92fec5	</t>
  </si>
  <si>
    <t xml:space="preserve">	e:\GoogleDrive\articles\WBS IR modelling Course\Credit Derivatives and Hybrids\HY1.2Andreasen_88.pdf				</t>
  </si>
  <si>
    <t xml:space="preserve">bcde14d072d2e7053de56fce91d25292	</t>
  </si>
  <si>
    <t xml:space="preserve">	e:\GoogleDrive\articles\HF trading\martin - momentum trading skews me.pdf				</t>
  </si>
  <si>
    <t xml:space="preserve">bce5a4404965e59f0d65eb45cd0dcd1d	</t>
  </si>
  <si>
    <t xml:space="preserve">	e:\GoogleDrive\articles\info - graphics\Pollefeys - Metric 3D surface reconstruction from uncalibrat	ed	imag	e	sequences.pdf</t>
  </si>
  <si>
    <t xml:space="preserve">bcf437258cdcecac37e49889ad860e97	</t>
  </si>
  <si>
    <t xml:space="preserve">	e:\GoogleDrive\articles\piterbarg - A Multi-currency Model with FX Volatility Skew.pdf				</t>
  </si>
  <si>
    <t xml:space="preserve">	e:\GoogleDrive\articles\piterbarg - PRD.pdf				</t>
  </si>
  <si>
    <t xml:space="preserve">bd0481417803d3883ad1a070aed2a884	</t>
  </si>
  <si>
    <t xml:space="preserve">	e:\GoogleDrive\articles\hbr - Where Oil-Rich Nations Are Placing Their Bets.doc				</t>
  </si>
  <si>
    <t xml:space="preserve">bd13e647a55f0a608a6b0262f2d73f48	</t>
  </si>
  <si>
    <t xml:space="preserve">	e:\GoogleDrive\articles\Trading the Yield Curve.pdf				</t>
  </si>
  <si>
    <t xml:space="preserve">bd16c7ae4a8688c73ea90c940defd206	</t>
  </si>
  <si>
    <t xml:space="preserve">	e:\GoogleDrive\articles\su - Hedging Basket Options by Using a Subset of underlying  assets (2005).p	df			</t>
  </si>
  <si>
    <t xml:space="preserve">bd2592a4d4a87919f750f271c760c755	</t>
  </si>
  <si>
    <t xml:space="preserve">	e:\GoogleDrive\articles\data mining\ECMLPKDD2004\images\sponsors\isti.gif				</t>
  </si>
  <si>
    <t xml:space="preserve">bd328ed29cab85e42ffd68761b276315	</t>
  </si>
  <si>
    <t xml:space="preserve">	e:\GoogleDrive\articles\brownian bridge\excursions in the martingale hypothesis.pdf				</t>
  </si>
  <si>
    <t xml:space="preserve">bd4e8d04234e476cbe4701e9ab640094	</t>
  </si>
  <si>
    <t xml:space="preserve">	e:\GoogleDrive\articles\(eBook) - statistical methods\chapter13.pdf				</t>
  </si>
  <si>
    <t xml:space="preserve">bd575aaf38d09876cbbb3897b452d22d	</t>
  </si>
  <si>
    <t xml:space="preserve">	e:\GoogleDrive\articles\data mining\ECMLPKDD2004\covers\W9.pdf				</t>
  </si>
  <si>
    <t xml:space="preserve">bda8027606bc3033927bed36f1655811	</t>
  </si>
  <si>
    <t xml:space="preserve">	e:\GoogleDrive\articles\socgen - the abc of equity derivatives and structured prodicts.pdf				</t>
  </si>
  <si>
    <t xml:space="preserve">bdb3d7ebf7132435e689557956cb37b8	</t>
  </si>
  <si>
    <t xml:space="preserve">	e:\GoogleDrive\articles\marschner - Simple ray-triangle intersection.pdf				</t>
  </si>
  <si>
    <t xml:space="preserve">bdbff85b4aa7155d9e6288a443c7f73e	</t>
  </si>
  <si>
    <t xml:space="preserve">	e:\GoogleDrive\articles\exercices wt corrections - differential equations 2.pdf				</t>
  </si>
  <si>
    <t xml:space="preserve">bdc2a99838d94c16f1a731511fe884aa	</t>
  </si>
  <si>
    <t xml:space="preserve">	e:\GoogleDrive\articles\lobaskin\P.Kaufman.Trading Systems &amp; Methods\Kaufman - Trading Systems &amp; Met	hod	s -	Ap	pendix 3.doc</t>
  </si>
  <si>
    <t xml:space="preserve">bdd49e8dd153d2177a20c1edc2032b35	</t>
  </si>
  <si>
    <t xml:space="preserve">	e:\GoogleDrive\articles\linetsky - hittingtime - prn.pdf				</t>
  </si>
  <si>
    <t xml:space="preserve">bde9a005e769e73625927c2a4cb91917	</t>
  </si>
  <si>
    <t xml:space="preserve">	e:\GoogleDrive\articles\(ebook) - Handbook of applied cryptography\url.txt				</t>
  </si>
  <si>
    <t xml:space="preserve">be0e8e4dc1cfd8b6ac8875b83ffb8f2b	</t>
  </si>
  <si>
    <t xml:space="preserve">	e:\GoogleDrive\articles\gregory&amp;laurent - credit correlation(2004).pdf				</t>
  </si>
  <si>
    <t xml:space="preserve">be247b4ec89e7a00db6b018aae18e1cb	</t>
  </si>
  <si>
    <t xml:space="preserve">	e:\GoogleDrive\articles\info - graphics\george seveno - The advancing-front mesh generation method	.pd	f		</t>
  </si>
  <si>
    <t xml:space="preserve">be4e416aeff15837ade5c6a560d32887	</t>
  </si>
  <si>
    <t xml:space="preserve">	e:\GoogleDrive\articles\(phd) hunor\phd\these.pdf				</t>
  </si>
  <si>
    <t xml:space="preserve">be4fc4a0520f3073987495c088641929	</t>
  </si>
  <si>
    <t xml:space="preserve">	e:\GoogleDrive\articles\(ebook) selesnick burrus - Digital Signal Processing Handbook\25.pdf				</t>
  </si>
  <si>
    <t xml:space="preserve">be51a4394c87be8005c993427a30a38d	</t>
  </si>
  <si>
    <t xml:space="preserve">	e:\GoogleDrive\articles\wilmott\0501_lyceum.pdf				</t>
  </si>
  <si>
    <t xml:space="preserve">be581993e8082c4619b31b46ab90f241	</t>
  </si>
  <si>
    <t xml:space="preserve">	e:\GoogleDrive\articles\derman - fow-investing_in_volatility.pdf				</t>
  </si>
  <si>
    <t xml:space="preserve">	e:\GoogleDrive\articles\a classer\InvestingInVolatilityFOW.pdf				</t>
  </si>
  <si>
    <t xml:space="preserve">bee1d7ebddbeefd9c1b660509ef9f6a8	</t>
  </si>
  <si>
    <t xml:space="preserve">	e:\GoogleDrive\articles\data mining\ECMLPKDD2004\tutorials\T4.pdf				</t>
  </si>
  <si>
    <t xml:space="preserve">bee8f459afeae608f0d1988f040ed445	</t>
  </si>
  <si>
    <t xml:space="preserve">	e:\GoogleDrive\articles\CGAL - lecture notes.pdf				</t>
  </si>
  <si>
    <t xml:space="preserve">beef38e0f7ef8fcb97beeef12e88d7ce	</t>
  </si>
  <si>
    <t xml:space="preserve">	e:\GoogleDrive\articles\numericalR\c14-1.pdf				</t>
  </si>
  <si>
    <t xml:space="preserve">bef02e3a98c3db00a087beafccc87610	</t>
  </si>
  <si>
    <t xml:space="preserve">	e:\GoogleDrive\articles\Intel Architecture Software Developer's Manual volume 3.pdf				</t>
  </si>
  <si>
    <t xml:space="preserve">bef5417dda58526008c82198b01b40d1	</t>
  </si>
  <si>
    <t xml:space="preserve">	e:\GoogleDrive\articles\data mining\ECMLPKDD2004\invited.html				</t>
  </si>
  <si>
    <t xml:space="preserve">bf03739239cc2012c5b3d60e33bfaea8	</t>
  </si>
  <si>
    <t xml:space="preserve">	e:\GoogleDrive\articles\wilmott\0707_pure.pdf				</t>
  </si>
  <si>
    <t xml:space="preserve">bf0eeeef82bdbe0e237d4843fa54370f	</t>
  </si>
  <si>
    <t xml:space="preserve">	e:\GoogleDrive\articles\kcl seminars\peters.pdf				</t>
  </si>
  <si>
    <t xml:space="preserve">bf0f1a1d6b5a3cbe83e3ccc745edc682	</t>
  </si>
  <si>
    <t xml:space="preserve">	e:\GoogleDrive\articles\(phd) hunor\phd\figures\fptreeExample2.eps				</t>
  </si>
  <si>
    <t xml:space="preserve">bf11756a2329f44d59b764d25d31158a	</t>
  </si>
  <si>
    <t xml:space="preserve">	e:\GoogleDrive\articles\(lecture notes) financial maths\chapter3.pdf				</t>
  </si>
  <si>
    <t xml:space="preserve">	e:\GoogleDrive\articles\lecture (financial mathematics)\chapter3.pdf				</t>
  </si>
  <si>
    <t xml:space="preserve">bf1bf1762431ca7014d3de843ca9a50b	</t>
  </si>
  <si>
    <t xml:space="preserve">	e:\GoogleDrive\articles\wilmott\0307_krois.pdf				</t>
  </si>
  <si>
    <t xml:space="preserve">bf2a33db7eab7c7d3b3a975f25dac931	</t>
  </si>
  <si>
    <t xml:space="preserve">	e:\GoogleDrive\articles\wilmott\0709_das.pdf				</t>
  </si>
  <si>
    <t xml:space="preserve">bf518011904c7bd6e2eadbf3be910d20	</t>
  </si>
  <si>
    <t xml:space="preserve">	e:\GoogleDrive\articles\global risk 2007\day3\Devajyoti Ghose.zip				</t>
  </si>
  <si>
    <t xml:space="preserve">bf67c63a07b503d55aeb9eb9780968e4	</t>
  </si>
  <si>
    <t xml:space="preserve">	e:\GoogleDrive\articles\wilmott\0509_editorial.pdf				</t>
  </si>
  <si>
    <t xml:space="preserve">bf6c44bde824e3504a7ca229382cfc5f	</t>
  </si>
  <si>
    <t xml:space="preserve">	e:\GoogleDrive\articles\london school of economics &amp; political science (dpt of mathemati\Exam 2001.p	df			</t>
  </si>
  <si>
    <t xml:space="preserve">bf80b53fe92937f96ca8b5b9977e6f33	</t>
  </si>
  <si>
    <t xml:space="preserve">	e:\GoogleDrive\articles\(eBook) Programming In Maple.zip				</t>
  </si>
  <si>
    <t xml:space="preserve">bf81b2c7415797806ec3dedd44128a0f	</t>
  </si>
  <si>
    <t xml:space="preserve">	e:\GoogleDrive\articles\Durand - Elements de Calcul Matriciel et Differentiel pour l'Analyse Factori	ell	e de	D	onnees.pdf</t>
  </si>
  <si>
    <t xml:space="preserve">bf888d883892aadd47e4bef3a7f040a6	</t>
  </si>
  <si>
    <t xml:space="preserve">	e:\GoogleDrive\articles\wilmott\0511_coverstory.pdf				</t>
  </si>
  <si>
    <t xml:space="preserve">bf96c1dfdeb5d18520eb97c55df308e1	</t>
  </si>
  <si>
    <t xml:space="preserve">	e:\GoogleDrive\articles\jim pitman - enumerations of trees and forests related to branching processe	s a	nd r	an	dom walks.ps</t>
  </si>
  <si>
    <t xml:space="preserve">	e:\GoogleDrive\articles\pitman - branching processes random trees and forests.ps				</t>
  </si>
  <si>
    <t xml:space="preserve">bf9fdcc0d3f87e5d8b9ced7497462b6c	</t>
  </si>
  <si>
    <t xml:space="preserve">	e:\GoogleDrive\articles\albanese trovato - A stochastic volatility model for bermudan swaptions and	ca	llab	le	CMS swaps.pdf</t>
  </si>
  <si>
    <t xml:space="preserve">	e:\GoogleDrive\articles\albanese trovato - A stochastic volatility model for bermudan swaptions and	CM	S sw	ap	s.pdf</t>
  </si>
  <si>
    <t xml:space="preserve">bfa3210bdabc030e24b32449da0e7b70	</t>
  </si>
  <si>
    <t xml:space="preserve">	e:\GoogleDrive\articles\data mining\ECMLPKDD2004\styles\backuper.hcs				</t>
  </si>
  <si>
    <t xml:space="preserve">bfab49789950f5cf2c6708ebf7e36390	</t>
  </si>
  <si>
    <t xml:space="preserve">	e:\GoogleDrive\articles\(phd) hunor\phd\appendix-a.tex				</t>
  </si>
  <si>
    <t xml:space="preserve">bfb48ac8859c171396a20b41c416e4a1	</t>
  </si>
  <si>
    <t xml:space="preserve">	e:\GoogleDrive\articles\lecture\url.txt				</t>
  </si>
  <si>
    <t xml:space="preserve">bfcf85756ef19a70643c0961ba6391cd	</t>
  </si>
  <si>
    <t xml:space="preserve">	e:\GoogleDrive\articles\lecture\Lecture9.pdf				</t>
  </si>
  <si>
    <t xml:space="preserve">bfd167295c3e09d9324014a4628f8919	</t>
  </si>
  <si>
    <t xml:space="preserve">	e:\GoogleDrive\articles\wilmott\0705_coverstory.pdf				</t>
  </si>
  <si>
    <t xml:space="preserve">bfd6e41546eee735aba729f176064ba1	</t>
  </si>
  <si>
    <t xml:space="preserve">	e:\GoogleDrive\articles\(ebook) selesnick burrus - Digital Signal Processing Handbook\43.pdf				</t>
  </si>
  <si>
    <t xml:space="preserve">bfd8712d02976d5600d90e83488edbe2	</t>
  </si>
  <si>
    <t xml:space="preserve">	e:\GoogleDrive\articles\time series thesis.ps				</t>
  </si>
  <si>
    <t xml:space="preserve">bfe24d3dc8bf9f3762df8b81ae1a0212	</t>
  </si>
  <si>
    <t xml:space="preserve">	e:\GoogleDrive\articles\bermudan_montecarlo_raphaeldouady.pdf				</t>
  </si>
  <si>
    <t xml:space="preserve">bfe424724fb6d919f17aeb665f656fbe	</t>
  </si>
  <si>
    <t xml:space="preserve">	e:\GoogleDrive\articles\(eBook) - ingles analysis of algorithms\capitulo8-ingles.pdf				</t>
  </si>
  <si>
    <t xml:space="preserve">bfe6525ed82ec997e92c333ec9e3f46e	</t>
  </si>
  <si>
    <t xml:space="preserve">	e:\GoogleDrive\articles\culture generale\jackwerth - artificial stupidity - read.pdf				</t>
  </si>
  <si>
    <t xml:space="preserve">bfe694853ecf30adac6523cf253d598f	</t>
  </si>
  <si>
    <t xml:space="preserve">	e:\GoogleDrive\articles\inflation - 577362.pdf				</t>
  </si>
  <si>
    <t xml:space="preserve">c00fa7146113c94f42292ddaff93db39	</t>
  </si>
  <si>
    <t xml:space="preserve">	e:\GoogleDrive\articles\Hoffman - partial differential equations PDE Introduction.pdf				</t>
  </si>
  <si>
    <t xml:space="preserve">c015c0dc99dc5eece0fe53934d204578	</t>
  </si>
  <si>
    <t xml:space="preserve">	e:\GoogleDrive\articles\london school of economics &amp; political science (dpt of mathemati\Solution 20	0	pdf		</t>
  </si>
  <si>
    <t xml:space="preserve">c0190b5ad56850e5c83698a83120cd88	</t>
  </si>
  <si>
    <t xml:space="preserve">	e:\GoogleDrive\articles\(phd) hunor\phd\hackle\backuper.hcs				</t>
  </si>
  <si>
    <t xml:space="preserve">c025c9c5ec3111c550278090e2be7be6	</t>
  </si>
  <si>
    <t xml:space="preserve">	e:\GoogleDrive\articles\maths\exercices\midterm.pdf				</t>
  </si>
  <si>
    <t xml:space="preserve">c02e3e265817d25bffa723d1ac41f346	</t>
  </si>
  <si>
    <t xml:space="preserve">	e:\GoogleDrive\articles\wilmott\0211_cohen.pdf				</t>
  </si>
  <si>
    <t xml:space="preserve">c0477f2a29ffd25b6403143d806bb317	</t>
  </si>
  <si>
    <t xml:space="preserve">	e:\GoogleDrive\articles\mn480 - computational techniques\append3.pdf				</t>
  </si>
  <si>
    <t xml:space="preserve">c04e74e1f05730b9d291ad790ee14ae1	</t>
  </si>
  <si>
    <t xml:space="preserve">	e:\GoogleDrive\articles\(ebook) - Analyse numerique\chap5.pdf				</t>
  </si>
  <si>
    <t xml:space="preserve">c073c10240dc5f78c47628ba4c2574bf	</t>
  </si>
  <si>
    <t xml:space="preserve">	e:\GoogleDrive\articles\(phd) hunor\phd\figures\original\hackleValidation2.tif				</t>
  </si>
  <si>
    <t xml:space="preserve">c090b3288321b499c8bc8ccdbae8d4a3	</t>
  </si>
  <si>
    <t xml:space="preserve">	e:\GoogleDrive\articles\(eBook) Cesari - modelling pricing and hedging counterparty credit exposure.	pdf			</t>
  </si>
  <si>
    <t xml:space="preserve">	e:\GoogleDrive\articles\(eBook) Cesari - modelling pricing and hedging counterparty credit exposure	.pd	f		</t>
  </si>
  <si>
    <t xml:space="preserve">c0c51ce132313da566cc58d477184bfe	</t>
  </si>
  <si>
    <t xml:space="preserve">	e:\GoogleDrive\articles\maths\CS683 - Advanced algorithms\lec13.ps				</t>
  </si>
  <si>
    <t xml:space="preserve">c0ce1c4976110f77a1bf6ba0174eb62c	</t>
  </si>
  <si>
    <t xml:space="preserve">	e:\GoogleDrive\articles\global risk 2007\day2\Jim Gatheral - For Website.pdf				</t>
  </si>
  <si>
    <t xml:space="preserve">c0e00feb7b60a8c85949f8a33d8d4bb4	</t>
  </si>
  <si>
    <t xml:space="preserve">	e:\GoogleDrive\articles\howison rafaikidis rasmussen - On the pricing and hedging of volatiliy der	iva	tive	s.	pdf</t>
  </si>
  <si>
    <t xml:space="preserve">c0fe4f69e740b2558a61315631d201b7	</t>
  </si>
  <si>
    <t xml:space="preserve">	e:\GoogleDrive\articles\(phd) hunor\phd\these.out				</t>
  </si>
  <si>
    <t xml:space="preserve">c1087abd54543e505ff3193398e5ff21	</t>
  </si>
  <si>
    <t xml:space="preserve">	e:\GoogleDrive\articles\wilmott\0807_gzyl.pdf				</t>
  </si>
  <si>
    <t xml:space="preserve">c128ffa44ed9d57e3298d25a9ea140ab	</t>
  </si>
  <si>
    <t xml:space="preserve">	e:\GoogleDrive\articles\maths\xcheng\oldtest02.pdf				</t>
  </si>
  <si>
    <t xml:space="preserve">c12e113b04aa96188bbd6ddbc21a0a9f	</t>
  </si>
  <si>
    <t xml:space="preserve">	e:\GoogleDrive\articles\yoon - Correlation coefficients heteroskedasticity and contagion of financ	ial	cri	si	s.pdf</t>
  </si>
  <si>
    <t xml:space="preserve">c12e1cb5057012484be14970294ed4f3	</t>
  </si>
  <si>
    <t xml:space="preserve">	e:\GoogleDrive\articles\darsinos satchell - On the valuation of warrants and executive stock option	s.p	df		</t>
  </si>
  <si>
    <t xml:space="preserve">c13b3f26b206e40d07e9bed2573644f2	</t>
  </si>
  <si>
    <t xml:space="preserve">	e:\GoogleDrive\articles\numericalR\c4-6.pdf				</t>
  </si>
  <si>
    <t xml:space="preserve">c13e8613d9b674d70a0bd750de03000c	</t>
  </si>
  <si>
    <t xml:space="preserve">	e:\GoogleDrive\articles\shi - lecture notes on stochastic calculus(Paris6).pdf				</t>
  </si>
  <si>
    <t xml:space="preserve">c14549f5035ba0d8f261df9d4fddbc9e	</t>
  </si>
  <si>
    <t xml:space="preserve">	e:\GoogleDrive\articles\wystupp book\mm\mercurio.pdf				</t>
  </si>
  <si>
    <t xml:space="preserve">c15264c9119b8b7e99ab4ecd1b4c00ef	</t>
  </si>
  <si>
    <t xml:space="preserve">	e:\GoogleDrive\articles\kolodko schoenmakers - bermudan.ps				</t>
  </si>
  <si>
    <t xml:space="preserve">c153b7f54a4c03479b85da4a032c7507	</t>
  </si>
  <si>
    <t xml:space="preserve">	e:\GoogleDrive\articles\CreditRisk.pdf				</t>
  </si>
  <si>
    <t xml:space="preserve">c162bf5da1015c439b86dc0f567e5b27	</t>
  </si>
  <si>
    <t xml:space="preserve">	e:\GoogleDrive\articles\boenkost schmidt - notes on convexity and quanto adjustments for IR and rel	ate	d op	ti	ons.pdf</t>
  </si>
  <si>
    <t xml:space="preserve">c167923c2809878f78c6801be9a7d556	</t>
  </si>
  <si>
    <t xml:space="preserve">	e:\GoogleDrive\articles\devilles - comparison of futures vs forwards.pdf				</t>
  </si>
  <si>
    <t xml:space="preserve">c174f6d37cf8034a66d7b5c882171d82	</t>
  </si>
  <si>
    <t xml:space="preserve">	e:\GoogleDrive\articles\culture generale\pr031103.htm				</t>
  </si>
  <si>
    <t xml:space="preserve">c18e93f0a09c12200c5e0f0ccefc1c0b	</t>
  </si>
  <si>
    <t xml:space="preserve">	e:\GoogleDrive\articles\charvet - LPI swaps with a smile.pdf				</t>
  </si>
  <si>
    <t xml:space="preserve">c198a9eee6f4a6b903c4e0713ff1902e	</t>
  </si>
  <si>
    <t xml:space="preserve">	e:\GoogleDrive\articles\hu kerkhof McCloud Wackertapp - cutting edges using domain integration.pd	f			</t>
  </si>
  <si>
    <t xml:space="preserve">	e:\GoogleDrive\articles\RISK_1106_95-99.pdf				</t>
  </si>
  <si>
    <t xml:space="preserve">c1beec5d09c6c580ca6e61c620049b06	</t>
  </si>
  <si>
    <t xml:space="preserve">	e:\GoogleDrive\articles\anagrammer\Efficient C++ Performance Programming Techniques.pdf				</t>
  </si>
  <si>
    <t xml:space="preserve">c1cbde440f1efd001134b7ca07346b36	</t>
  </si>
  <si>
    <t xml:space="preserve">	e:\GoogleDrive\articles\wilmott\0303_brown.pdf				</t>
  </si>
  <si>
    <t xml:space="preserve">c1d3523cd11607e034167dd309b8d1b4	</t>
  </si>
  <si>
    <t xml:space="preserve">	e:\GoogleDrive\articles\stanford - convex optimisation\08 - geom.pdf				</t>
  </si>
  <si>
    <t xml:space="preserve">c1d639e49f0a70be28bf8144a84b8588	</t>
  </si>
  <si>
    <t xml:space="preserve">	e:\GoogleDrive\articles\(eBook) - ingles analysis of algorithms\codes.zip				</t>
  </si>
  <si>
    <t xml:space="preserve">c1dcf3cef24d994b5b1865a522d4cf80	</t>
  </si>
  <si>
    <t xml:space="preserve">	e:\GoogleDrive\articles\(ebook) - cherubini Copula Methods in Finance (2004).pdf				</t>
  </si>
  <si>
    <t xml:space="preserve">c1f0b9e269683a7a7991179c0507a6c6	</t>
  </si>
  <si>
    <t xml:space="preserve">	e:\GoogleDrive\articles\CGAL - Getting started with CGAL.pdf				</t>
  </si>
  <si>
    <t xml:space="preserve">	e:\GoogleDrive\articles\Getting Started with CGAL.pdf				</t>
  </si>
  <si>
    <t xml:space="preserve">c1f57c4c7c98884a9321edea96a925f2	</t>
  </si>
  <si>
    <t xml:space="preserve">	e:\GoogleDrive\articles\(phd) hunor\phd\hackle\part1.tex				</t>
  </si>
  <si>
    <t xml:space="preserve">c2180aeba041cc80c3d5c47a5589be3d	</t>
  </si>
  <si>
    <t xml:space="preserve">	e:\GoogleDrive\articles\ebook with cev chapter\url.txt				</t>
  </si>
  <si>
    <t xml:space="preserve">c21b35d8895faaf591a1cc79114ee36b	</t>
  </si>
  <si>
    <t xml:space="preserve">	e:\GoogleDrive\articles\global derivatives 2008\joao garcia - tabx.pdf				</t>
  </si>
  <si>
    <t xml:space="preserve">c21bfae518598cfd2e37a52aa8216af4	</t>
  </si>
  <si>
    <t xml:space="preserve">	e:\GoogleDrive\articles\aspremont - calibration et gestion des risques dans les modeles de taux par	la	pogr	am	mation semidefinie.pdf</t>
  </si>
  <si>
    <t xml:space="preserve">	e:\GoogleDrive\articles\calibration et gestion des risques dans les modeles de taux .pdf				</t>
  </si>
  <si>
    <t xml:space="preserve">c22d482bc69aa0143280019b29b2b670	</t>
  </si>
  <si>
    <t xml:space="preserve">	e:\GoogleDrive\articles\culture generale\hiro ito - japan interest rate was really to high.pdf				</t>
  </si>
  <si>
    <t xml:space="preserve">c23f35ac525000fa0ee8629ea2085454	</t>
  </si>
  <si>
    <t xml:space="preserve">	e:\GoogleDrive\articles\wilmott\0807_news.pdf				</t>
  </si>
  <si>
    <t xml:space="preserve">c26fd350a9d3f6e0416979040a6990ba	</t>
  </si>
  <si>
    <t xml:space="preserve">	e:\GoogleDrive\articles\Avellaneda Boyer-Olson Busca Friz - Reconstructing volatility.pdf				</t>
  </si>
  <si>
    <t xml:space="preserve">c27689a87eaa29e36016c9887c9bc5a7	</t>
  </si>
  <si>
    <t xml:space="preserve">	e:\GoogleDrive\articles\maths sp‚\chapitre05 - espace vectoriels.pdf				</t>
  </si>
  <si>
    <t xml:space="preserve">c277f859a06235d5f893f8cd880ec755	</t>
  </si>
  <si>
    <t xml:space="preserve">	e:\GoogleDrive\articles\wilmott\0301_brown.pdf				</t>
  </si>
  <si>
    <t xml:space="preserve">c28e69a4beae7a09eeec4946c4a1c18f	</t>
  </si>
  <si>
    <t xml:space="preserve">	e:\GoogleDrive\articles\data mining\ECMLPKDD2004\tutorials\T7_Part 1.pdf				</t>
  </si>
  <si>
    <t xml:space="preserve">c2c1c98e04055f97fdbadb59cdac8023	</t>
  </si>
  <si>
    <t xml:space="preserve">	e:\GoogleDrive\articles\wilmott\0407_osband.pdf				</t>
  </si>
  <si>
    <t xml:space="preserve">c2c8491f21eab7d012616ce9c8f1dd4e	</t>
  </si>
  <si>
    <t xml:space="preserve">	e:\GoogleDrive\articles\kleinert - path integrals 14.pdf				</t>
  </si>
  <si>
    <t xml:space="preserve">c2f353cdc72f835c33dd229f811739ec	</t>
  </si>
  <si>
    <t xml:space="preserve">	e:\GoogleDrive\articles\maths\optimisation\url.txt				</t>
  </si>
  <si>
    <t xml:space="preserve">c2f572779adf0383c36ab4d571efda71	</t>
  </si>
  <si>
    <t xml:space="preserve">	e:\GoogleDrive\articles\Obloj - Fine Tune Your Smile (2008).pdf				</t>
  </si>
  <si>
    <t xml:space="preserve">	e:\GoogleDrive\articles\obloj - fine tuning your smile (corrections to sabr).pdf				</t>
  </si>
  <si>
    <t xml:space="preserve">c2fe97dae44cff6ea7b7725b2ebf0bf1	</t>
  </si>
  <si>
    <t xml:space="preserve">	e:\GoogleDrive\articles\wilmott\0307_realoptions.pdf				</t>
  </si>
  <si>
    <t xml:space="preserve">c31d6cbce21d26d2c861ec8151382c5f	</t>
  </si>
  <si>
    <t xml:space="preserve">	e:\GoogleDrive\articles\Flinn - introduction to model based estimation (2013).pdf				</t>
  </si>
  <si>
    <t xml:space="preserve">c3226bff283900fc09c1b6fbf9f71c20	</t>
  </si>
  <si>
    <t xml:space="preserve">	e:\GoogleDrive\articles\WBS IR modelling Course\Credit Derivatives and Hybrids\CDWorkshop_4_67.pdf				</t>
  </si>
  <si>
    <t xml:space="preserve">c325af0bd5d1efc42939be5f5c7b2efa	</t>
  </si>
  <si>
    <t xml:space="preserve">	e:\GoogleDrive\articles\journal of computational finance\v9n3a1.pdf				</t>
  </si>
  <si>
    <t xml:space="preserve">c3319cb2ee517afe7c7bd0153fe00fc8	</t>
  </si>
  <si>
    <t xml:space="preserve">	e:\GoogleDrive\articles\pirsic - A software implementation of Niederreiter-Xing sequences (2001).pdf				</t>
  </si>
  <si>
    <t xml:space="preserve">c334e392ac59fbb7a846cc1fa508a77a	</t>
  </si>
  <si>
    <t xml:space="preserve">	e:\GoogleDrive\articles\Coffey-Schoenmakers parametric correlation.pdf				</t>
  </si>
  <si>
    <t xml:space="preserve">c34d0a57c6e296ff11fe3276afe940b5	</t>
  </si>
  <si>
    <t xml:space="preserve">	e:\GoogleDrive\articles\rosenthal - Direct Isosurface Extraction from Scattered Volume data.pdf				</t>
  </si>
  <si>
    <t xml:space="preserve">c35df2661b81a2aa2ac28d3498bcf8f9	</t>
  </si>
  <si>
    <t xml:space="preserve">	e:\GoogleDrive\articles\(phd) hunor\phd\these.zip				</t>
  </si>
  <si>
    <t xml:space="preserve">c36ac446b050603ddd2003dd8920a72f	</t>
  </si>
  <si>
    <t xml:space="preserve">	e:\GoogleDrive\articles\vasilyev - finite differences on high order meshes.pdf				</t>
  </si>
  <si>
    <t xml:space="preserve">c37ec782a593a209446dccfc5d145913	</t>
  </si>
  <si>
    <t xml:space="preserve">	e:\GoogleDrive\articles\maths sp‚\chapitre17 - cylindres cones et surfaces de revolution.pdf				</t>
  </si>
  <si>
    <t xml:space="preserve">c38e5f5c0be279fa194ed02ec8d80405	</t>
  </si>
  <si>
    <t xml:space="preserve">	e:\GoogleDrive\articles\breeden-litzenberger.pdf				</t>
  </si>
  <si>
    <t xml:space="preserve">c3a2cdfebf11bd045ee6dd656b95d832	</t>
  </si>
  <si>
    <t xml:space="preserve">	e:\GoogleDrive\articles\wilmott\0811_lehalle.pdf				</t>
  </si>
  <si>
    <t xml:space="preserve">c3c6540d97a3b8e668ab43986ce06139	</t>
  </si>
  <si>
    <t xml:space="preserve">	e:\GoogleDrive\articles\wilmott\0301_osband.pdf				</t>
  </si>
  <si>
    <t xml:space="preserve">c3c8540f7ff56d7307a52bae7b800912	</t>
  </si>
  <si>
    <t xml:space="preserve">	e:\GoogleDrive\articles\wilmott\0405_appasamy.pdf				</t>
  </si>
  <si>
    <t xml:space="preserve">c3d987fec17e0f6a07414ff97ea978fa	</t>
  </si>
  <si>
    <t xml:space="preserve">	e:\GoogleDrive\articles\maths\xcheng\week14.pdf				</t>
  </si>
  <si>
    <t xml:space="preserve">c3de7046bf08481043e204419bdb68b2	</t>
  </si>
  <si>
    <t xml:space="preserve">	e:\GoogleDrive\articles\Architecture Software Developer's Manual Volume 3B - 25366920.pdf				</t>
  </si>
  <si>
    <t xml:space="preserve">c3e5424f788990092c74cc4e0361670b	</t>
  </si>
  <si>
    <t xml:space="preserve">	e:\GoogleDrive\articles\maths\lemmermayer\hwfa5.pdf				</t>
  </si>
  <si>
    <t xml:space="preserve">c3f28a4dace6acc7c4901ec61617da61	</t>
  </si>
  <si>
    <t xml:space="preserve">	e:\GoogleDrive\articles\books.txt				</t>
  </si>
  <si>
    <t xml:space="preserve">c3f63c32ec25d643137f0c7fd8463748	</t>
  </si>
  <si>
    <t xml:space="preserve">	e:\GoogleDrive\articles\(ebook) selesnick burrus - Digital Signal Processing Handbook\62.pdf				</t>
  </si>
  <si>
    <t xml:space="preserve">c407a29fd8c23e228a6b88a101ec066c	</t>
  </si>
  <si>
    <t xml:space="preserve">	e:\GoogleDrive\articles\gillesDaniel - open framework for agent-based market models.pdf				</t>
  </si>
  <si>
    <t xml:space="preserve">c4138de3140361b08ef7a9ccc6075fcf	</t>
  </si>
  <si>
    <t xml:space="preserve">	e:\GoogleDrive\articles\info - graphics\dey li sun - Normal Estimation for Point Clouds A Comparis	on	Stud	y	for a Voronoi Based Method .pdf</t>
  </si>
  <si>
    <t xml:space="preserve">c41d9b50a3a1d91acaa525e8924046e3	</t>
  </si>
  <si>
    <t xml:space="preserve">	e:\GoogleDrive\articles\global risk 2007\day3\broadie_paris_2007_final.zip				</t>
  </si>
  <si>
    <t xml:space="preserve">c42efed3f3e61b2d35157ed5edb52eb2	</t>
  </si>
  <si>
    <t xml:space="preserve">	e:\GoogleDrive\articles\Dufresne Goldstein - Stochastic Correlation and the Relativ.pdf				</t>
  </si>
  <si>
    <t xml:space="preserve">	e:\GoogleDrive\articles\Dufresne Goldstein - Stochastic Correlation and the Relative Pricing of Cap	s a	nd S	wa	ptions.pdf</t>
  </si>
  <si>
    <t xml:space="preserve">c4652394de3068c75b16c92855f681d1	</t>
  </si>
  <si>
    <t xml:space="preserve">	e:\GoogleDrive\articles\maths\exercices in hedging in insurance.ps				</t>
  </si>
  <si>
    <t xml:space="preserve">c474c02dd10ec367dff9d64b305d2e7f	</t>
  </si>
  <si>
    <t xml:space="preserve">	e:\GoogleDrive\articles\maths\durees - prn.pdf				</t>
  </si>
  <si>
    <t xml:space="preserve">c47c0cba8b55cbe0e7b3e240266148fb	</t>
  </si>
  <si>
    <t xml:space="preserve">	e:\GoogleDrive\articles\numericalR\c4-4.pdf				</t>
  </si>
  <si>
    <t xml:space="preserve">c48b3e1f655be2f35fca2312be3ac274	</t>
  </si>
  <si>
    <t xml:space="preserve">	e:\GoogleDrive\articles\(eBook) - Trfethen\4 - all.pdf				</t>
  </si>
  <si>
    <t xml:space="preserve">c490521edfd7fb75b98ebb93db0fe433	</t>
  </si>
  <si>
    <t xml:space="preserve">	e:\GoogleDrive\articles\tenney - discrepancy and discrepancies in MC.pdf				</t>
  </si>
  <si>
    <t xml:space="preserve">c4b56d717f377b6eb3886038d9994731	</t>
  </si>
  <si>
    <t xml:space="preserve">	e:\GoogleDrive\articles\barrier options.txt				</t>
  </si>
  <si>
    <t xml:space="preserve">c4be0f5dbdfad76622a7f75db7cd29e0	</t>
  </si>
  <si>
    <t xml:space="preserve">	e:\GoogleDrive\articles\wilmott\0807_brown.pdf				</t>
  </si>
  <si>
    <t xml:space="preserve">c4c0f3cf88d5738e7966f5808430a733	</t>
  </si>
  <si>
    <t xml:space="preserve">	e:\GoogleDrive\articles\administratif\caf3.doc				</t>
  </si>
  <si>
    <t xml:space="preserve">c4c81a252b4a00a98f5b42b6edaf9de9	</t>
  </si>
  <si>
    <t xml:space="preserve">	e:\GoogleDrive\articles\wilmott\0505_wehn.pdf				</t>
  </si>
  <si>
    <t xml:space="preserve">c4c99725594cd5be70e1ab89a8f781e5	</t>
  </si>
  <si>
    <t xml:space="preserve">	e:\GoogleDrive\articles\(eBook) - W. E. Boyce R. C. DiPrima - Elementary Differenti.pdf				</t>
  </si>
  <si>
    <t xml:space="preserve">c4de78912f4856d395542f80a802a54b	</t>
  </si>
  <si>
    <t xml:space="preserve">	e:\GoogleDrive\articles\Andrews Sequin - Generalized Basis-Independent Kinematic Surface Fitting (	201	3).p	df	</t>
  </si>
  <si>
    <t xml:space="preserve">c50453dd70f176fa17d26389ad42f7ba	</t>
  </si>
  <si>
    <t xml:space="preserve">	e:\GoogleDrive\articles\numericalR\c2-8.pdf				</t>
  </si>
  <si>
    <t xml:space="preserve">c50a7ec493164573360d29261fb13101	</t>
  </si>
  <si>
    <t xml:space="preserve">	e:\GoogleDrive\articles\wilmott\0409_falkenberry.pdf				</t>
  </si>
  <si>
    <t xml:space="preserve">c51edee22ef7683df60af948d14927a7	</t>
  </si>
  <si>
    <t xml:space="preserve">	e:\GoogleDrive\articles\carr jang - Simulating Bermudan Interest Rate Derivatives - prn.pdf				</t>
  </si>
  <si>
    <t xml:space="preserve">	e:\GoogleDrive\articles\carr yang - simulating bermudan interest rate derivatives - prn.pdf				</t>
  </si>
  <si>
    <t xml:space="preserve">c54bdc4dd60aeb59f884a8c5c00fdb0d	</t>
  </si>
  <si>
    <t xml:space="preserve">	e:\GoogleDrive\articles\mscthesis.ps.gz				</t>
  </si>
  <si>
    <t xml:space="preserve">c555220c8d42417f201b70ea2fb30211	</t>
  </si>
  <si>
    <t xml:space="preserve">	e:\GoogleDrive\articles\Rolling Analysis of Time Series.pdf				</t>
  </si>
  <si>
    <t xml:space="preserve">c55ac8dc8866db50438cc4babd7cccbb	</t>
  </si>
  <si>
    <t xml:space="preserve">	e:\GoogleDrive\articles\fries - Markov_Functional_CCY_Model.pdf				</t>
  </si>
  <si>
    <t xml:space="preserve">c579c3da1c13c40b2b3b9594e07477f1	</t>
  </si>
  <si>
    <t xml:space="preserve">	e:\GoogleDrive\articles\lobaskin\P.Kaufman.Trading Systems &amp; Methods\Kaufman - Trading Systems &amp; Met	hod	s -	Ch	ap23l.doc</t>
  </si>
  <si>
    <t xml:space="preserve">c583cf891df7da23872962d986ff849d	</t>
  </si>
  <si>
    <t xml:space="preserve">	e:\GoogleDrive\articles\Andersen - A simple approach to the pricing of Bermudan swaptions in the mul	tif	acto	r	LIBOR market model.pdf</t>
  </si>
  <si>
    <t xml:space="preserve">c5872208e1b5ac604c34ba3d29b5e74c	</t>
  </si>
  <si>
    <t xml:space="preserve">	e:\GoogleDrive\articles\(ebook) - Handbook of applied cryptography\chap12.pdf				</t>
  </si>
  <si>
    <t xml:space="preserve">c58e7486aef0f3f7e0ee809076a7c027	</t>
  </si>
  <si>
    <t xml:space="preserve">	e:\GoogleDrive\articles\mark rubinstein\Derivatives Performance Attribution.doc				</t>
  </si>
  <si>
    <t xml:space="preserve">c5a76a63f19aadb18a1c5c6437b1f148	</t>
  </si>
  <si>
    <t xml:space="preserve">	e:\GoogleDrive\articles\Ohnishi Tamba - various features of the chooser flexible cap.pdf				</t>
  </si>
  <si>
    <t xml:space="preserve">c5c6c560c716db69e183956fa220f2b1	</t>
  </si>
  <si>
    <t xml:space="preserve">	e:\GoogleDrive\articles\eisermann - comment fonctionne google.pdf				</t>
  </si>
  <si>
    <t xml:space="preserve">c5f29722cb92faa9c8b57f276ca0780a	</t>
  </si>
  <si>
    <t xml:space="preserve">	e:\GoogleDrive\articles\info - graphics\CGAL-delaunay-refinement-2D-pa.pdf				</t>
  </si>
  <si>
    <t xml:space="preserve">c60dde9bf2743fbb633bd332817c0a0a	</t>
  </si>
  <si>
    <t xml:space="preserve">	e:\GoogleDrive\articles\zvan98 - Robust Numerical Methods for PDE Models of Asian Options.pdf				</t>
  </si>
  <si>
    <t xml:space="preserve">c63d47d79fc7868ceb5e4dd8ad5aaa56	</t>
  </si>
  <si>
    <t xml:space="preserve">	e:\GoogleDrive\articles\course - DataSecurity.pdf				</t>
  </si>
  <si>
    <t xml:space="preserve">c6611c7e94ad4a5277bcba10a4c2d874	</t>
  </si>
  <si>
    <t xml:space="preserve">	e:\GoogleDrive\articles\info - algo\carlsson chen mattsson - Heaps with bits.pdf				</t>
  </si>
  <si>
    <t xml:space="preserve">c66cdd7729d33363e1d170949db8e40f	</t>
  </si>
  <si>
    <t xml:space="preserve">	e:\GoogleDrive\articles\Gilkey - Invariance Theory The Heat Equation And The Atiya.pdf				</t>
  </si>
  <si>
    <t xml:space="preserve">c671b374bc757fe8c5a8674595dbc7f1	</t>
  </si>
  <si>
    <t xml:space="preserve">	e:\GoogleDrive\articles\data mining\ECMLPKDD2004\covers\W7.pdf				</t>
  </si>
  <si>
    <t xml:space="preserve">c67664bd895a665780320eb87f9809e0	</t>
  </si>
  <si>
    <t xml:space="preserve">	e:\GoogleDrive\articles\mark rubinstein\No 'Best' Strategy for Portfolio Insurance.doc				</t>
  </si>
  <si>
    <t xml:space="preserve">c6777e1f513866d27fffa19b202550a3	</t>
  </si>
  <si>
    <t xml:space="preserve">	e:\GoogleDrive\articles\russeeuw bassett - the remedian a robust averaging method for large data s	ets	.pdf		</t>
  </si>
  <si>
    <t xml:space="preserve">	e:\GoogleDrive\articles\info - algo\rousseeuw bassett - The Remedian A Robust Averaging Method for	Lar	ge D	at	a sets.pdf</t>
  </si>
  <si>
    <t xml:space="preserve">c692ea57363eff3fd81a00cb4097b8f8	</t>
  </si>
  <si>
    <t xml:space="preserve">	e:\GoogleDrive\articles\talay - cours-cime-96.ps				</t>
  </si>
  <si>
    <t xml:space="preserve">c697f8b5f5e07940f6c01ffa902bb97d	</t>
  </si>
  <si>
    <t xml:space="preserve">	e:\GoogleDrive\articles\(phd) hunor\phd\kn08.blg				</t>
  </si>
  <si>
    <t xml:space="preserve">c69e2f4423bbd1bf6959aa8091e79bcc	</t>
  </si>
  <si>
    <t xml:space="preserve">	e:\GoogleDrive\articles\kohn - sde\section2.ps				</t>
  </si>
  <si>
    <t xml:space="preserve">c6a1230e4b9ec006c417e141c2d7e75a	</t>
  </si>
  <si>
    <t xml:space="preserve">	e:\GoogleDrive\articles\MARisk0302_MountainOptions1 - prn.pdf				</t>
  </si>
  <si>
    <t xml:space="preserve">c6ff884ab0fa849868ddc6902949f21d	</t>
  </si>
  <si>
    <t xml:space="preserve">	e:\GoogleDrive\articles\(phd) jeannin - first passage problems.pdf				</t>
  </si>
  <si>
    <t xml:space="preserve">c72477de2fc802076b90d9337780f9dd	</t>
  </si>
  <si>
    <t xml:space="preserve">	e:\GoogleDrive\articles\wilmott\0403_carreviews.pdf				</t>
  </si>
  <si>
    <t xml:space="preserve">c74822e2053ab974ce135bcd7c98d701	</t>
  </si>
  <si>
    <t xml:space="preserve">	e:\GoogleDrive\articles\epps - a test for normality based on the characteristic function.doc				</t>
  </si>
  <si>
    <t xml:space="preserve">c7d2cc0c3d4d4868cef4e1faa9f65b89	</t>
  </si>
  <si>
    <t xml:space="preserve">	e:\GoogleDrive\articles\latex files\Asian &amp; Basket Options\AsianAndBasketOptions.tex				</t>
  </si>
  <si>
    <t xml:space="preserve">c81b2c3aa5bf8fa1e5d6c60a394e534b	</t>
  </si>
  <si>
    <t xml:space="preserve">	e:\GoogleDrive\articles\anagrammer\The Windows 2000 Device Driver Book A Guide for Programmers Sec	ond	Edi	ti	on.chm</t>
  </si>
  <si>
    <t xml:space="preserve">c82db2dea89db83f3ec5d0ed27725af8	</t>
  </si>
  <si>
    <t xml:space="preserve">	e:\GoogleDrive\articles\nielsen et al. - optimisation with constraints.pdf				</t>
  </si>
  <si>
    <t xml:space="preserve">c82f6aabf23a402828abfbe915dbd813	</t>
  </si>
  <si>
    <t xml:space="preserve">	e:\GoogleDrive\articles\Levy processes\Eberlein_Kluge_CompFinance.pdf				</t>
  </si>
  <si>
    <t xml:space="preserve">c839f014a77728c82d45a7fdfdf364f7	</t>
  </si>
  <si>
    <t xml:space="preserve">	e:\GoogleDrive\articles\vcubebbg2.pdf				</t>
  </si>
  <si>
    <t xml:space="preserve">c8406ffdf600426e3822a5bf255f14b4	</t>
  </si>
  <si>
    <t xml:space="preserve">	e:\GoogleDrive\articles\WBS IR modelling Course\IR Modelling\IRMWorkshop2_70.pdf				</t>
  </si>
  <si>
    <t xml:space="preserve">c84944b3dd21c7ceb7f80b8425de8714	</t>
  </si>
  <si>
    <t xml:space="preserve">	e:\GoogleDrive\articles\higham - narep369.pdf				</t>
  </si>
  <si>
    <t xml:space="preserve">c8592dd5bd5f0d54d651561bde893288	</t>
  </si>
  <si>
    <t xml:space="preserve">	e:\GoogleDrive\articles\wilmott\0311_coverstory.pdf				</t>
  </si>
  <si>
    <t xml:space="preserve">c8612bd0ff423144f7936a17063ff8d8	</t>
  </si>
  <si>
    <t xml:space="preserve">	e:\GoogleDrive\articles\lecture notes (pittman probas)\lecture20.pdf				</t>
  </si>
  <si>
    <t xml:space="preserve">c864deb43cfdb6b504420671c369c680	</t>
  </si>
  <si>
    <t xml:space="preserve">	e:\GoogleDrive\articles\hagan - lgm1fact.pdf				</t>
  </si>
  <si>
    <t xml:space="preserve">c87f0740222f490be6f0cb695457201d	</t>
  </si>
  <si>
    <t xml:space="preserve">	e:\GoogleDrive\articles\culture generale\economics\lecture\reading\ch10 - king.pdf				</t>
  </si>
  <si>
    <t xml:space="preserve">c889075d19f9c9bad69654ecaf61ae6a	</t>
  </si>
  <si>
    <t xml:space="preserve">	e:\GoogleDrive\articles\chan - Understanding Momentum Stock Trading Strategies - prn.pdf				</t>
  </si>
  <si>
    <t xml:space="preserve">	e:\GoogleDrive\articles\Understanding Momentum Stock Trading Strategies - prn.pdf				</t>
  </si>
  <si>
    <t xml:space="preserve">c89e5675e7b2bf150dd5a15eb50a79a7	</t>
  </si>
  <si>
    <t xml:space="preserve">	e:\GoogleDrive\articles\(eBook) - Justin London - Modeling Derivatives in C++.pdf				</t>
  </si>
  <si>
    <t xml:space="preserve">	e:\GoogleDrive\articles\(eBook) Justin London - Modeling Derivatives in C++.pdf				</t>
  </si>
  <si>
    <t xml:space="preserve">c8a4642bf534df55a156ade06b7926e6	</t>
  </si>
  <si>
    <t xml:space="preserve">	e:\GoogleDrive\articles\data mining\ECMLPKDD2004\images\brigtherBack.png				</t>
  </si>
  <si>
    <t xml:space="preserve">c8a9b8b9fe0a843f8adf81374ac511d6	</t>
  </si>
  <si>
    <t xml:space="preserve">	e:\GoogleDrive\articles\magdon-ismail atiya pratap abu-mostafa - On the Maximum Drawdown of a Bro	wni	an M	ot	ion.pdf</t>
  </si>
  <si>
    <t xml:space="preserve">	e:\GoogleDrive\articles\On the Maximum Drawdown of a Brownian Motion (2003).pdf				</t>
  </si>
  <si>
    <t xml:space="preserve">c8c0ee5c08b18b0e7b7773bf8328027c	</t>
  </si>
  <si>
    <t xml:space="preserve">	e:\GoogleDrive\articles\numericalR\c9-7.pdf				</t>
  </si>
  <si>
    <t xml:space="preserve">c8dc5d6de32e7cd43adf09e88bf2536e	</t>
  </si>
  <si>
    <t xml:space="preserve">	e:\GoogleDrive\articles\latex files\Corridors\fig_mccorridor.pdf				</t>
  </si>
  <si>
    <t xml:space="preserve">c8e43a515e690f58dd8ca311b053b05c	</t>
  </si>
  <si>
    <t xml:space="preserve">	e:\GoogleDrive\articles\stanford - convex optimisation\04 - problems.pdf				</t>
  </si>
  <si>
    <t xml:space="preserve">c8ffbc8b6d16c1aaafa9e9bc34a6636d	</t>
  </si>
  <si>
    <t xml:space="preserve">	e:\GoogleDrive\articles\(eBook) - statistical methods\chapter07.pdf				</t>
  </si>
  <si>
    <t xml:space="preserve">c903eba8b33778759c52cdcef012cc9e	</t>
  </si>
  <si>
    <t xml:space="preserve">	e:\GoogleDrive\articles\global risk 2007\day2\Julien Turc.pdf				</t>
  </si>
  <si>
    <t xml:space="preserve">c9073c886f797d6b6f815c2546c06f8e	</t>
  </si>
  <si>
    <t xml:space="preserve">	e:\GoogleDrive\articles\zhang wu - Optimal low-rank approximation of correlation matrix.pdf				</t>
  </si>
  <si>
    <t xml:space="preserve">c919ef3248ede59689e2afa252cc6976	</t>
  </si>
  <si>
    <t xml:space="preserve">	e:\GoogleDrive\articles\wilmott\0503_bookclub.pdf				</t>
  </si>
  <si>
    <t xml:space="preserve">c91fa2d4084276c49f717df385f7d182	</t>
  </si>
  <si>
    <t xml:space="preserve">	e:\GoogleDrive\articles\stats\backuper.hcs				</t>
  </si>
  <si>
    <t xml:space="preserve">c9260c4b7627bb114830a4ace612ca62	</t>
  </si>
  <si>
    <t xml:space="preserve">	e:\GoogleDrive\articles\(ebook) selesnick burrus - Digital Signal Processing Handbook\11.pdf				</t>
  </si>
  <si>
    <t xml:space="preserve">c93139497c391d5cebd74011d3862cc8	</t>
  </si>
  <si>
    <t xml:space="preserve">	e:\GoogleDrive\articles\maths\exercices\final.pdf				</t>
  </si>
  <si>
    <t xml:space="preserve">c93cfc7f3eacb2bb218d5228bb2bf71c	</t>
  </si>
  <si>
    <t xml:space="preserve">	e:\GoogleDrive\articles\(ebook) selesnick burrus - Digital Signal Processing Handbook\13.pdf				</t>
  </si>
  <si>
    <t xml:space="preserve">c94387dead81fd9b2f0b2cfd502280ad	</t>
  </si>
  <si>
    <t xml:space="preserve">	e:\GoogleDrive\articles\equity\Volume1.doc				</t>
  </si>
  <si>
    <t xml:space="preserve">	e:\GoogleDrive\articles\equity (lehman brothers)\Volume1.doc				</t>
  </si>
  <si>
    <t xml:space="preserve">c94614354421c8ec4ab0cb4cb3fa64f3	</t>
  </si>
  <si>
    <t xml:space="preserve">	e:\GoogleDrive\articles\mn480 - computational techniques\append4.pdf				</t>
  </si>
  <si>
    <t xml:space="preserve">c95b80af9634e0be0a4b54b5ea8612f6	</t>
  </si>
  <si>
    <t xml:space="preserve">	e:\GoogleDrive\articles\wilmott\0211_thorp.pdf				</t>
  </si>
  <si>
    <t xml:space="preserve">c963f0673c7e61b6c8db73b3ab0046dd	</t>
  </si>
  <si>
    <t xml:space="preserve">	e:\GoogleDrive\articles\cherubini luciani - pricing and hedging vulnerabe credit derivatives with c	opu	las.	pd	f</t>
  </si>
  <si>
    <t xml:space="preserve">c97518a6ae888ff12dda24c3aed8f763	</t>
  </si>
  <si>
    <t xml:space="preserve">	e:\GoogleDrive\articles\brace et al - Exact fitting to swaption volatility Matrix using semidefinite	pr	ogra	mm	ing.ps</t>
  </si>
  <si>
    <t xml:space="preserve">	e:\GoogleDrive\articles\brace womersley - Exact fitting to swaption volatility Matrix using semidef	ini	te p	ro	gramming.ps</t>
  </si>
  <si>
    <t xml:space="preserve">c97abe0ed8b29b4031fb38df4823ccf9	</t>
  </si>
  <si>
    <t xml:space="preserve">	e:\GoogleDrive\articles\lobaskin\P.Kaufman.Trading Systems &amp; Methods\Kaufman - Trading Systems &amp; Met	hod	s -	In	dex.doc</t>
  </si>
  <si>
    <t xml:space="preserve">c985d1351ecafa3034feadcb8b6870a1	</t>
  </si>
  <si>
    <t xml:space="preserve">	e:\GoogleDrive\articles\info - algo\Maple - For Engineers And Scientists.pdf				</t>
  </si>
  <si>
    <t xml:space="preserve">c992102b74c9b69df8b18d7ce7059b18	</t>
  </si>
  <si>
    <t xml:space="preserve">	e:\GoogleDrive\articles\lobaskin\Trading_Systems_and_Methods_Third_Edition.pdf				</t>
  </si>
  <si>
    <t xml:space="preserve">c99d07dec0732c17a20c90b64cf288c8	</t>
  </si>
  <si>
    <t xml:space="preserve">	e:\GoogleDrive\articles\wilmott\0511_drz.pdf				</t>
  </si>
  <si>
    <t xml:space="preserve">c9a460b0170b9f20ed4e022c747153e8	</t>
  </si>
  <si>
    <t xml:space="preserve">	e:\GoogleDrive\articles\wilmott\0705_kraft.pdf				</t>
  </si>
  <si>
    <t xml:space="preserve">c9a5c31b880cf199f08d8e1926b9b5ad	</t>
  </si>
  <si>
    <t xml:space="preserve">	e:\GoogleDrive\articles\fourier transform properties.pdf				</t>
  </si>
  <si>
    <t xml:space="preserve">c9b6b3e0a912e40dde17291ce55ba9d4	</t>
  </si>
  <si>
    <t xml:space="preserve">	e:\GoogleDrive\articles\(phd) hunor\phd\kMC.aux				</t>
  </si>
  <si>
    <t xml:space="preserve">c9cfe71a044e18c2eb0161f9e5fd32d9	</t>
  </si>
  <si>
    <t xml:space="preserve">	e:\GoogleDrive\articles\mark rubinstein\Value of Information.doc				</t>
  </si>
  <si>
    <t xml:space="preserve">ca0d8fb6e831a9c05c98a9eeaef26e6d	</t>
  </si>
  <si>
    <t xml:space="preserve">	e:\GoogleDrive\articles\(ebook) - a non random walk down Wall street\intro.pdf				</t>
  </si>
  <si>
    <t xml:space="preserve">ca1c5b9bf9a6d163299802af1f4bfcfc	</t>
  </si>
  <si>
    <t xml:space="preserve">	e:\GoogleDrive\articles\numerical methods for option pricing.pdf				</t>
  </si>
  <si>
    <t xml:space="preserve">ca24dd10cc17970fa4fbadcc6339bec4	</t>
  </si>
  <si>
    <t xml:space="preserve">	e:\GoogleDrive\articles\chapter-book-copula-density-estimation.pdf				</t>
  </si>
  <si>
    <t xml:space="preserve">ca27774f2aa70372dd0966c3ac2ff52b	</t>
  </si>
  <si>
    <t xml:space="preserve">	e:\GoogleDrive\articles\Tristano J.R. Advancing front surface mesh generation in parametric space u	sin	g a	Ri	emannian surface definition.pdf</t>
  </si>
  <si>
    <t xml:space="preserve">ca38940c51eca62a5029d1945a14f6d5	</t>
  </si>
  <si>
    <t xml:space="preserve">	e:\GoogleDrive\articles\hull white - using hull-white interest-rate trees (1996).pdf				</t>
  </si>
  <si>
    <t xml:space="preserve">ca5e9a288622fe2e65c564bd99789850	</t>
  </si>
  <si>
    <t xml:space="preserve">	e:\GoogleDrive\articles\hunor - 2010 Jan Mumbai v02.ppt				</t>
  </si>
  <si>
    <t xml:space="preserve">ca5fcd9637f70e52949f8bfb23312a71	</t>
  </si>
  <si>
    <t xml:space="preserve">	e:\GoogleDrive\articles\maths\kunita-watanbe extension.pdf				</t>
  </si>
  <si>
    <t xml:space="preserve">ca615c6a86745cfa9b6a29efb5815cbf	</t>
  </si>
  <si>
    <t xml:space="preserve">	e:\GoogleDrive\articles\global risk 2007\day2\15.15 Eydeland.zip				</t>
  </si>
  <si>
    <t xml:space="preserve">ca629bab62139f93a4cd71ded94398e5	</t>
  </si>
  <si>
    <t xml:space="preserve">	e:\GoogleDrive\articles\Schoenmakers Coffey - LIBOR rate Models Related Derivatives and Model Cali	bra	tion	.p	df</t>
  </si>
  <si>
    <t xml:space="preserve">ca64d097e0e0f9706507648299e44e6b	</t>
  </si>
  <si>
    <t xml:space="preserve">	e:\GoogleDrive\articles\wilmott\0601_kumar.pdf				</t>
  </si>
  <si>
    <t xml:space="preserve">ca77cb5dbcdf4cafb47be70e5ae30a85	</t>
  </si>
  <si>
    <t xml:space="preserve">	e:\GoogleDrive\articles\wilmott\0311_lyceum.pdf				</t>
  </si>
  <si>
    <t xml:space="preserve">ca8f140f45c89965a921da74e2cea06a	</t>
  </si>
  <si>
    <t xml:space="preserve">	e:\GoogleDrive\articles\global risk 2007\day2\Andrea Pallavicini.zip				</t>
  </si>
  <si>
    <t xml:space="preserve">ca94c084185cd9967d5c7ef3429136db	</t>
  </si>
  <si>
    <t xml:space="preserve">	e:\GoogleDrive\articles\mark rubinstein\Implied Binomial Trees.doc				</t>
  </si>
  <si>
    <t xml:space="preserve">cab0ca6f67b421f17f72231f296fd4f5	</t>
  </si>
  <si>
    <t xml:space="preserve">	e:\GoogleDrive\articles\data mining\ECMLPKDD2004\images\header.png				</t>
  </si>
  <si>
    <t xml:space="preserve">	e:\GoogleDrive\articles\data mining\ECMLPKDD2004\images\sponsors\header.png				</t>
  </si>
  <si>
    <t xml:space="preserve">cab4d5cb35035077469725b5ca959620	</t>
  </si>
  <si>
    <t xml:space="preserve">	e:\GoogleDrive\articles\wilmott\0301_cover.pdf				</t>
  </si>
  <si>
    <t xml:space="preserve">cabd4fd1da6951582957146cadfaf9d5	</t>
  </si>
  <si>
    <t xml:space="preserve">	e:\GoogleDrive\articles\fredman tarhan - fibonacci heaps.pdf				</t>
  </si>
  <si>
    <t xml:space="preserve">cac50ea7e64d0fbd84f5f23673d132bf	</t>
  </si>
  <si>
    <t xml:space="preserve">	e:\GoogleDrive\articles\eriksson - The NIG distribution and the pricing of Derivatives.pdf				</t>
  </si>
  <si>
    <t xml:space="preserve">cacd6cc38e2ffab6726819f7c2eaa906	</t>
  </si>
  <si>
    <t xml:space="preserve">	e:\GoogleDrive\articles\hunt kennedy pelsser - MF IR models.pdf				</t>
  </si>
  <si>
    <t xml:space="preserve">cad0a08e3f1794e18cdd8c3b5a610010	</t>
  </si>
  <si>
    <t xml:space="preserve">	e:\GoogleDrive\articles\maths\exercices\ps2.pdf				</t>
  </si>
  <si>
    <t xml:space="preserve">cae392d87367901d8a37e40d6db76be8	</t>
  </si>
  <si>
    <t xml:space="preserve">	e:\GoogleDrive\articles\(phd) hunor\phd\these02.doc				</t>
  </si>
  <si>
    <t xml:space="preserve">cb280ac519378fd4558b53d0f2df223f	</t>
  </si>
  <si>
    <t xml:space="preserve">	e:\GoogleDrive\articles\cui chang noll stricker - KinectAvatar Fully Automatic Body Capture Usin	g a	Sin	gl	e Kinect.pdf</t>
  </si>
  <si>
    <t xml:space="preserve">cb2f6b3484d94c6903ca2d37d435ba42	</t>
  </si>
  <si>
    <t xml:space="preserve">	e:\GoogleDrive\articles\global risk 2007\day1\Sebastien Bossu - eq corr swaps 2.pdf				</t>
  </si>
  <si>
    <t xml:space="preserve">cb3f62a3300a7c34abdc6756318e244d	</t>
  </si>
  <si>
    <t xml:space="preserve">	e:\GoogleDrive\articles\imf publications\world economic outlook 2003 septembre\front.pdf				</t>
  </si>
  <si>
    <t xml:space="preserve">cb47e8b4e0964a7d3d2e0eec41170515	</t>
  </si>
  <si>
    <t xml:space="preserve">	e:\GoogleDrive\articles\Symvonis - optimal stable merging (1995).pdf				</t>
  </si>
  <si>
    <t xml:space="preserve">cb526258b055cd5109459f0843d883dd	</t>
  </si>
  <si>
    <t xml:space="preserve">	e:\GoogleDrive\articles\subordinators-l-eacute-vy.pdf				</t>
  </si>
  <si>
    <t xml:space="preserve">cb5e8acee65c55e708762cd64361e5eb	</t>
  </si>
  <si>
    <t xml:space="preserve">	e:\GoogleDrive\articles\Kirkpatrick Klawe Tarjan - Polygon Triangulation in O(n log log n) Time wi	th	Simp	le	Data Structures.pdf</t>
  </si>
  <si>
    <t xml:space="preserve">	e:\GoogleDrive\articles\info - graphics\Kirkpatrick klawe tarjan - Polygon Triangulation in O(n lo	g n	) ti	me	with Simple Data Structures..pdf</t>
  </si>
  <si>
    <t xml:space="preserve">cb74c775e1fd9e49c5280727594da58e	</t>
  </si>
  <si>
    <t xml:space="preserve">	e:\GoogleDrive\articles\culture generale\economics\lecture\9 - ramsey.pdf				</t>
  </si>
  <si>
    <t xml:space="preserve">cb8c88aee9d698b64c3fa0e0abf82a0a	</t>
  </si>
  <si>
    <t xml:space="preserve">	e:\GoogleDrive\articles\(eBook) Piana - Play to Win The Nonprofit Guide to Competitive Strategy (20	05)	.pdf		</t>
  </si>
  <si>
    <t xml:space="preserve">cba8135f7b5dae16483187cc8986f854	</t>
  </si>
  <si>
    <t xml:space="preserve">	e:\GoogleDrive\articles\milne\math679 - Elliptic curves.pdf				</t>
  </si>
  <si>
    <t xml:space="preserve">cbb3eb5b8805cc0a2899c30df1047b21	</t>
  </si>
  <si>
    <t xml:space="preserve">	e:\GoogleDrive\articles\andersen brotherton-ratcliffe - Extended Libor Market Models with Stochasti	c V	olat	il	ity (2001).pdf</t>
  </si>
  <si>
    <t xml:space="preserve">	e:\GoogleDrive\articles\brotherton-ratcliffe stochvol.pdf				</t>
  </si>
  <si>
    <t xml:space="preserve">cbba4b2de9e92968289f684415dafdbb	</t>
  </si>
  <si>
    <t xml:space="preserve">	e:\GoogleDrive\articles\numericalR\c10-6.pdf				</t>
  </si>
  <si>
    <t xml:space="preserve">cbbfb070c6922082d5a2de653ad1cdcf	</t>
  </si>
  <si>
    <t xml:space="preserve">	e:\GoogleDrive\articles\maximum likelihood estimation.pdf				</t>
  </si>
  <si>
    <t xml:space="preserve">cbcba7a9a45b071513d7fa53954132f2	</t>
  </si>
  <si>
    <t xml:space="preserve">	e:\GoogleDrive\articles\lecture\Lecture10.pdf				</t>
  </si>
  <si>
    <t xml:space="preserve">cbdde226d6fb784466327946eee22326	</t>
  </si>
  <si>
    <t xml:space="preserve">	e:\GoogleDrive\articles\Elezar Berkovitch M. P. Narayanan - Timing of investment an.pdf				</t>
  </si>
  <si>
    <t xml:space="preserve">cbdf218b707bdc2f8fc2154d81f8adb5	</t>
  </si>
  <si>
    <t xml:space="preserve">	e:\GoogleDrive\articles\(eBook) - Taylor M.E. Partial differential equations 2 (Spr.djvu				</t>
  </si>
  <si>
    <t xml:space="preserve">cbe36b6cc188645f7443b0b524bb4699	</t>
  </si>
  <si>
    <t xml:space="preserve">	e:\GoogleDrive\articles\maths\cours - levy processes.pdf				</t>
  </si>
  <si>
    <t xml:space="preserve">cc085b1f0fb290cf28a55e8cf7a72535	</t>
  </si>
  <si>
    <t xml:space="preserve">	e:\GoogleDrive\articles\cours finance\backuper.hcs				</t>
  </si>
  <si>
    <t xml:space="preserve">cc0b08d156048f1f96d6e4601eb9ada2	</t>
  </si>
  <si>
    <t xml:space="preserve">	e:\GoogleDrive\articles\Peaking The Endurance Runner For Optimal Performance.docx				</t>
  </si>
  <si>
    <t xml:space="preserve">cc16545ce4e2ee37910ecc1a56e038ba	</t>
  </si>
  <si>
    <t xml:space="preserve">	e:\GoogleDrive\articles\wystup - figures uocalldelta.ps				</t>
  </si>
  <si>
    <t xml:space="preserve">cc1711e8491cc65f49c82bf7644295a0	</t>
  </si>
  <si>
    <t xml:space="preserve">	e:\GoogleDrive\articles\wilmott\0705_carreviews.pdf				</t>
  </si>
  <si>
    <t xml:space="preserve">cc18c9136d51453b2286e1796b33ebaf	</t>
  </si>
  <si>
    <t xml:space="preserve">	e:\GoogleDrive\articles\ebook with cev chapter\Chapter9 - stochvol.doc				</t>
  </si>
  <si>
    <t xml:space="preserve">cc26fff28f608b53a3c12bf4b4f55d60	</t>
  </si>
  <si>
    <t xml:space="preserve">	e:\GoogleDrive\articles\maths\lemmermayer\hwf08.pdf				</t>
  </si>
  <si>
    <t xml:space="preserve">cc2c9d35c8a2401f8ed4e79ec1236c49	</t>
  </si>
  <si>
    <t xml:space="preserve">	e:\GoogleDrive\articles\wilmott\0507_brown.pdf				</t>
  </si>
  <si>
    <t xml:space="preserve">cc3d8bacb380bd63565161fc56693fc9	</t>
  </si>
  <si>
    <t xml:space="preserve">	e:\GoogleDrive\articles\(ebook) Go - gokyoshumyo-mobile.pdf				</t>
  </si>
  <si>
    <t xml:space="preserve">cc44be233f31c656827cb27c749ef201	</t>
  </si>
  <si>
    <t xml:space="preserve">	e:\GoogleDrive\articles\WBS IR modelling Course\Credit Derivatives and Hybrids\HY1.1.2Geman_86.pdf				</t>
  </si>
  <si>
    <t xml:space="preserve">cc4881d588c50c23ee67e1856cea1a6b	</t>
  </si>
  <si>
    <t xml:space="preserve">	e:\GoogleDrive\articles\wilmott\0801_drz.pdf				</t>
  </si>
  <si>
    <t xml:space="preserve">cc4be9e9d097685b0e5df6a508fc5313	</t>
  </si>
  <si>
    <t xml:space="preserve">	e:\GoogleDrive\articles\(phd) hunor\phd\titlepg.tex				</t>
  </si>
  <si>
    <t xml:space="preserve">cc67b00ee5401d53feb99afa8f3e69f2	</t>
  </si>
  <si>
    <t xml:space="preserve">	e:\GoogleDrive\articles\Boulch Marlet - Fast and Robust Normal Estimation for Point Clouds with Sha	rp	Feat	ur	es.pdf</t>
  </si>
  <si>
    <t xml:space="preserve">cc6bb33864135c3248d4da198b35d799	</t>
  </si>
  <si>
    <t xml:space="preserve">	e:\GoogleDrive\articles\wilmott\0405_osband.pdf				</t>
  </si>
  <si>
    <t xml:space="preserve">cc6cc6e3a8c6f101e8dd9d74d7925146	</t>
  </si>
  <si>
    <t xml:space="preserve">	e:\GoogleDrive\articles\kohn - sde\section6.ps				</t>
  </si>
  <si>
    <t xml:space="preserve">cc703d78c934f8012a42bf8fda8eee63	</t>
  </si>
  <si>
    <t xml:space="preserve">	e:\GoogleDrive\articles\lecture notes (pittman probas)\lecture5.pdf				</t>
  </si>
  <si>
    <t xml:space="preserve">cc752e0aa1544c8050999701cf013099	</t>
  </si>
  <si>
    <t xml:space="preserve">	e:\GoogleDrive\articles\WBS IR modelling Course\Credit Derivatives and Hybrids\CD1.1Schloegl_75.pdf				</t>
  </si>
  <si>
    <t xml:space="preserve">cca461f776215c298d343f50e67838ee	</t>
  </si>
  <si>
    <t xml:space="preserve">	e:\GoogleDrive\articles\numericalR\c14-0.pdf				</t>
  </si>
  <si>
    <t xml:space="preserve">cca77ab2e8a65e7834d66f480a4b7bb9	</t>
  </si>
  <si>
    <t xml:space="preserve">	e:\GoogleDrive\articles\wilmott\0703_nail.pdf				</t>
  </si>
  <si>
    <t xml:space="preserve">ccd11930b2fab50a0bada33080c0ed15	</t>
  </si>
  <si>
    <t xml:space="preserve">	e:\GoogleDrive\articles\Numerical_Linear_Algebra.0898713617.rar				</t>
  </si>
  <si>
    <t xml:space="preserve">ccec4646ee72eaac425883309440862d	</t>
  </si>
  <si>
    <t xml:space="preserve">	e:\GoogleDrive\articles\culture generale\economics\lecture\reading\ch7 - friedman1.pdf				</t>
  </si>
  <si>
    <t xml:space="preserve">ccec675e78a52e7618b4f99bf31fe31f	</t>
  </si>
  <si>
    <t xml:space="preserve">	e:\GoogleDrive\articles\chance - TN99-02 - DERIVATION AND INTERPRETATION OF THE BLAC.pdf				</t>
  </si>
  <si>
    <t xml:space="preserve">cced688472146cd96ef9776d126d3385	</t>
  </si>
  <si>
    <t xml:space="preserve">	e:\GoogleDrive\articles\maths\CS683 - Advanced algorithms\lec08.ps				</t>
  </si>
  <si>
    <t xml:space="preserve">ccf1755c74afae46105492e7cf4630f5	</t>
  </si>
  <si>
    <t xml:space="preserve">	e:\GoogleDrive\articles\info - graphics\(eBook) prusinkiewicz - the algorithmic beauty of plants.pdf				</t>
  </si>
  <si>
    <t xml:space="preserve">cd1344a694ecd4c28390a3dfb6a24e3b	</t>
  </si>
  <si>
    <t xml:space="preserve">	e:\GoogleDrive\articles\data mining\jaak vilo - patternd.pdf				</t>
  </si>
  <si>
    <t xml:space="preserve">cd13dd50f7b24af5f7571730bfacc723	</t>
  </si>
  <si>
    <t xml:space="preserve">	e:\GoogleDrive\articles\wilmott\0803_sentance.pdf				</t>
  </si>
  <si>
    <t xml:space="preserve">cd55e76dad79928eaabeda0c7b8db019	</t>
  </si>
  <si>
    <t xml:space="preserve">	e:\GoogleDrive\articles\market news - us swaps.doc				</t>
  </si>
  <si>
    <t xml:space="preserve">cd6681b4da5e53019cb4e077c3ea5d8b	</t>
  </si>
  <si>
    <t xml:space="preserve">	e:\GoogleDrive\articles\brownian bridge\magdon-atiya-drawdown-CIFER.ps				</t>
  </si>
  <si>
    <t xml:space="preserve">cd8f288c6d5d8f5a0b2ad30504db5b5a	</t>
  </si>
  <si>
    <t xml:space="preserve">	e:\GoogleDrive\articles\maths sp‚\chapitre14 - integrales doubles et triples.pdf				</t>
  </si>
  <si>
    <t xml:space="preserve">cd9713dca9d24f2d4293e3905e95dc39	</t>
  </si>
  <si>
    <t xml:space="preserve">	e:\GoogleDrive\articles\(ebook) - Monte Carlo methods and models in finance and insurance.pdf				</t>
  </si>
  <si>
    <t xml:space="preserve">cd9b60b160ff1ec83a1fb3c190c0c4a5	</t>
  </si>
  <si>
    <t xml:space="preserve">	e:\GoogleDrive\articles\maths - kendall.docx				</t>
  </si>
  <si>
    <t xml:space="preserve">cdb89a870811ba69c97526ac72fc9a2d	</t>
  </si>
  <si>
    <t xml:space="preserve">	e:\GoogleDrive\articles\hobby\Mother Earth Alcohol Fuel.pdf				</t>
  </si>
  <si>
    <t xml:space="preserve">cdba9ea4794b2406ce242a7831113c59	</t>
  </si>
  <si>
    <t xml:space="preserve">	e:\GoogleDrive\articles\data mining\jiawei - pakdd04_ccmine - prn.pdf				</t>
  </si>
  <si>
    <t xml:space="preserve">cdc904f4431165237e96a8c36b50648b	</t>
  </si>
  <si>
    <t xml:space="preserve">	e:\GoogleDrive\articles\wilmott\0805_obloj.pdf				</t>
  </si>
  <si>
    <t xml:space="preserve">cdd2deb7b113e81585cf6759984ddbbb	</t>
  </si>
  <si>
    <t xml:space="preserve">	e:\GoogleDrive\articles\Joshi stacey - new and robust drift approximations for the LMM.pdf				</t>
  </si>
  <si>
    <t xml:space="preserve">cde2d3e5c5f1f4bed50282840a02d5db	</t>
  </si>
  <si>
    <t xml:space="preserve">	e:\GoogleDrive\articles\numericalR\c8-3.pdf				</t>
  </si>
  <si>
    <t xml:space="preserve">cde69f43d90c0ec070db1223200ba603	</t>
  </si>
  <si>
    <t xml:space="preserve">	e:\GoogleDrive\articles\(ebook) - a non random walk down Wall street\chapt12.pdf				</t>
  </si>
  <si>
    <t xml:space="preserve">ce0125466665d32ee49c5a0bca1c9ace	</t>
  </si>
  <si>
    <t xml:space="preserve">	e:\GoogleDrive\articles\global risk 2007\day1\interesting\backuper.hcs				</t>
  </si>
  <si>
    <t xml:space="preserve">ce05f4ae453ab40d51c1c5d65268b1e5	</t>
  </si>
  <si>
    <t xml:space="preserve">	e:\GoogleDrive\articles\(eBook) - statistical methods\chapter06.pdf				</t>
  </si>
  <si>
    <t xml:space="preserve">ce154f9461c1026aae3026f3d69c9691	</t>
  </si>
  <si>
    <t xml:space="preserve">	e:\GoogleDrive\articles\brownian bridge\paper5.pdf				</t>
  </si>
  <si>
    <t xml:space="preserve">ce3716288703b047ca507c0d6ac8310a	</t>
  </si>
  <si>
    <t xml:space="preserve">	e:\GoogleDrive\articles\wilmott\0701_news.pdf				</t>
  </si>
  <si>
    <t xml:space="preserve">ce48466d7efbda4478bc195ea74779a2	</t>
  </si>
  <si>
    <t xml:space="preserve">	e:\GoogleDrive\articles\a classer\Exotics.pdf				</t>
  </si>
  <si>
    <t xml:space="preserve">ce6c561e05c7d2f7e2680e88e23061a3	</t>
  </si>
  <si>
    <t xml:space="preserve">	e:\GoogleDrive\articles\Gatheral - Lecture1_Fall02.pdf				</t>
  </si>
  <si>
    <t xml:space="preserve">ce7eadc878cd09444eae61e0102c112a	</t>
  </si>
  <si>
    <t xml:space="preserve">	e:\GoogleDrive\articles\goran peskir - on reflecting brownian motions with drift.pdf				</t>
  </si>
  <si>
    <t xml:space="preserve">ce870599d3c4fe67ee78598663a0a341	</t>
  </si>
  <si>
    <t xml:space="preserve">	e:\GoogleDrive\articles\wystup - Instalment Options.pdf				</t>
  </si>
  <si>
    <t xml:space="preserve">ceb344dd0b1bd700d6ce664a39bcf440	</t>
  </si>
  <si>
    <t xml:space="preserve">	e:\GoogleDrive\articles\global risk 2007\day3\13.45 Madan.zip				</t>
  </si>
  <si>
    <t xml:space="preserve">ceb5c6ec32d327cfeb8b182bd35f4690	</t>
  </si>
  <si>
    <t xml:space="preserve">	e:\GoogleDrive\articles\kapadia - Negative Vega.pdf				</t>
  </si>
  <si>
    <t xml:space="preserve">cedaa39d1e2062e4d1dc8d1de8f12ca7	</t>
  </si>
  <si>
    <t xml:space="preserve">	e:\GoogleDrive\articles\wilmott\0509_bookreview.pdf				</t>
  </si>
  <si>
    <t xml:space="preserve">cedd6d62029b65296a785f0ed078d7c9	</t>
  </si>
  <si>
    <t xml:space="preserve">	e:\GoogleDrive\articles\Lord - Partially exact and bounded approximations for for arithmetic Asian o	pti	ons.	pd	f</t>
  </si>
  <si>
    <t xml:space="preserve">ceecc19fa52932daf116845d99189976	</t>
  </si>
  <si>
    <t xml:space="preserve">	e:\GoogleDrive\articles\west - Exotic swaps and options.pdf				</t>
  </si>
  <si>
    <t xml:space="preserve">ceef8c5d63d891b59412448bb86ce32d	</t>
  </si>
  <si>
    <t xml:space="preserve">	e:\GoogleDrive\articles\wilmott\0811_microsoft.pdf				</t>
  </si>
  <si>
    <t xml:space="preserve">cef0d26ebe3acad12e0367d63eeebe02	</t>
  </si>
  <si>
    <t xml:space="preserve">	e:\GoogleDrive\articles\schogl - Arbitrage-Free Interpolation in Models of Market Observable Interes	t R	ates	.p	df</t>
  </si>
  <si>
    <t xml:space="preserve">cf0b48921a9cd5439953dcc26699d121	</t>
  </si>
  <si>
    <t xml:space="preserve">	e:\GoogleDrive\articles\stresstesting\Christoph%20Konvicka%20Matthias%20Baron.pdf				</t>
  </si>
  <si>
    <t xml:space="preserve">	e:\GoogleDrive\articles\stresstesting\MatthiasKristoph.pdf				</t>
  </si>
  <si>
    <t xml:space="preserve">cf128c61a258fd542cb1c3d696f2f378	</t>
  </si>
  <si>
    <t xml:space="preserve">	e:\GoogleDrive\articles\maths\Algebraic Topology\backuper.hcs				</t>
  </si>
  <si>
    <t xml:space="preserve">cf1caf6c6de78d2806c1bfdc8bc2a867	</t>
  </si>
  <si>
    <t xml:space="preserve">	e:\GoogleDrive\articles\Grossmann &amp; Stieglitz 80- On the impossibility of Informatio.pdf				</t>
  </si>
  <si>
    <t xml:space="preserve">cf279029a73db10b52639be8b61c09ac	</t>
  </si>
  <si>
    <t xml:space="preserve">	e:\GoogleDrive\articles\jong driessen pelsser - Libor Market Models versus Swap Market Models for	Pri	cing	I	nterest Rate Derivatives An Empirical Analysis .pdf</t>
  </si>
  <si>
    <t xml:space="preserve">cf27ab484526fe321eeb6f80b537d621	</t>
  </si>
  <si>
    <t xml:space="preserve">	e:\GoogleDrive\articles\wilmott\0411_staunton.pdf				</t>
  </si>
  <si>
    <t xml:space="preserve">cf2dc24f02a7626b60ea92b9a7732f4b	</t>
  </si>
  <si>
    <t xml:space="preserve">	e:\GoogleDrive\articles\reinstein - JRSEctasiaModelPartII (2006).pdf				</t>
  </si>
  <si>
    <t xml:space="preserve">cf334567627689e11a297f927ebca98b	</t>
  </si>
  <si>
    <t xml:space="preserve">	e:\GoogleDrive\articles\bartlett - Hedging Under SABR Model.pdf				</t>
  </si>
  <si>
    <t xml:space="preserve">cf42c03ae1e07ebeb900c26d920ed634	</t>
  </si>
  <si>
    <t xml:space="preserve">	e:\GoogleDrive\articles\mercurio - Interest rates and the credit crunch new formulas and market mod	els	.pdf		</t>
  </si>
  <si>
    <t xml:space="preserve">cf4ab76b9f19391a9f74bede1374e266	</t>
  </si>
  <si>
    <t xml:space="preserve">	e:\GoogleDrive\articles\(eBook) - nicolai josuttis - The C++ Standard Library - A Tutoria And Refere	nce	.pdf		</t>
  </si>
  <si>
    <t xml:space="preserve">	e:\GoogleDrive\articles\(eBook) Josuttis - The C++ Standard Library - A Tutoria And Reference.pdf				</t>
  </si>
  <si>
    <t xml:space="preserve">	e:\GoogleDrive\articles\(eBook) nicolai josuttis - The C++ Standard Library - A Tutoria And Referenc	e.p	df		</t>
  </si>
  <si>
    <t xml:space="preserve">	e:\GoogleDrive\articles\anagrammer\The C++ Standard Library - A Tutorial And Reference.pdf				</t>
  </si>
  <si>
    <t xml:space="preserve">cf546ac56bd15b5dca829628c5034f5e	</t>
  </si>
  <si>
    <t xml:space="preserve">	e:\GoogleDrive\articles\Vaillant - MeasureAdjustment(Fwd vs Futures).pdf				</t>
  </si>
  <si>
    <t xml:space="preserve">cf588b23b8c340f2762d42ae9525ecf1	</t>
  </si>
  <si>
    <t xml:space="preserve">	e:\GoogleDrive\articles\(phd) hunor\phd\latex.tar.gz				</t>
  </si>
  <si>
    <t xml:space="preserve">cf5b56922e673c88519ea3a06dc4c082	</t>
  </si>
  <si>
    <t xml:space="preserve">	e:\GoogleDrive\articles\Andrew D Friend - A process-based terrestrial biosphere model of ecosystem	dy	nami	cs	(Hybrid).pdf</t>
  </si>
  <si>
    <t xml:space="preserve">cf6053027be4687b7229194640f623b1	</t>
  </si>
  <si>
    <t xml:space="preserve">	e:\GoogleDrive\articles\roll81 - A Possible Explanation of the Small Firm Effect.pdf				</t>
  </si>
  <si>
    <t xml:space="preserve">cf654b9faaab29fafebb671735cc2e20	</t>
  </si>
  <si>
    <t xml:space="preserve">	e:\GoogleDrive\articles\maths - the arcin law of a random walk.ps				</t>
  </si>
  <si>
    <t xml:space="preserve">cf6983d09f0f4675788d221ef86d928e	</t>
  </si>
  <si>
    <t xml:space="preserve">	e:\GoogleDrive\articles\info - graphics\McLean - poisson solvers (2004).pdf				</t>
  </si>
  <si>
    <t xml:space="preserve">cfa935986eb4db4efbd71022d10f20d9	</t>
  </si>
  <si>
    <t xml:space="preserve">	e:\GoogleDrive\articles\wystupp book\00 - prelims.pdf				</t>
  </si>
  <si>
    <t xml:space="preserve">cfc4a1ecf56e2fed5a35cdb315e34fd0	</t>
  </si>
  <si>
    <t xml:space="preserve">	e:\GoogleDrive\articles\lobaskin\P.Kaufman.Trading Systems &amp; Methods\Kaufman - Trading Systems &amp; Met	hod	s -	Ch	ap13.doc</t>
  </si>
  <si>
    <t xml:space="preserve">cfd7bcce4b1a1b359393697ade9e39bf	</t>
  </si>
  <si>
    <t xml:space="preserve">	e:\GoogleDrive\articles\wilmott\0711_carreviews.pdf				</t>
  </si>
  <si>
    <t xml:space="preserve">cffcf7549d5519a36720ad82250d4b75	</t>
  </si>
  <si>
    <t xml:space="preserve">	e:\GoogleDrive\articles\brigo mercurio - Fitting volatility skews and smiles with analytical stock	pri	ce m	od	els.pdf</t>
  </si>
  <si>
    <t xml:space="preserve">	e:\GoogleDrive\articles\brigo mercurio - Fitting volatility skews and smiles with analytical stock-	pri	ce m	od	els (2000).pdf</t>
  </si>
  <si>
    <t xml:space="preserve">d028edb3ac8a19642dc326c16c01a5cc	</t>
  </si>
  <si>
    <t xml:space="preserve">	e:\GoogleDrive\articles\wilmott\0811_misys.pdf				</t>
  </si>
  <si>
    <t xml:space="preserve">d03571d441117238e26fce2cece933d2	</t>
  </si>
  <si>
    <t xml:space="preserve">	e:\GoogleDrive\articles\wilmott\0411_prast.pdf				</t>
  </si>
  <si>
    <t xml:space="preserve">d047cd8ac8187972880f1668aef609d8	</t>
  </si>
  <si>
    <t xml:space="preserve">	e:\GoogleDrive\articles\maths\memo - logarithm stochastique - prn.pdf				</t>
  </si>
  <si>
    <t xml:space="preserve">d06cc17172a3d442c86f6f31cc594cfc	</t>
  </si>
  <si>
    <t xml:space="preserve">	e:\GoogleDrive\articles\completion of markets of Levy processes by power jump assets.pdf				</t>
  </si>
  <si>
    <t xml:space="preserve">d077e2ef193a9ac555af0207ae5f4427	</t>
  </si>
  <si>
    <t xml:space="preserve">	e:\GoogleDrive\articles\journal of computational finance\v10n2a1.pdf				</t>
  </si>
  <si>
    <t xml:space="preserve">d07f54d8c0e2a6c09d0af1f57e5eea68	</t>
  </si>
  <si>
    <t xml:space="preserve">	e:\GoogleDrive\articles\wilmott\0501_bogni.pdf				</t>
  </si>
  <si>
    <t xml:space="preserve">d0844955bbb1dca1b5f8cd6b936770f9	</t>
  </si>
  <si>
    <t xml:space="preserve">	e:\GoogleDrive\articles\administratif\backuper.hcs				</t>
  </si>
  <si>
    <t xml:space="preserve">d08967a3608d1fb392affe7d826f2811	</t>
  </si>
  <si>
    <t xml:space="preserve">	e:\GoogleDrive\articles\linearAlgebra.pdf				</t>
  </si>
  <si>
    <t xml:space="preserve">d0a544900a5c9c8cd62275b4a2cf8ebb	</t>
  </si>
  <si>
    <t xml:space="preserve">	e:\GoogleDrive\articles\global risk 2007\day2\11.30 Kreinin FINAL.pdf				</t>
  </si>
  <si>
    <t xml:space="preserve">d0a84253ea1f7a3cd36e6ee1cae0833f	</t>
  </si>
  <si>
    <t xml:space="preserve">	e:\GoogleDrive\articles\williams - conditional excursion theory.pdf				</t>
  </si>
  <si>
    <t xml:space="preserve">d0ab629e00128f770292d1cf6d4084b3	</t>
  </si>
  <si>
    <t xml:space="preserve">	e:\GoogleDrive\articles\(phd) hunor\neigbours\boissonnat93semidynamic.pdf				</t>
  </si>
  <si>
    <t xml:space="preserve">d0d35d068e48a43bb66959d371fb5d06	</t>
  </si>
  <si>
    <t xml:space="preserve">	e:\GoogleDrive\articles\dickson waters - gamma processes and finite time survival probabilities.pdf				</t>
  </si>
  <si>
    <t xml:space="preserve">d0e7f672b0fffa06bddcf485e000bb05	</t>
  </si>
  <si>
    <t xml:space="preserve">	e:\GoogleDrive\articles\global risk 2007\day2\15.15 Davis.zip				</t>
  </si>
  <si>
    <t xml:space="preserve">d0e97b587e435432c7ef103d518ca6f8	</t>
  </si>
  <si>
    <t xml:space="preserve">	e:\GoogleDrive\articles\info - graphics\Mesh basics.pdf				</t>
  </si>
  <si>
    <t xml:space="preserve">d0f2b1df833b71e01408514a0adaf7f9	</t>
  </si>
  <si>
    <t xml:space="preserve">	e:\GoogleDrive\articles\nawalkha beliaeva - Efficient Trees for CIR and CEV Short Rate Models(2007)	.pd	f		</t>
  </si>
  <si>
    <t xml:space="preserve">d109d2009a034a55c70ae2831d08b495	</t>
  </si>
  <si>
    <t xml:space="preserve">	e:\GoogleDrive\articles\miermont - coalescence et fragmentation stochastiques arbres aleatoires et	pro	cess	us	de levy.ps</t>
  </si>
  <si>
    <t xml:space="preserve">d11283e7259e2a689937d57548a15e6c	</t>
  </si>
  <si>
    <t xml:space="preserve">	e:\GoogleDrive\articles\wilmott\0405_carreviews.pdf				</t>
  </si>
  <si>
    <t xml:space="preserve">d11b81c75062a7f86ac9c951fe688774	</t>
  </si>
  <si>
    <t xml:space="preserve">	e:\GoogleDrive\articles\info - algo\tordai - hungarian stemming.pdf				</t>
  </si>
  <si>
    <t xml:space="preserve">d11f04a74151157bf876064215294b80	</t>
  </si>
  <si>
    <t xml:space="preserve">	e:\GoogleDrive\articles\(phd) hunor\thirdparty\hunor\backuper.hcs				</t>
  </si>
  <si>
    <t xml:space="preserve">d123d070330c78bf1c82f7c055ff10b7	</t>
  </si>
  <si>
    <t xml:space="preserve">	e:\GoogleDrive\articles\maths\xcheng\week12.pdf				</t>
  </si>
  <si>
    <t xml:space="preserve">d153715827d798607c2c7393a7210d37	</t>
  </si>
  <si>
    <t xml:space="preserve">	e:\GoogleDrive\articles\cours finance\cours09.ps				</t>
  </si>
  <si>
    <t xml:space="preserve">d1598e492fc1a248439c1e3d6e9b36ea	</t>
  </si>
  <si>
    <t xml:space="preserve">	e:\GoogleDrive\articles\maths\lemmermayer\hwnth02.pdf				</t>
  </si>
  <si>
    <t xml:space="preserve">d1650d041d07940f2b4999e0a07e0d91	</t>
  </si>
  <si>
    <t xml:space="preserve">	e:\GoogleDrive\articles\(ebook) - how societies choose to fail or succeed.pdf				</t>
  </si>
  <si>
    <t xml:space="preserve">d17557bcefbde5581473a84f953a50e3	</t>
  </si>
  <si>
    <t xml:space="preserve">	e:\GoogleDrive\articles\culture generale\economics\lecture\reading\ch10 - hansen.pdf				</t>
  </si>
  <si>
    <t xml:space="preserve">d18047d2c62f8e416dc086a5497e47ce	</t>
  </si>
  <si>
    <t xml:space="preserve">	e:\GoogleDrive\articles\milne\math776 - Class Field Theory.pdf				</t>
  </si>
  <si>
    <t xml:space="preserve">d180a6cca39434164ae3b30b044f221d	</t>
  </si>
  <si>
    <t xml:space="preserve">	e:\GoogleDrive\articles\info - graphics\delibgette Hebert Ikeuchi - Shape Representation and Image	se	gmen	ta	tion - Using Deformable Surfaces.pdf</t>
  </si>
  <si>
    <t xml:space="preserve">d1816fe90bb20498a56a41bd0a7d15dd	</t>
  </si>
  <si>
    <t xml:space="preserve">	e:\GoogleDrive\articles\(eBook) - Trfethen\url.txt				</t>
  </si>
  <si>
    <t xml:space="preserve">d184f9caefd8427828810e102cd1072f	</t>
  </si>
  <si>
    <t xml:space="preserve">	e:\GoogleDrive\articles\wilmott\0511_osband.pdf				</t>
  </si>
  <si>
    <t xml:space="preserve">d18aeb00bf680c6f6800574ecc688ccd	</t>
  </si>
  <si>
    <t xml:space="preserve">	e:\GoogleDrive\articles\info - graphics\tong zhou liu pan yan - Scanning 3D Full Human Bodies us	ing	Kin	ec	ts (2012).pdf</t>
  </si>
  <si>
    <t xml:space="preserve">	e:\GoogleDrive\articles\info - graphics\Tong Zhou Liu Pan Yan - Scanning 3D full human bodies us	ing	Kin	et	ics.pdf</t>
  </si>
  <si>
    <t xml:space="preserve">d1951f7c5132075f4b416840b7a6709a	</t>
  </si>
  <si>
    <t xml:space="preserve">	e:\GoogleDrive\articles\Architecture Software Developer's Manual Volume 3A - 25366820.pdf				</t>
  </si>
  <si>
    <t xml:space="preserve">d19ba657d6ef30688aaf309ef3809115	</t>
  </si>
  <si>
    <t xml:space="preserve">	e:\GoogleDrive\articles\wilmott\0501_bookclub.pdf				</t>
  </si>
  <si>
    <t xml:space="preserve">d1b0421c7aedf756d409919057a8f379	</t>
  </si>
  <si>
    <t xml:space="preserve">	e:\GoogleDrive\articles\wilmott\0807_bennemann.pdf				</t>
  </si>
  <si>
    <t xml:space="preserve">d1d9148b9136c3b79d65adb5b38e3444	</t>
  </si>
  <si>
    <t xml:space="preserve">	e:\GoogleDrive\articles\stats\5 - HypothesisTesting.pdf				</t>
  </si>
  <si>
    <t xml:space="preserve">d1e5dfe0c767b4896225774ee853b09f	</t>
  </si>
  <si>
    <t xml:space="preserve">	e:\GoogleDrive\articles\mark rubinstein\An Aggregation Theorem for Securities Markets.doc				</t>
  </si>
  <si>
    <t xml:space="preserve">d1ebbf34a60b0fde5e61dcef475abb19	</t>
  </si>
  <si>
    <t xml:space="preserve">	e:\GoogleDrive\articles\Knupp - Remarks on Mesh Quality.pdf				</t>
  </si>
  <si>
    <t xml:space="preserve">d1f43dc9de431d9eff5cab3a51dec57a	</t>
  </si>
  <si>
    <t xml:space="preserve">	e:\GoogleDrive\articles\zivot - Long Memory and Structural Changes in the Forward Discount.pdf				</t>
  </si>
  <si>
    <t xml:space="preserve">d204c10bf8042f209a1f479e108ce84e	</t>
  </si>
  <si>
    <t xml:space="preserve">	e:\GoogleDrive\articles\lecture - probability (grinstead and snell)\Chapter9.pdf				</t>
  </si>
  <si>
    <t xml:space="preserve">d20d449c1898cda4aaace409500a4e3d	</t>
  </si>
  <si>
    <t xml:space="preserve">	e:\GoogleDrive\articles\ebook with cev chapter\backuper.hcs				</t>
  </si>
  <si>
    <t xml:space="preserve">d21466eead82904a76cf7e92ab942f58	</t>
  </si>
  <si>
    <t xml:space="preserve">	e:\GoogleDrive\articles\maths\311NumTh.pdf				</t>
  </si>
  <si>
    <t xml:space="preserve">d2296b11183f08513fddcfc1663859a7	</t>
  </si>
  <si>
    <t xml:space="preserve">	e:\GoogleDrive\articles\(eBook) - ingles analysis of algorithms\recur.pdf				</t>
  </si>
  <si>
    <t xml:space="preserve">d269c344f41d403cffbd450256bf6372	</t>
  </si>
  <si>
    <t xml:space="preserve">	e:\GoogleDrive\articles\(lecture notes) Madsen nielsen Tingleff - non-linear least squares problem	.pd	f		</t>
  </si>
  <si>
    <t xml:space="preserve">d26ff8c988814d414f322d9b9e0031d8	</t>
  </si>
  <si>
    <t xml:space="preserve">	e:\GoogleDrive\articles\Labordere - General Asymptotic Imp Vol for SV Models (2005).pdf				</t>
  </si>
  <si>
    <t xml:space="preserve">d275410d03ad2bddf0c3d880c876af25	</t>
  </si>
  <si>
    <t xml:space="preserve">	e:\GoogleDrive\articles\data mining\ECMLPKDD2004\workshops\W3.pdf				</t>
  </si>
  <si>
    <t xml:space="preserve">d2a302d1851545b7c0c82b281338a59b	</t>
  </si>
  <si>
    <t xml:space="preserve">	e:\GoogleDrive\articles\Geman_Stochastic_Volatility.pdf				</t>
  </si>
  <si>
    <t xml:space="preserve">	e:\GoogleDrive\articles\wystupp book\mm\CGMY.pdf				</t>
  </si>
  <si>
    <t xml:space="preserve">d2b8f2c447142cde617ccbd5b332ad30	</t>
  </si>
  <si>
    <t xml:space="preserve">	e:\GoogleDrive\articles\(lecture notes) Paul Dawkins - Calculus II Solutions.pdf				</t>
  </si>
  <si>
    <t xml:space="preserve">d2ca002c28dbb176dca912745878b7e8	</t>
  </si>
  <si>
    <t xml:space="preserve">	e:\GoogleDrive\articles\wilmott\0407_krishnan.pdf				</t>
  </si>
  <si>
    <t xml:space="preserve">d2cf10b02a1a644b1d743807d89fa751	</t>
  </si>
  <si>
    <t xml:space="preserve">	e:\GoogleDrive\articles\wilmott\0807_coverstory.pdf				</t>
  </si>
  <si>
    <t xml:space="preserve">d2dc31cac2b94a7952ecf8cd624a71e5	</t>
  </si>
  <si>
    <t xml:space="preserve">	e:\GoogleDrive\articles\pelseer - pricing double barrier options an analytical approach.pdf				</t>
  </si>
  <si>
    <t xml:space="preserve">d2eb75e89b7387361172b0c09219bdc1	</t>
  </si>
  <si>
    <t xml:space="preserve">	e:\GoogleDrive\articles\numericalR\c6-5.pdf				</t>
  </si>
  <si>
    <t xml:space="preserve">d2eb9a3bc97e7c4f748e6120af6edd34	</t>
  </si>
  <si>
    <t xml:space="preserve">	e:\GoogleDrive\articles\wilmott\0409_haug.pdf				</t>
  </si>
  <si>
    <t xml:space="preserve">d2fdba909260dbe16f922cefa3b0eb3b	</t>
  </si>
  <si>
    <t xml:space="preserve">	e:\GoogleDrive\articles\global risk 2007\day2\17.05 Geman.zip				</t>
  </si>
  <si>
    <t xml:space="preserve">d310e98d461d5cf364159ae078a26028	</t>
  </si>
  <si>
    <t xml:space="preserve">	e:\GoogleDrive\articles\Joshi et al - Smooth Simultaneous Calibration of the LMM to Caplets and Cote	rmi	nal	Sw	aptions (2008).pdf</t>
  </si>
  <si>
    <t xml:space="preserve">d312d81e3a2f5f4a72a2347cae95c8a9	</t>
  </si>
  <si>
    <t xml:space="preserve">	e:\GoogleDrive\articles\wilmott\0503_prast.pdf				</t>
  </si>
  <si>
    <t xml:space="preserve">d313c537e7d163fcdabed406cf3bb17b	</t>
  </si>
  <si>
    <t xml:space="preserve">	e:\GoogleDrive\articles\Andreasen - Back to the Future Exotic Rate Options.pdf				</t>
  </si>
  <si>
    <t xml:space="preserve">d31d1382b7b344d067b5dc3698a4846a	</t>
  </si>
  <si>
    <t xml:space="preserve">	e:\GoogleDrive\articles\graeme - the calibration of SABR in illiquid markets.pdf				</t>
  </si>
  <si>
    <t xml:space="preserve">	e:\GoogleDrive\articles\west - Calibration of SABR in illiquid marketssabrilliquid.pdf				</t>
  </si>
  <si>
    <t xml:space="preserve">d328517d9fc63e772a5fa66d4194635d	</t>
  </si>
  <si>
    <t xml:space="preserve">	e:\GoogleDrive\articles\culture generale\economics\lecture\10 - newclassical - prn.pdf				</t>
  </si>
  <si>
    <t xml:space="preserve">d337a66e596f4357fb183b04a6f2ae51	</t>
  </si>
  <si>
    <t xml:space="preserve">	e:\GoogleDrive\articles\dupire - arbitrage pricing with stochastic volatility.pdf				</t>
  </si>
  <si>
    <t xml:space="preserve">d33b0fc56acfbc9bea589909f0790dc8	</t>
  </si>
  <si>
    <t xml:space="preserve">	e:\GoogleDrive\articles\numericalR\c14-8.pdf				</t>
  </si>
  <si>
    <t xml:space="preserve">d33de6ae3d83a8038de11ca7e29463eb	</t>
  </si>
  <si>
    <t xml:space="preserve">	e:\GoogleDrive\articles\tuckman porfirio - interest rate parity moneymarket basis and cross-curren	cy	basi	s	swap.pdf</t>
  </si>
  <si>
    <t xml:space="preserve">d343d1a1322f156a2076e81fefc811fc	</t>
  </si>
  <si>
    <t xml:space="preserve">	e:\GoogleDrive\articles\Linear systems\chap1.pdf				</t>
  </si>
  <si>
    <t xml:space="preserve">d34f9164b2d6e71acf6198c8cd43635b	</t>
  </si>
  <si>
    <t xml:space="preserve">	e:\GoogleDrive\articles\west - better approximations to cumulative normal functions(2005).pdf				</t>
  </si>
  <si>
    <t xml:space="preserve">d363e6ed445ca4c5c92d4d1ac7dbd04d	</t>
  </si>
  <si>
    <t xml:space="preserve">	e:\GoogleDrive\articles\wilmott\0709_capriotti.pdf				</t>
  </si>
  <si>
    <t xml:space="preserve">d383f095d18a6d1ffe90585b7732d375	</t>
  </si>
  <si>
    <t xml:space="preserve">	e:\GoogleDrive\articles\(ebook) Go - cho-3-advanced-dbl.pdf				</t>
  </si>
  <si>
    <t xml:space="preserve">d3868a2f2d39b2b808d3c87d5520a130	</t>
  </si>
  <si>
    <t xml:space="preserve">	e:\GoogleDrive\articles\(eBook) scott myers - More &amp; Effective Combined.pdf				</t>
  </si>
  <si>
    <t xml:space="preserve">d3c80293c0cea197f0da5ab19db979e2	</t>
  </si>
  <si>
    <t xml:space="preserve">	e:\GoogleDrive\articles\Kim Koh et al - Near-exhaustive Precomputation of Secondary Cloth Effects (	201	3).p	df	</t>
  </si>
  <si>
    <t xml:space="preserve">d3c8b103b9ee64613f1f6ea1f9e24d53	</t>
  </si>
  <si>
    <t xml:space="preserve">	e:\GoogleDrive\articles\wilmott\0411_cohen.pdf				</t>
  </si>
  <si>
    <t xml:space="preserve">d3cd97b1fb1c05d2b860c4b41a0a1b79	</t>
  </si>
  <si>
    <t xml:space="preserve">	e:\GoogleDrive\articles\equity\Volume6.doc				</t>
  </si>
  <si>
    <t xml:space="preserve">	e:\GoogleDrive\articles\equity (lehman brothers)\Volume6.doc				</t>
  </si>
  <si>
    <t xml:space="preserve">d3e5198b6f9530b01c35afd38e0eb80a	</t>
  </si>
  <si>
    <t xml:space="preserve">	e:\GoogleDrive\articles\wilmott\0511_bookreview.pdf				</t>
  </si>
  <si>
    <t xml:space="preserve">d3e8b4d742514c0e7900fdd01ae7d5e7	</t>
  </si>
  <si>
    <t xml:space="preserve">	e:\GoogleDrive\articles\Longstaff - The relative valuation of caps and swaptions.pdf				</t>
  </si>
  <si>
    <t xml:space="preserve">	e:\GoogleDrive\articles\a classer\longstaff schwartz - the relative valuation of caps and swa.pdf				</t>
  </si>
  <si>
    <t xml:space="preserve">d3fd87d74e6c5eeb7c2652fb8d9c7a93	</t>
  </si>
  <si>
    <t xml:space="preserve">	e:\GoogleDrive\articles\maths\CS683 - Advanced algorithms\lec16.ps				</t>
  </si>
  <si>
    <t xml:space="preserve">d402ace499516a6761b3a8e4aff6b461	</t>
  </si>
  <si>
    <t xml:space="preserve">	e:\GoogleDrive\articles\latex files\hedging.doc				</t>
  </si>
  <si>
    <t xml:space="preserve">d412baac017b23c4c0247f3601aa69ef	</t>
  </si>
  <si>
    <t xml:space="preserve">	e:\GoogleDrive\articles\wilmott\0603_awards.pdf				</t>
  </si>
  <si>
    <t xml:space="preserve">d41cf7a13b1b79cb70c449e3f3382ec5	</t>
  </si>
  <si>
    <t xml:space="preserve">	e:\GoogleDrive\articles\a classer\brace  - swap derivatives in a HJM framework.pdf				</t>
  </si>
  <si>
    <t xml:space="preserve">d41d8cd98f00b204e9800998ecf8427e	</t>
  </si>
  <si>
    <t xml:space="preserve">	e:\GoogleDrive\articles\(phd) hunor\phd\bibliography.bbl				</t>
  </si>
  <si>
    <t xml:space="preserve">	e:\GoogleDrive\articles\(phd) hunor\phd\bibliography.dvi				</t>
  </si>
  <si>
    <t xml:space="preserve">	e:\GoogleDrive\articles\(phd) hunor\phd\kn08.bbl				</t>
  </si>
  <si>
    <t xml:space="preserve">	e:\GoogleDrive\articles\(phd) hunor\phd\nMC.dvi				</t>
  </si>
  <si>
    <t xml:space="preserve">	e:\GoogleDrive\articles\(phd) hunor\phd\these.bbl				</t>
  </si>
  <si>
    <t xml:space="preserve">	e:\GoogleDrive\articles\(phd) hunor\phd\thesis01.bbl				</t>
  </si>
  <si>
    <t xml:space="preserve">d41ff5ce56382b1827a7300a8d323664	</t>
  </si>
  <si>
    <t xml:space="preserve">	e:\GoogleDrive\articles\wilmott\0301_schon.pdf				</t>
  </si>
  <si>
    <t xml:space="preserve">d4235e826109a0f4ca7b51057e845646	</t>
  </si>
  <si>
    <t xml:space="preserve">	e:\GoogleDrive\articles\wilmott\0409_ayache.pdf				</t>
  </si>
  <si>
    <t xml:space="preserve">d43ba0e4cba958901b8bf9b5bae6b442	</t>
  </si>
  <si>
    <t xml:space="preserve">	e:\GoogleDrive\articles\wilmott\0703_pure.pdf				</t>
  </si>
  <si>
    <t xml:space="preserve">d44f2163711e74eec1f5a92004b140af	</t>
  </si>
  <si>
    <t xml:space="preserve">	e:\GoogleDrive\articles\global risk 2007\day1\11.00 Shefrin FINAL.pdf				</t>
  </si>
  <si>
    <t xml:space="preserve">d463626de6766cd77e9430361c42b4cf	</t>
  </si>
  <si>
    <t xml:space="preserve">	e:\GoogleDrive\articles\Kennington Kay Friedrich - Suffix Trees and Language Models.pdf				</t>
  </si>
  <si>
    <t xml:space="preserve">d4677fb463166f67f1d3a3bb3fc789f9	</t>
  </si>
  <si>
    <t xml:space="preserve">	e:\GoogleDrive\articles\wilmott\0307_news.pdf				</t>
  </si>
  <si>
    <t xml:space="preserve">d46849ee6bfc8aca723c33676973b8ab	</t>
  </si>
  <si>
    <t xml:space="preserve">	e:\GoogleDrive\articles\wilmott\0509_bookclub.pdf				</t>
  </si>
  <si>
    <t xml:space="preserve">d46dce2025a113c8fa5b947eb579b5cd	</t>
  </si>
  <si>
    <t xml:space="preserve">	e:\GoogleDrive\articles\wystupp book\mm\crmwn1.pdf				</t>
  </si>
  <si>
    <t xml:space="preserve">d477ecaeb38e41a6013052965b832534	</t>
  </si>
  <si>
    <t xml:space="preserve">	e:\GoogleDrive\articles\data mining\ECMLPKDD2004\covers\W5.pdf				</t>
  </si>
  <si>
    <t xml:space="preserve">d47a44fa7c9abb674f226cb2f3d12e19	</t>
  </si>
  <si>
    <t xml:space="preserve">	e:\GoogleDrive\articles\maths\xcheng\week17.pdf				</t>
  </si>
  <si>
    <t xml:space="preserve">d4852364395ac018b7c81f74f0f96047	</t>
  </si>
  <si>
    <t xml:space="preserve">	e:\GoogleDrive\articles\sigkdd03 - decision tree.pdf				</t>
  </si>
  <si>
    <t xml:space="preserve">d48e1d58f98c06213328f763825de59b	</t>
  </si>
  <si>
    <t xml:space="preserve">	e:\GoogleDrive\articles\(eBook) scott myers - More Effective C++.pdf				</t>
  </si>
  <si>
    <t xml:space="preserve">d499443442d835be85bb60343e8bad17	</t>
  </si>
  <si>
    <t xml:space="preserve">	e:\GoogleDrive\articles\mark rubinstein\packages.doc				</t>
  </si>
  <si>
    <t xml:space="preserve">d49d500d8a39dfa094636730896993da	</t>
  </si>
  <si>
    <t xml:space="preserve">	e:\GoogleDrive\articles\data mining\jiawei - vldb02time - prn.pdf				</t>
  </si>
  <si>
    <t xml:space="preserve">d4a1d8cbc1deb27ebd5f711628e4366e	</t>
  </si>
  <si>
    <t xml:space="preserve">	e:\GoogleDrive\articles\data mining\ECMLPKDD2004\images\backuper.hcs				</t>
  </si>
  <si>
    <t xml:space="preserve">d4b5f760768d53f85f822884fcb1440e	</t>
  </si>
  <si>
    <t xml:space="preserve">	e:\GoogleDrive\articles\info - hex grid.docx				</t>
  </si>
  <si>
    <t xml:space="preserve">d4c531c95ec6ee0f8cf281b60103bb80	</t>
  </si>
  <si>
    <t xml:space="preserve">	e:\GoogleDrive\articles\wilmott\0311_bogni.pdf				</t>
  </si>
  <si>
    <t xml:space="preserve">d4c8d54b4570758b7c764716e2a978a1	</t>
  </si>
  <si>
    <t xml:space="preserve">	e:\GoogleDrive\articles\mercurio - smiling at convexity.pdf				</t>
  </si>
  <si>
    <t xml:space="preserve">	e:\GoogleDrive\articles\risk_technical - smiling at convexity.pdf				</t>
  </si>
  <si>
    <t xml:space="preserve">d4d28064bcede01cef9a0f891fec057a	</t>
  </si>
  <si>
    <t xml:space="preserve">	e:\GoogleDrive\articles\wilmott\0211_editorial.pdf				</t>
  </si>
  <si>
    <t xml:space="preserve">d4ed164dbaece94821bba3fa5b1373e6	</t>
  </si>
  <si>
    <t xml:space="preserve">	e:\GoogleDrive\articles\wilmott\0703_isc.pdf				</t>
  </si>
  <si>
    <t xml:space="preserve">d4fbeaee369f9ecbb67b32f87dee9023	</t>
  </si>
  <si>
    <t xml:space="preserve">	e:\GoogleDrive\articles\brownian bridge\cyclic.ps.Z				</t>
  </si>
  <si>
    <t xml:space="preserve">d4ff8f856da9c24ef17fdb34aee1b80f	</t>
  </si>
  <si>
    <t xml:space="preserve">	e:\GoogleDrive\articles\a classer\importance sampling.pdf				</t>
  </si>
  <si>
    <t xml:space="preserve">d505cdf3a823018d61dd29d66381a74c	</t>
  </si>
  <si>
    <t xml:space="preserve">	e:\GoogleDrive\articles\anagrammer\Assembly Language Step by Step code\DISPID.SRC				</t>
  </si>
  <si>
    <t xml:space="preserve">d508caea55c3ef62a6dd5641481552d0	</t>
  </si>
  <si>
    <t xml:space="preserve">	e:\GoogleDrive\articles\culture generale\economics\macroeconomics\backuper.hcs				</t>
  </si>
  <si>
    <t xml:space="preserve">d51a54acbef02088a89a471c7b37e05f	</t>
  </si>
  <si>
    <t xml:space="preserve">	e:\GoogleDrive\articles\(eBook) - kwok\Kwok_Chap_5 (from Csirke).pdf				</t>
  </si>
  <si>
    <t xml:space="preserve">	e:\GoogleDrive\articles\(eBook) - kwok\Kwok_Chap_5.pdf				</t>
  </si>
  <si>
    <t xml:space="preserve">d51be9207561e506141e7ff8ead091d7	</t>
  </si>
  <si>
    <t xml:space="preserve">	e:\GoogleDrive\articles\wilmott\0809_eurex.pdf				</t>
  </si>
  <si>
    <t xml:space="preserve">d52f50cd592fbd8c03542812a057a3dd	</t>
  </si>
  <si>
    <t xml:space="preserve">	e:\GoogleDrive\articles\brigo mercurio - On Deterministic-Shift Extensions of Short.pdf				</t>
  </si>
  <si>
    <t xml:space="preserve">d540bb1e8f04db6dffef2e19b9650ea4	</t>
  </si>
  <si>
    <t xml:space="preserve">	e:\GoogleDrive\articles\data mining\ECMLPKDD2004\covers\W3.pdf				</t>
  </si>
  <si>
    <t xml:space="preserve">d54d8ecd4bdeab79d19763162e755b47	</t>
  </si>
  <si>
    <t xml:space="preserve">	e:\GoogleDrive\articles\data mining\ECMLPKDD2004\tutorials\The Distributed Data Mining Bibliography_	fil	es\l	og	o.jpg</t>
  </si>
  <si>
    <t xml:space="preserve">d5571e1ef7e0bf6bb61db4f0761f44df	</t>
  </si>
  <si>
    <t xml:space="preserve">	e:\GoogleDrive\articles\equity\Volume3.doc				</t>
  </si>
  <si>
    <t xml:space="preserve">	e:\GoogleDrive\articles\equity (lehman brothers)\Volume3.doc				</t>
  </si>
  <si>
    <t xml:space="preserve">d55b9e805cbe1047661060de0cfcbb09	</t>
  </si>
  <si>
    <t xml:space="preserve">	e:\GoogleDrive\articles\cuda\gpu - jacques du toit - A high performance brownian bridge for GPUs.pdf				</t>
  </si>
  <si>
    <t xml:space="preserve">d56146e60a6c2981941263e5e69cb465	</t>
  </si>
  <si>
    <t xml:space="preserve">	e:\GoogleDrive\articles\(phd) hunor\phd\hackle\ICDM'03\Styles\fly.ps				</t>
  </si>
  <si>
    <t xml:space="preserve">d56897e337cd870c7fa1fb58e995fb0b	</t>
  </si>
  <si>
    <t xml:space="preserve">	e:\GoogleDrive\articles\wilmott\0601_carreviews.pdf				</t>
  </si>
  <si>
    <t xml:space="preserve">d56e642f3fe7feaf3d7873ab1c092a6d	</t>
  </si>
  <si>
    <t xml:space="preserve">	e:\GoogleDrive\articles\ElKaroui - couverture des risques dans les marches financier.pdf				</t>
  </si>
  <si>
    <t xml:space="preserve">d56f5a1be0c31f5fe23c2655a2c94917	</t>
  </si>
  <si>
    <t xml:space="preserve">	e:\GoogleDrive\articles\inflation - 605608.pdf				</t>
  </si>
  <si>
    <t xml:space="preserve">	e:\GoogleDrive\articles\inflation - ssrn-id605608.pdf				</t>
  </si>
  <si>
    <t xml:space="preserve">d56f9b922f4535a279eef62d59d8d6c0	</t>
  </si>
  <si>
    <t xml:space="preserve">	e:\GoogleDrive\articles\wilmott\0301_lyceum.pdf				</t>
  </si>
  <si>
    <t xml:space="preserve">d57246f8e2e97c92cdd092ed4a68da03	</t>
  </si>
  <si>
    <t xml:space="preserve">	e:\GoogleDrive\articles\rebonato jaeckel - CorrelationMatrix - prn.pdf				</t>
  </si>
  <si>
    <t xml:space="preserve">d5744ef73e9f1320f973b9aedc08344c	</t>
  </si>
  <si>
    <t xml:space="preserve">	e:\GoogleDrive\articles\(phd) hunor\phd\hackle\ICDM'03\sigguide-v2.1sp.doc				</t>
  </si>
  <si>
    <t xml:space="preserve">	e:\GoogleDrive\articles\(phd) hunor\phd\hackle\ICDM'03\Styles\sigguide-v2.1sp.doc				</t>
  </si>
  <si>
    <t xml:space="preserve">d5827277bf3b56780c311e132c962437	</t>
  </si>
  <si>
    <t xml:space="preserve">	e:\GoogleDrive\articles\anagrammer\Assembly Language Step by Step code\RULER.MAC				</t>
  </si>
  <si>
    <t xml:space="preserve">d5907270d401d9c81842b7e98b40fcb2	</t>
  </si>
  <si>
    <t xml:space="preserve">	e:\GoogleDrive\articles\wilmott\0503_beirlant.pdf				</t>
  </si>
  <si>
    <t xml:space="preserve">d5bf5f95a86ba97d44ed60da34bdf8a9	</t>
  </si>
  <si>
    <t xml:space="preserve">	e:\GoogleDrive\articles\Marcin Novotni Reinhard Klein - Computing Geodesic Distances on Triangular	Mes	hes.	pd	f</t>
  </si>
  <si>
    <t xml:space="preserve">	e:\GoogleDrive\articles\info - graphics\Novotni klein - Computing Geodesic Distances on Triangular	Mes	hes.	pd	f</t>
  </si>
  <si>
    <t xml:space="preserve">d5cfa294b2cb15dc871e81f6fddfce57	</t>
  </si>
  <si>
    <t xml:space="preserve">	e:\GoogleDrive\articles\(ebook) selesnick burrus - Digital Signal Processing Handbook\19.pdf				</t>
  </si>
  <si>
    <t xml:space="preserve">d5e321df8c0d00b598d5b1e1f6261eb7	</t>
  </si>
  <si>
    <t xml:space="preserve">	e:\GoogleDrive\articles\wilmott\0411_mcdowell.pdf				</t>
  </si>
  <si>
    <t xml:space="preserve">d5e8b953576ce5d858faabf9f15fdeb3	</t>
  </si>
  <si>
    <t xml:space="preserve">	e:\GoogleDrive\articles\(ebook) Go - xxqj.pdf				</t>
  </si>
  <si>
    <t xml:space="preserve">d5f2e46c6cd95f0fc9d3bfa2c4c486c9	</t>
  </si>
  <si>
    <t xml:space="preserve">	e:\GoogleDrive\articles\wilmott\0703_carreviews.pdf				</t>
  </si>
  <si>
    <t xml:space="preserve">d604d5a1e1fbea7b75b1e8c43d5be5ef	</t>
  </si>
  <si>
    <t xml:space="preserve">	e:\GoogleDrive\articles\latex - multiline equations.pdf				</t>
  </si>
  <si>
    <t xml:space="preserve">d627dfbef53da53bd5971fb32787f026	</t>
  </si>
  <si>
    <t xml:space="preserve">	e:\GoogleDrive\articles\wilmott\0509_brown.pdf				</t>
  </si>
  <si>
    <t xml:space="preserve">d64ccc96c07efdaf4c8705bb849ac1fb	</t>
  </si>
  <si>
    <t xml:space="preserve">	e:\GoogleDrive\articles\global risk 2007\day2\11.30 Benhamou.pdf				</t>
  </si>
  <si>
    <t xml:space="preserve">d6766cf01e7cfa4381afaaa37624990d	</t>
  </si>
  <si>
    <t xml:space="preserve">	e:\GoogleDrive\articles\Floating point paper.pdf				</t>
  </si>
  <si>
    <t xml:space="preserve">d68033075b0fd7bb237127b04f6bc308	</t>
  </si>
  <si>
    <t xml:space="preserve">	e:\GoogleDrive\articles\latex files\figures\all.bat				</t>
  </si>
  <si>
    <t xml:space="preserve">d68b443ce010ccfaaabd9f2926b9f334	</t>
  </si>
  <si>
    <t xml:space="preserve">	e:\GoogleDrive\articles\gatarek - LIBOR Market Model with Stochastic Volatility.pdf				</t>
  </si>
  <si>
    <t xml:space="preserve">	e:\GoogleDrive\articles\a classer\SSRN_ID359001_code030129140.pdf				</t>
  </si>
  <si>
    <t xml:space="preserve">d68d5ca11622a0012c4e6250022ecb9e	</t>
  </si>
  <si>
    <t xml:space="preserve">	e:\GoogleDrive\articles\wilmott\0501_piterbarg.pdf				</t>
  </si>
  <si>
    <t xml:space="preserve">d6a48a1539aad9a39c32f1d7e80e2970	</t>
  </si>
  <si>
    <t xml:space="preserve">	e:\GoogleDrive\articles\milne\math678 Modular fonctions and modular forms.pdf				</t>
  </si>
  <si>
    <t xml:space="preserve">d6be9c3d4d29cfb76b4c30bcd4ec073f	</t>
  </si>
  <si>
    <t xml:space="preserve">	e:\GoogleDrive\articles\wilmott\0611_pure.pdf				</t>
  </si>
  <si>
    <t xml:space="preserve">d6f47bac21a9945605128d2d4cd1d480	</t>
  </si>
  <si>
    <t xml:space="preserve">	e:\GoogleDrive\articles\wilmott\0805_nauta.pdf				</t>
  </si>
  <si>
    <t xml:space="preserve">d6fec2eae674dbbacb1ecd5e50f203e6	</t>
  </si>
  <si>
    <t xml:space="preserve">	e:\GoogleDrive\articles\wilmott\0811_siven.pdf				</t>
  </si>
  <si>
    <t xml:space="preserve">d70a02c9504f6c8e7eaa159e8609efe4	</t>
  </si>
  <si>
    <t xml:space="preserve">	e:\GoogleDrive\articles\(eBook) - Jackel\TRANS.TBL				</t>
  </si>
  <si>
    <t xml:space="preserve">d7152e4be5dc3c653033945ddec24309	</t>
  </si>
  <si>
    <t xml:space="preserve">	e:\GoogleDrive\articles\(eBook) michael J Laszlo - Computational geometry and cumputer graphics.pdf				</t>
  </si>
  <si>
    <t xml:space="preserve">d7178393096a8569b6257480fc40d9af	</t>
  </si>
  <si>
    <t xml:space="preserve">	e:\GoogleDrive\articles\info - data mining\backuper.hcs				</t>
  </si>
  <si>
    <t xml:space="preserve">d72ead0ba0d632c8040c5d2866a9e017	</t>
  </si>
  <si>
    <t xml:space="preserve">	e:\GoogleDrive\articles\info - algo\stemmer.docx				</t>
  </si>
  <si>
    <t xml:space="preserve">d731f587fc5c9ec41b38aa72458a4bdb	</t>
  </si>
  <si>
    <t xml:space="preserve">	e:\GoogleDrive\articles\wilmott\0401_abboud.pdf				</t>
  </si>
  <si>
    <t xml:space="preserve">d749fabca7f7e5db9220e9e84053e254	</t>
  </si>
  <si>
    <t xml:space="preserve">	e:\GoogleDrive\articles\WBS IR modelling Course\Credit Derivatives and Hybrids\CD1.2Laurent_78.pdf				</t>
  </si>
  <si>
    <t xml:space="preserve">d75ac470b77d5b8983791cbcab408e3f	</t>
  </si>
  <si>
    <t xml:space="preserve">	e:\GoogleDrive\articles\(phd) hunor\phd\figures\original\ensemblisation.eps				</t>
  </si>
  <si>
    <t xml:space="preserve">d77397d9de77e813a3fdc0cfe24e4921	</t>
  </si>
  <si>
    <t xml:space="preserve">	e:\GoogleDrive\articles\Cyganowski - Solving stochastic differential equations in Ma.pdf				</t>
  </si>
  <si>
    <t xml:space="preserve">d77bb1f03f97843355d7405e663f68ba	</t>
  </si>
  <si>
    <t xml:space="preserve">	e:\GoogleDrive\articles\fischer - on parsing and compiling arithmetic expression on vector computers	.pd	f		</t>
  </si>
  <si>
    <t xml:space="preserve">d78942b45b512d596df7dff5287e9266	</t>
  </si>
  <si>
    <t xml:space="preserve">	e:\GoogleDrive\articles\piterbarg - A Practitioner's Guide to Pricing and Hedging Callable Libor Exo	tic	s in	F	orward LMM.pdf</t>
  </si>
  <si>
    <t xml:space="preserve">	e:\GoogleDrive\articles\piterbarg - a practitioners's guide to callable libor exotics.pdf				</t>
  </si>
  <si>
    <t xml:space="preserve">d7942f2e991c07c282addd9787919954	</t>
  </si>
  <si>
    <t xml:space="preserve">	e:\GoogleDrive\articles\probas - chapter7.pdf				</t>
  </si>
  <si>
    <t xml:space="preserve">d7a4732819e71cfea9c5df94c53a81a0	</t>
  </si>
  <si>
    <t xml:space="preserve">	e:\GoogleDrive\articles\wilmott\0605_drz.pdf				</t>
  </si>
  <si>
    <t xml:space="preserve">d7b356e3b4d58a4b3f3ab73450da4907	</t>
  </si>
  <si>
    <t xml:space="preserve">	e:\GoogleDrive\articles\Carr madan - Option valuation using the fast Fourier transform.pdf				</t>
  </si>
  <si>
    <t xml:space="preserve">d7f2162ec885bf38a02b2da42e05ccf1	</t>
  </si>
  <si>
    <t xml:space="preserve">	e:\GoogleDrive\articles\(ebook) - Handbook of applied cryptography\chap1.pdf				</t>
  </si>
  <si>
    <t xml:space="preserve">d7f5558d40e323e779f292350ac6a6d4	</t>
  </si>
  <si>
    <t xml:space="preserve">	e:\GoogleDrive\articles\wilmott\0503_bookreviews.pdf				</t>
  </si>
  <si>
    <t xml:space="preserve">d7f6d3ed7e4d93cdbf0922cd408ef0c1	</t>
  </si>
  <si>
    <t xml:space="preserve">	e:\GoogleDrive\articles\kruse - on the pricing of forward starting options under stochatic volatilit	y.p	df		</t>
  </si>
  <si>
    <t xml:space="preserve">d8063ada4563f05be7cce74aec06091c	</t>
  </si>
  <si>
    <t xml:space="preserve">	e:\GoogleDrive\articles\hull white - Valuation of a CDO and an nth to default CDS without Monte Car	lo	Simu	la	tion.pdf</t>
  </si>
  <si>
    <t xml:space="preserve">d81735a87bd62ef794098060735e9924	</t>
  </si>
  <si>
    <t xml:space="preserve">	e:\GoogleDrive\articles\(eBook) - Oksendal B Stochastic Differential Equations (5Ed S.pdf				</t>
  </si>
  <si>
    <t xml:space="preserve">	e:\GoogleDrive\articles\(eBook) Oksendal - Stochastic Differential Equations.pdf				</t>
  </si>
  <si>
    <t xml:space="preserve">d83e7934c1b1f57bf8546690ae91576c	</t>
  </si>
  <si>
    <t xml:space="preserve">	e:\GoogleDrive\articles\ebook with cev chapter\Chapter10 - empirical evidence.doc				</t>
  </si>
  <si>
    <t xml:space="preserve">d8633ebc696d28569fecac2c7db0777d	</t>
  </si>
  <si>
    <t xml:space="preserve">	e:\GoogleDrive\articles\birgin Raydan - Robust stopping criteria for Dykstra's algortihm.pdf				</t>
  </si>
  <si>
    <t xml:space="preserve">d86cfe10cd782328507b26181ca29d1d	</t>
  </si>
  <si>
    <t xml:space="preserve">	e:\GoogleDrive\articles\anjos higham takouda wolkowicz - A Semidefinite Programming Approach for	the	Nea	re	st Correlation Matrix Problem.pdf</t>
  </si>
  <si>
    <t xml:space="preserve">	e:\GoogleDrive\articles\higham - A Semidefinite Programming Approach for the Nearest Correlation Mat	rix	Pro	bl	em - prn.pdf</t>
  </si>
  <si>
    <t xml:space="preserve">	e:\GoogleDrive\articles\higham - A Semidefinite Programming Approach for the Nearest.pdf				</t>
  </si>
  <si>
    <t xml:space="preserve">d8854afa300f6cf56cc7babd8285c0a5	</t>
  </si>
  <si>
    <t xml:space="preserve">	e:\GoogleDrive\articles\info - graphics\lecture7 - Implementation of a Renderer.pdf				</t>
  </si>
  <si>
    <t xml:space="preserve">d885af452d11f1ce87d142c5848a4369	</t>
  </si>
  <si>
    <t xml:space="preserve">	e:\GoogleDrive\articles\numericalR\c11-5.pdf				</t>
  </si>
  <si>
    <t xml:space="preserve">d885b023759f4060c8ab8b732b4a7ddb	</t>
  </si>
  <si>
    <t xml:space="preserve">	e:\GoogleDrive\articles\culture generale\economics\lecture\backuper.hcs				</t>
  </si>
  <si>
    <t xml:space="preserve">d89a65b1f9fd20c673ff786dbaff7a2f	</t>
  </si>
  <si>
    <t xml:space="preserve">	e:\GoogleDrive\articles\wilmott\0611_xenomorph.pdf				</t>
  </si>
  <si>
    <t xml:space="preserve">d8b61a55bb44f0be800f32c96e20f2c1	</t>
  </si>
  <si>
    <t xml:space="preserve">	e:\GoogleDrive\articles\Malhotra Bos - Risk models for changing markets.url.txt				</t>
  </si>
  <si>
    <t xml:space="preserve">d8d4077533541e877abd438d0e55f3da	</t>
  </si>
  <si>
    <t xml:space="preserve">	e:\GoogleDrive\articles\wilmott\0801_haug.pdf				</t>
  </si>
  <si>
    <t xml:space="preserve">d8ebbe8d0a39ee5d1a3b6f465e465fc0	</t>
  </si>
  <si>
    <t xml:space="preserve">	e:\GoogleDrive\articles\Balan Sigal Black Davis Haussecker - Detailed Human Shape and Pose from	Ima	ges.	pd	f</t>
  </si>
  <si>
    <t xml:space="preserve">d90aab16fe480778c5c43eaa7be1247b	</t>
  </si>
  <si>
    <t xml:space="preserve">	e:\GoogleDrive\articles\maths\xcheng\oldtest03.pdf				</t>
  </si>
  <si>
    <t xml:space="preserve">d92f52bc86941e181edff26695136b7a	</t>
  </si>
  <si>
    <t xml:space="preserve">	e:\GoogleDrive\articles\wilmott\0311_thorp.pdf				</t>
  </si>
  <si>
    <t xml:space="preserve">d95d356da77417691e0bea1506f3b339	</t>
  </si>
  <si>
    <t xml:space="preserve">	e:\GoogleDrive\articles\jackworth rubinstein - Recovering Probabilities and Risk Av.pdf				</t>
  </si>
  <si>
    <t xml:space="preserve">	e:\GoogleDrive\articles\jackworth rubinstein - Recovering Probabilities and Risk Aversion from Opti	on	Pric	es	and Realized Returns.pdf</t>
  </si>
  <si>
    <t xml:space="preserve">d96e93c9875d26eb7ea1d3656b5e84c4	</t>
  </si>
  <si>
    <t xml:space="preserve">	e:\GoogleDrive\articles\Andersen Brotherton Ratcliffe - Exact Exotics.pdf				</t>
  </si>
  <si>
    <t xml:space="preserve">d97b50af4eb1079abe97900573fa55dc	</t>
  </si>
  <si>
    <t xml:space="preserve">	e:\GoogleDrive\articles\cannonical correlation analysis.pdf				</t>
  </si>
  <si>
    <t xml:space="preserve">d97be6c30410eeba9adabcdac58af774	</t>
  </si>
  <si>
    <t xml:space="preserve">	e:\GoogleDrive\articles\wilmott - stochastic volatility and mean variance pricing.pdf				</t>
  </si>
  <si>
    <t xml:space="preserve">d97f85ca004a05caa5d0b30af230dd3d	</t>
  </si>
  <si>
    <t xml:space="preserve">	e:\GoogleDrive\articles\mark rubinstein\Competition and Approximation.doc				</t>
  </si>
  <si>
    <t xml:space="preserve">d991c519168924ecf1c42e6786eb2d8a	</t>
  </si>
  <si>
    <t xml:space="preserve">	e:\GoogleDrive\articles\wilmott\0307_bogni.pdf				</t>
  </si>
  <si>
    <t xml:space="preserve">d9b303bf6cfabec5a68195990996cf64	</t>
  </si>
  <si>
    <t xml:space="preserve">	e:\GoogleDrive\articles\maths\CS683 - Advanced algorithms\lec01.ps				</t>
  </si>
  <si>
    <t xml:space="preserve">d9cf89f612cc67d7c0fc002464239fc6	</t>
  </si>
  <si>
    <t xml:space="preserve">	e:\GoogleDrive\articles\lecture - probability (grinstead and snell)\prob.pdf				</t>
  </si>
  <si>
    <t xml:space="preserve">d9ff868464ba4bb89860acae3cca7f43	</t>
  </si>
  <si>
    <t xml:space="preserve">	e:\GoogleDrive\articles\wilmott\0309_careers.pdf				</t>
  </si>
  <si>
    <t xml:space="preserve">da1da945afa1923bb5ec59b250cf6372	</t>
  </si>
  <si>
    <t xml:space="preserve">	e:\GoogleDrive\articles\global risk 2007\day2\backuper.hcs				</t>
  </si>
  <si>
    <t xml:space="preserve">da2493a10a996238cdb88af2c622aaee	</t>
  </si>
  <si>
    <t xml:space="preserve">	e:\GoogleDrive\articles\avellaneda - WeightedMonteCarlo.pdf				</t>
  </si>
  <si>
    <t xml:space="preserve">	e:\GoogleDrive\articles\entropy\WeightedMonteCarlo.pdf				</t>
  </si>
  <si>
    <t xml:space="preserve">da3d0f414f06d4752553b062889f0ab2	</t>
  </si>
  <si>
    <t xml:space="preserve">	e:\GoogleDrive\articles\vgood lecture\MOP_NOTES.pdf				</t>
  </si>
  <si>
    <t xml:space="preserve">da3ead3e58cb436cbe598b778980f1b2	</t>
  </si>
  <si>
    <t xml:space="preserve">	e:\GoogleDrive\articles\lobaskin\P.Kaufman.Trading Systems &amp; Methods\Kaufman - Trading Systems &amp; Met	hod	s -	Ch	ap05.doc</t>
  </si>
  <si>
    <t xml:space="preserve">da488df287271afb128a99fbff3419d5	</t>
  </si>
  <si>
    <t xml:space="preserve">	e:\GoogleDrive\articles\brigo mercurio - Lognormal-mixture dynamics and calibration to market volat	ili	ty s	mi	les.pdf</t>
  </si>
  <si>
    <t xml:space="preserve">da4e99124e02696e65fc0cc3491b2268	</t>
  </si>
  <si>
    <t xml:space="preserve">	e:\GoogleDrive\articles\global derivatives 2008\faical jribi - prepayment modelling.pdf				</t>
  </si>
  <si>
    <t xml:space="preserve">da6a4a8080045fe45538cdb72c3e9596	</t>
  </si>
  <si>
    <t xml:space="preserve">	e:\GoogleDrive\articles\Interest Rate Hybrid 4.pdf				</t>
  </si>
  <si>
    <t xml:space="preserve">da72a052fc3b7734c0b0d4b654607db7	</t>
  </si>
  <si>
    <t xml:space="preserve">	e:\GoogleDrive\articles\(eBook) - ingles analysis of algorithms\capitulo13-ingles.pdf				</t>
  </si>
  <si>
    <t xml:space="preserve">da86df5e58475dd25b80c0029f80daee	</t>
  </si>
  <si>
    <t xml:space="preserve">	e:\GoogleDrive\articles\wilmott\0403_ayache.pdf				</t>
  </si>
  <si>
    <t xml:space="preserve">da98a91ffcf6b3f0e609dc03dc671b90	</t>
  </si>
  <si>
    <t xml:space="preserve">	e:\GoogleDrive\articles\lecture notes (pittman probas)\lecture4.pdf				</t>
  </si>
  <si>
    <t xml:space="preserve">da992183e40385e6cab3e7d4feece0f4	</t>
  </si>
  <si>
    <t xml:space="preserve">	e:\GoogleDrive\articles\(phd) hunor\phd\hackle\ICDM'03\Styles\rosette.ps				</t>
  </si>
  <si>
    <t xml:space="preserve">daa27819dda0cb2eb97211f10e765d31	</t>
  </si>
  <si>
    <t xml:space="preserve">	e:\GoogleDrive\articles\latex files\figures\variance1.eps				</t>
  </si>
  <si>
    <t xml:space="preserve">	e:\GoogleDrive\articles\(phd) hunor\phd\figures\variance1.eps				</t>
  </si>
  <si>
    <t xml:space="preserve">daa2b3504a2f58ffd012d9db663a17f5	</t>
  </si>
  <si>
    <t xml:space="preserve">	e:\GoogleDrive\articles\mark rubinstein\Recovering  Probability Distributions from Option Prices.doc				</t>
  </si>
  <si>
    <t xml:space="preserve">daa6c94c003ce579af7665cb5de0bdee	</t>
  </si>
  <si>
    <t xml:space="preserve">	e:\GoogleDrive\articles\Linear systems\backuper.hcs				</t>
  </si>
  <si>
    <t xml:space="preserve">dab7cb9203e0af31ecdc4340cc87984c	</t>
  </si>
  <si>
    <t xml:space="preserve">	e:\GoogleDrive\articles\lu - Convexity Adjustments and  FLM - prn.pdf				</t>
  </si>
  <si>
    <t xml:space="preserve">dacb867464c334a5ded25e823bfc573f	</t>
  </si>
  <si>
    <t xml:space="preserve">	e:\GoogleDrive\articles\wilmott\0803_das.pdf				</t>
  </si>
  <si>
    <t xml:space="preserve">db072bcb59eb508fefc816abbae8f084	</t>
  </si>
  <si>
    <t xml:space="preserve">	e:\GoogleDrive\articles\wilmott\0807_microsoft.pdf				</t>
  </si>
  <si>
    <t xml:space="preserve">db15b856e7df8b75efcecc805d4a701c	</t>
  </si>
  <si>
    <t xml:space="preserve">	e:\GoogleDrive\articles\wilmott\0505_editorial.pdf				</t>
  </si>
  <si>
    <t xml:space="preserve">db398634f7f819e51983da230b3c5ea9	</t>
  </si>
  <si>
    <t xml:space="preserve">	e:\GoogleDrive\articles\stresstesting\Manoj%20Bhaskar.pdf				</t>
  </si>
  <si>
    <t xml:space="preserve">db39b7a7d0683e2e984a0ad1307b1983	</t>
  </si>
  <si>
    <t xml:space="preserve">	e:\GoogleDrive\articles\A Practical Guide to Swap Curve Construction.pdf				</t>
  </si>
  <si>
    <t xml:space="preserve">db3ec3e57c1767cc27f14751b9bdbe93	</t>
  </si>
  <si>
    <t xml:space="preserve">	e:\GoogleDrive\articles\madan carr - variance gamma process and option pricing.pdf				</t>
  </si>
  <si>
    <t xml:space="preserve">	e:\GoogleDrive\articles\madan carr chan - varriance gamma process.pdf				</t>
  </si>
  <si>
    <t xml:space="preserve">db5ab4a2f24e21b80dcff4d62eb68304	</t>
  </si>
  <si>
    <t xml:space="preserve">	e:\GoogleDrive\articles\google\choi varian - predicting the present with google trends (2009).pdf				</t>
  </si>
  <si>
    <t xml:space="preserve">db5f2eef841204fa0b26f1e3296dc9ff	</t>
  </si>
  <si>
    <t xml:space="preserve">	e:\GoogleDrive\articles\duffie - affine processes.ps				</t>
  </si>
  <si>
    <t xml:space="preserve">	e:\GoogleDrive\articles\duffie filipovic schachermayer - affine processes and applications in fina	nce	#NAME?	rn	.ps</t>
  </si>
  <si>
    <t xml:space="preserve">db7d9c4371fb4ddee937158c72475ed9	</t>
  </si>
  <si>
    <t xml:space="preserve">	e:\GoogleDrive\articles\milne\url.txt				</t>
  </si>
  <si>
    <t xml:space="preserve">db8e2b6b4696254bfc86c78341b00a03	</t>
  </si>
  <si>
    <t xml:space="preserve">	e:\GoogleDrive\articles\wilmott\0507_bogni.pdf				</t>
  </si>
  <si>
    <t xml:space="preserve">db9db323ef6c810424f6c26c2c2dfce8	</t>
  </si>
  <si>
    <t xml:space="preserve">	e:\GoogleDrive\articles\Linear systems\chap6.pdf				</t>
  </si>
  <si>
    <t xml:space="preserve">dbd84971067f4b7d22db6546869973fc	</t>
  </si>
  <si>
    <t xml:space="preserve">	e:\GoogleDrive\articles\Lorensen cline  - Marching cubes a high resolution 3d surface construction	alg	orit	hm	(1987).pdf</t>
  </si>
  <si>
    <t xml:space="preserve">dbdab85eeeb3ca3eb78458e9275ef51d	</t>
  </si>
  <si>
    <t xml:space="preserve">	e:\GoogleDrive\articles\(phd) hunor\neigbours\ann\ANNmanual_1.1.pdf				</t>
  </si>
  <si>
    <t xml:space="preserve">dc006cfef31a51ed5110cbee76d796a0	</t>
  </si>
  <si>
    <t xml:space="preserve">	e:\GoogleDrive\articles\wilmott\0603_bookclub.pdf				</t>
  </si>
  <si>
    <t xml:space="preserve">dc0964487c5cdf0d841904f6e203db78	</t>
  </si>
  <si>
    <t xml:space="preserve">	e:\GoogleDrive\articles\wilmott\0611_herzberg.pdf				</t>
  </si>
  <si>
    <t xml:space="preserve">dc0edc5be0d33ed903a45a49d779893f	</t>
  </si>
  <si>
    <t xml:space="preserve">	e:\GoogleDrive\articles\(eBook) Alexandrescu - Modern C++ Design.pdf				</t>
  </si>
  <si>
    <t xml:space="preserve">dc1524a19c892e1dcdac61916562a7d6	</t>
  </si>
  <si>
    <t xml:space="preserve">	e:\GoogleDrive\articles\wilmott\0505_west.pdf				</t>
  </si>
  <si>
    <t xml:space="preserve">dc16ec8957c798cd9fc88213ec8000b4	</t>
  </si>
  <si>
    <t xml:space="preserve">	e:\GoogleDrive\articles\global risk 2007\day2\Andrea Pallavicini.pdf				</t>
  </si>
  <si>
    <t xml:space="preserve">dc20517c013a3a88a767d1dd78419ea5	</t>
  </si>
  <si>
    <t xml:space="preserve">	e:\GoogleDrive\articles\(ebook) potter sommerton - thermodynamics for egineers.pdf				</t>
  </si>
  <si>
    <t xml:space="preserve">dc45a61f0544742c6040f39380ce4746	</t>
  </si>
  <si>
    <t xml:space="preserve">	e:\GoogleDrive\articles\kleinert - path integrals 08.pdf				</t>
  </si>
  <si>
    <t xml:space="preserve">dc76a5197884bb47aaa5d3810032dfdb	</t>
  </si>
  <si>
    <t xml:space="preserve">	e:\GoogleDrive\articles\global derivatives 2008\michael demspter - relative entropy for cdos.pdf				</t>
  </si>
  <si>
    <t xml:space="preserve">dc782c7756e5e228a0c49bcfc2e4d67b	</t>
  </si>
  <si>
    <t xml:space="preserve">	e:\GoogleDrive\articles\latex files\Statistical Estimation\Estimation_fig2.pdf				</t>
  </si>
  <si>
    <t xml:space="preserve">dc8a425cc14335252a2db474ee7873e5	</t>
  </si>
  <si>
    <t xml:space="preserve">	e:\GoogleDrive\articles\runions fuhrer lane federl rolland-lagan prusinkiewicz - Modeling and v	isu	aliz	at	ion of leaf venation patterns.pdf</t>
  </si>
  <si>
    <t xml:space="preserve">dca55bd655946d7d82879e2ca1304491	</t>
  </si>
  <si>
    <t xml:space="preserve">	e:\GoogleDrive\articles\Runions Lane Prusinkiewicz - Modeling Trees with a Space Colonization Algo	rit	hm (	20	07).pdf</t>
  </si>
  <si>
    <t xml:space="preserve">dcaeb64acd4a98e0e82e236c888e42bd	</t>
  </si>
  <si>
    <t xml:space="preserve">	e:\GoogleDrive\articles\(eBook) - Jackel\BrownianBridge\TRANS.TBL				</t>
  </si>
  <si>
    <t xml:space="preserve">dcd9d74fc06a234c1d73e3690cd03c0c	</t>
  </si>
  <si>
    <t xml:space="preserve">	e:\GoogleDrive\articles\global derivatives 2008\john hull - bespoke cdos.pdf				</t>
  </si>
  <si>
    <t xml:space="preserve">dce3dc9177acc63f21ec38b4669521d0	</t>
  </si>
  <si>
    <t xml:space="preserve">	e:\GoogleDrive\articles\MultimodalRepresentations.pdf				</t>
  </si>
  <si>
    <t xml:space="preserve">dce7e4b0e507c076e739024032753fa2	</t>
  </si>
  <si>
    <t xml:space="preserve">	e:\GoogleDrive\articles\wilmott\0503_rachelziemba.pdf				</t>
  </si>
  <si>
    <t xml:space="preserve">dcfe1d63ec4fcb1f086dbdfc72553b3a	</t>
  </si>
  <si>
    <t xml:space="preserve">	e:\GoogleDrive\articles\Daglisha Hulla Suo - Volatility surfaces theory rules of thumb and empir	ica	l ev	id	ence.pdf</t>
  </si>
  <si>
    <t xml:space="preserve">dd01a7b1af6bc0a67882fd948ce9f1c1	</t>
  </si>
  <si>
    <t xml:space="preserve">	e:\GoogleDrive\articles\wilmott\0505_mclean.pdf				</t>
  </si>
  <si>
    <t xml:space="preserve">dd14054dae2cf7cfc6e8e32aeb73ab5e	</t>
  </si>
  <si>
    <t xml:space="preserve">	e:\GoogleDrive\articles\(eBook) hameurlain tjoa - Data management in Grid and Peer-to-Peer Systems.	pdf			</t>
  </si>
  <si>
    <t xml:space="preserve">dd183b14c10a272b86bfe513d861bbb3	</t>
  </si>
  <si>
    <t xml:space="preserve">	e:\GoogleDrive\articles\jaeckel rebonato - Linking Caplet and Swaption Volatilities in a BGMJ Frame	wor	k Ap	pr	oximate Solutions.pdf</t>
  </si>
  <si>
    <t xml:space="preserve">	e:\GoogleDrive\articles\peter jaeckel - capletswaption.pdf				</t>
  </si>
  <si>
    <t xml:space="preserve">	e:\GoogleDrive\articles\rebonato jakel - Linking caplet and swaption volatilities in a BGM framewor	k -	prn	.p	df</t>
  </si>
  <si>
    <t xml:space="preserve">dd27efd13314367bcf36ea6885443cf8	</t>
  </si>
  <si>
    <t xml:space="preserve">	e:\GoogleDrive\articles\wilmott\0503_flystra.pdf				</t>
  </si>
  <si>
    <t xml:space="preserve">dd473602bbffe5c2e1d8d14613aff9a5	</t>
  </si>
  <si>
    <t xml:space="preserve">	e:\GoogleDrive\articles\maths\solvers\eolss_rv.pdf				</t>
  </si>
  <si>
    <t xml:space="preserve">dd53505d5c63b4285e0cb5da76d78e7c	</t>
  </si>
  <si>
    <t xml:space="preserve">	e:\GoogleDrive\articles\maths\cours - shiryaev - Essentials on arbitrage theory.pdf				</t>
  </si>
  <si>
    <t xml:space="preserve">dd5f0b3bb0cc1fde0ea5636aed48aa38	</t>
  </si>
  <si>
    <t xml:space="preserve">	e:\GoogleDrive\articles\samet - Spatial Data Structures.pdf				</t>
  </si>
  <si>
    <t xml:space="preserve">dd7a38428d7b138dd87a34e0472391f8	</t>
  </si>
  <si>
    <t xml:space="preserve">	e:\GoogleDrive\articles\maths\algebra.ps				</t>
  </si>
  <si>
    <t xml:space="preserve">dd7bf390c92e0328f021f38cb05363c6	</t>
  </si>
  <si>
    <t xml:space="preserve">	e:\GoogleDrive\articles\marcellan - recent trend on the propertis of matrix orthonor.pdf				</t>
  </si>
  <si>
    <t xml:space="preserve">	e:\GoogleDrive\articles\marcellan - recent trend on the propertis of matrix orthonormal polinomials	#NAME?	rn.p	df	</t>
  </si>
  <si>
    <t xml:space="preserve">	e:\GoogleDrive\articles\marcellan yakhlef - Recent trends on analytic properties of matrix orthonor	mal	pol	yn	omials (2002).pdf</t>
  </si>
  <si>
    <t xml:space="preserve">dd8ce27aaac8929180ff3fd865fe31b2	</t>
  </si>
  <si>
    <t xml:space="preserve">	e:\GoogleDrive\articles\ann-quadtrees.pdf				</t>
  </si>
  <si>
    <t xml:space="preserve">ddb6e1600a3914bce8dd8b611ffbc283	</t>
  </si>
  <si>
    <t xml:space="preserve">	e:\GoogleDrive\articles\latex files\figures\calibrating_k.ps				</t>
  </si>
  <si>
    <t xml:space="preserve">ddb712fa0cee15e6ef8b0f2a03abc959	</t>
  </si>
  <si>
    <t xml:space="preserve">	e:\GoogleDrive\articles\pelizzari - LSM.pdf				</t>
  </si>
  <si>
    <t xml:space="preserve">	e:\GoogleDrive\articles\pizzi Pellizzari - Monte Carlo Pricing of American Options Using Nonparamet	ric	Reg	re	ssion (2002).pdf</t>
  </si>
  <si>
    <t xml:space="preserve">ddcc548c1b2e660e2a5c42bf57e328e8	</t>
  </si>
  <si>
    <t xml:space="preserve">	e:\GoogleDrive\articles\numericalR\c9-3.pdf				</t>
  </si>
  <si>
    <t xml:space="preserve">de1aa2d7539acf92ab0952fcf0e123ac	</t>
  </si>
  <si>
    <t xml:space="preserve">	e:\GoogleDrive\articles\wilmott\0809_shepeleva.pdf				</t>
  </si>
  <si>
    <t xml:space="preserve">de282452ad7eef17de46d461b00a8535	</t>
  </si>
  <si>
    <t xml:space="preserve">	e:\GoogleDrive\articles\Welford B.P. - Note on a Method for Calculating Corrected Sums of Squares a	nd	Prod	uc	ts.pdf</t>
  </si>
  <si>
    <t xml:space="preserve">de44bff1bd56a25d2d0ffa66922a386a	</t>
  </si>
  <si>
    <t xml:space="preserve">	e:\GoogleDrive\articles\maths sp‚\chapitre07 - integrale simple.pdf				</t>
  </si>
  <si>
    <t xml:space="preserve">de50c83eb521af8723f4333d22f72f41	</t>
  </si>
  <si>
    <t xml:space="preserve">	e:\GoogleDrive\articles\course - p-adic numbers.pdf				</t>
  </si>
  <si>
    <t xml:space="preserve">de7b70b26ce90a0c776eef14e62b13f6	</t>
  </si>
  <si>
    <t xml:space="preserve">	e:\GoogleDrive\articles\(eBook) - Trfethen\9 - pderefs.pdf				</t>
  </si>
  <si>
    <t xml:space="preserve">de85a8874bf19ed466999a5a82e4d5d4	</t>
  </si>
  <si>
    <t xml:space="preserve">	e:\GoogleDrive\articles\(lecture notes) jeanblanc.pdf				</t>
  </si>
  <si>
    <t xml:space="preserve">de8cae4f8b6b00f483aaf7d9c418b5b0	</t>
  </si>
  <si>
    <t xml:space="preserve">	e:\GoogleDrive\articles\(eBook) - Schaum's Outline Of Differential Equations -prn.pdf				</t>
  </si>
  <si>
    <t xml:space="preserve">	e:\GoogleDrive\articles\(eBook) Schaum's Outline Of Differential Equations -prn.pdf				</t>
  </si>
  <si>
    <t xml:space="preserve">de8d2a8ecef170c5fe8c62c8889c84b8	</t>
  </si>
  <si>
    <t xml:space="preserve">	e:\GoogleDrive\articles\info - graphics\Galbraith Prusinkiewicz Wyvill - Modeling a Murex cabritii	se	a sh	el	l with a structured implicit surface modeler.pdf</t>
  </si>
  <si>
    <t xml:space="preserve">de8faa99177f16d86542f9d155155a95	</t>
  </si>
  <si>
    <t xml:space="preserve">	e:\GoogleDrive\articles\(phd) hunor\phd\part1.tex				</t>
  </si>
  <si>
    <t xml:space="preserve">de988870e17549bf5558bfc26daf4766	</t>
  </si>
  <si>
    <t xml:space="preserve">	e:\GoogleDrive\articles\lobaskin\05_new_trading_systems__methods.pdf				</t>
  </si>
  <si>
    <t xml:space="preserve">de99f390f54ac74af29507552ffda94c	</t>
  </si>
  <si>
    <t xml:space="preserve">	e:\GoogleDrive\articles\kleinert - path integrals 05.pdf				</t>
  </si>
  <si>
    <t xml:space="preserve">dedf005d6f32b28d65b6fe94865789e5	</t>
  </si>
  <si>
    <t xml:space="preserve">	e:\GoogleDrive\articles\wilmott\0405_staunton.pdf				</t>
  </si>
  <si>
    <t xml:space="preserve">dee7792302f9f5a43c5127d451642804	</t>
  </si>
  <si>
    <t xml:space="preserve">	e:\GoogleDrive\articles\Thadewald burning - jarque brera normality test.pdf				</t>
  </si>
  <si>
    <t xml:space="preserve">def67329645360f0b0876e7258678311	</t>
  </si>
  <si>
    <t xml:space="preserve">	e:\GoogleDrive\articles\(eBook) Knill - Probability Theory and Stochastic Processes with application	s.p	df		</t>
  </si>
  <si>
    <t xml:space="preserve">df00349ca906206c87d68d60695fcf11	</t>
  </si>
  <si>
    <t xml:space="preserve">	e:\GoogleDrive\articles\roper - Arbitrage Free Implied Volatility Surfaces (2009).pdf				</t>
  </si>
  <si>
    <t xml:space="preserve">df0c8ceea7f35bdec51f657859fd6878	</t>
  </si>
  <si>
    <t xml:space="preserve">	e:\GoogleDrive\articles\GillesDaniel - Agent based market models - prn.pdf				</t>
  </si>
  <si>
    <t xml:space="preserve">df189af39947310e9985b8ee3f530664	</t>
  </si>
  <si>
    <t xml:space="preserve">	e:\GoogleDrive\articles\wilmott\0711_thorp.pdf				</t>
  </si>
  <si>
    <t xml:space="preserve">df195bca3384dd0dd9182e99f8ad3290	</t>
  </si>
  <si>
    <t xml:space="preserve">	e:\GoogleDrive\articles\info - graphics\krussel schaudt - a note on higher order voronoi diagrams.p	df			</t>
  </si>
  <si>
    <t xml:space="preserve">df2bececf4d05ef62011ff7b5fc1d624	</t>
  </si>
  <si>
    <t xml:space="preserve">	e:\GoogleDrive\articles\global risk 2007\day2\15.15 Eydeland.pdf				</t>
  </si>
  <si>
    <t xml:space="preserve">df2bfa7e3f042dbecc66335b5937c792	</t>
  </si>
  <si>
    <t xml:space="preserve">	e:\GoogleDrive\articles\info - graphics\pakdel samavathi - Incremental Subdivision for Triangle Mes	hes	#NAME?	ku	lls.pdf</t>
  </si>
  <si>
    <t xml:space="preserve">df31f8bc2c035d4a78951f4a18a4617b	</t>
  </si>
  <si>
    <t xml:space="preserve">	e:\GoogleDrive\articles\gatheral - lecture2 FittingtheVolSkew.pdf				</t>
  </si>
  <si>
    <t xml:space="preserve">	e:\GoogleDrive\articles\Gatheral - Lecture2_Fall02.pdf				</t>
  </si>
  <si>
    <t xml:space="preserve">df3548c6f6a23f3248af44b037aee314	</t>
  </si>
  <si>
    <t xml:space="preserve">	e:\GoogleDrive\articles\latex files\implementing_ir5.doc				</t>
  </si>
  <si>
    <t xml:space="preserve">df3b87fc880fea15d4388389a9459690	</t>
  </si>
  <si>
    <t xml:space="preserve">	e:\GoogleDrive\articles\bennett - Volatility trading.pdf				</t>
  </si>
  <si>
    <t xml:space="preserve">df3d7b9a28eb1240264ac6d2bf2a9de3	</t>
  </si>
  <si>
    <t xml:space="preserve">	e:\GoogleDrive\articles\Wishart distribution.pdf				</t>
  </si>
  <si>
    <t xml:space="preserve">df7d29d89f11c15f628fdf49c534ce46	</t>
  </si>
  <si>
    <t xml:space="preserve">	e:\GoogleDrive\articles\kohn - sde\section8.ps				</t>
  </si>
  <si>
    <t xml:space="preserve">df83b8e5f79182cd811d104ab3be49d7	</t>
  </si>
  <si>
    <t xml:space="preserve">	e:\GoogleDrive\articles\r - full reference.pdf				</t>
  </si>
  <si>
    <t xml:space="preserve">df92767ebad51dfc2feaea56131900f3	</t>
  </si>
  <si>
    <t xml:space="preserve">	e:\GoogleDrive\articles\lecture notes (pittman probas)\lecture17.pdf				</t>
  </si>
  <si>
    <t xml:space="preserve">dfa4c2e3e9c2df674442b5ee6e786c79	</t>
  </si>
  <si>
    <t xml:space="preserve">	e:\GoogleDrive\articles\wilmott\0611_bookclub.pdf				</t>
  </si>
  <si>
    <t xml:space="preserve">dfab1de6235d63cd3b65ee42239f7f46	</t>
  </si>
  <si>
    <t xml:space="preserve">	e:\GoogleDrive\articles\administratif\caf - attestation.doc				</t>
  </si>
  <si>
    <t xml:space="preserve">dfbcff2cf4d73ed7121b56d0cddcfeb4	</t>
  </si>
  <si>
    <t xml:space="preserve">	e:\GoogleDrive\articles\wilmott\0401_awards.pdf				</t>
  </si>
  <si>
    <t xml:space="preserve">dfc0c65c7ecc4e6697742d10519e48e1	</t>
  </si>
  <si>
    <t xml:space="preserve">	e:\GoogleDrive\articles\benhamou - Thesis - Application of Malliavin Calculus and Wi.pdf				</t>
  </si>
  <si>
    <t xml:space="preserve">	e:\GoogleDrive\articles\benhamou - Thesis - Application of Malliavin Calculus and Wiener chaos toopt	ion	pri	ci	ng theory.pdf</t>
  </si>
  <si>
    <t xml:space="preserve">dfd903e8037634355e9cfbf3034892ff	</t>
  </si>
  <si>
    <t xml:space="preserve">	e:\GoogleDrive\articles\kluge - presentation.pdf				</t>
  </si>
  <si>
    <t xml:space="preserve">dfe92c757784c0e87e47092978b9ea60	</t>
  </si>
  <si>
    <t xml:space="preserve">	e:\GoogleDrive\articles\global risk 2007\day2\11.30 Andersen.pdf				</t>
  </si>
  <si>
    <t xml:space="preserve">dff425caaac03a3ba5c283f18467a929	</t>
  </si>
  <si>
    <t xml:space="preserve">	e:\GoogleDrive\articles\broadie glasserman - stochastic mesh.pdf				</t>
  </si>
  <si>
    <t>e:\GoogleDrive\articles\finkel</t>
  </si>
  <si>
    <t xml:space="preserve">		zaslavsky monostori schmidt - ?Signature extraction for overlap detection in documents.pdf can't be	op	ened	.	</t>
  </si>
  <si>
    <t xml:space="preserve">e01297781c970d584b410004b7106a9e	</t>
  </si>
  <si>
    <t xml:space="preserve">	e:\GoogleDrive\articles\vgood lecture\problems1.pdf				</t>
  </si>
  <si>
    <t xml:space="preserve">e048fe301ea4900ca8c5901993c3458d	</t>
  </si>
  <si>
    <t xml:space="preserve">	e:\GoogleDrive\articles\ross81 - some stronger measures of risk aversion in the Smal.pdf				</t>
  </si>
  <si>
    <t xml:space="preserve">e056ca63af47f4561ff05d2c96282cac	</t>
  </si>
  <si>
    <t xml:space="preserve">	e:\GoogleDrive\articles\(ebook) selesnick burrus - Digital Signal Processing Handbook\27.pdf				</t>
  </si>
  <si>
    <t xml:space="preserve">e0670f30d53c15589ec33f9161856273	</t>
  </si>
  <si>
    <t xml:space="preserve">	e:\GoogleDrive\articles\wilmott\0505_joshi.pdf				</t>
  </si>
  <si>
    <t xml:space="preserve">e072761e491d66b013ab5459a1cbd6b6	</t>
  </si>
  <si>
    <t xml:space="preserve">	e:\GoogleDrive\articles\info - algo\info - Implementing a Custom Iterator.docx				</t>
  </si>
  <si>
    <t xml:space="preserve">e0abab7bb9a8ba045b3e8c685c9eb479	</t>
  </si>
  <si>
    <t xml:space="preserve">	e:\GoogleDrive\articles\mn480 - computational techniques\backuper.hcs				</t>
  </si>
  <si>
    <t xml:space="preserve">e0d594f10456d2598b5df138731a2f22	</t>
  </si>
  <si>
    <t xml:space="preserve">	e:\GoogleDrive\articles\(ebbok) kaplan - Advanced Calculus_ISBN0201799375.djvu				</t>
  </si>
  <si>
    <t xml:space="preserve">e0d6558f9634c4c84b636e1b4ac2f55c	</t>
  </si>
  <si>
    <t xml:space="preserve">	e:\GoogleDrive\articles\baker zilber - FX barriers with smile dynamics.pdf				</t>
  </si>
  <si>
    <t xml:space="preserve">e0ebd991ab82785af862d73553ea41ac	</t>
  </si>
  <si>
    <t xml:space="preserve">	e:\GoogleDrive\articles\barrier options thesis - Gunnarsson.pdf				</t>
  </si>
  <si>
    <t xml:space="preserve">e0f0c487636040fa97d8c2142627dd47	</t>
  </si>
  <si>
    <t xml:space="preserve">	e:\GoogleDrive\articles\wilmott\0407_editorial.pdf				</t>
  </si>
  <si>
    <t xml:space="preserve">e0fccd19abb5c1266ded2268e3f18b9f	</t>
  </si>
  <si>
    <t xml:space="preserve">	e:\GoogleDrive\articles\(ebook) selesnick burrus - Digital Signal Processing Handbook\75.pdf				</t>
  </si>
  <si>
    <t xml:space="preserve">e103582e932024ffbf1e912f7dcb64fc	</t>
  </si>
  <si>
    <t xml:space="preserve">	e:\GoogleDrive\articles\hagan - Equivalent Black Volatilities.pdf				</t>
  </si>
  <si>
    <t xml:space="preserve">	e:\GoogleDrive\articles\pat - EquivBlackVols.pdf				</t>
  </si>
  <si>
    <t xml:space="preserve">e1092f3ee796d1f7d6276cd928d5fb46	</t>
  </si>
  <si>
    <t xml:space="preserve">	e:\GoogleDrive\articles\wilmott\0507_bookreview.pdf				</t>
  </si>
  <si>
    <t xml:space="preserve">e114d4ddce42034f1174809624496229	</t>
  </si>
  <si>
    <t xml:space="preserve">	e:\GoogleDrive\articles\lemieux ecuyer - on the use of quasi MC methods in computat.pdf				</t>
  </si>
  <si>
    <t xml:space="preserve">	e:\GoogleDrive\articles\lemieux l'ecuyer - On the Use of Quasi-Monte Carlo Methods in Computtional	Fin	ance	.p	df</t>
  </si>
  <si>
    <t xml:space="preserve">e1198e84b3921d1a12154123a715df86	</t>
  </si>
  <si>
    <t xml:space="preserve">	e:\GoogleDrive\articles\RiskMetrics monitor\backuper.hcs				</t>
  </si>
  <si>
    <t xml:space="preserve">e1254297d539140f5ca1877d31ce5ec0	</t>
  </si>
  <si>
    <t xml:space="preserve">	e:\GoogleDrive\articles\wilmott\0303_selmi.pdf				</t>
  </si>
  <si>
    <t xml:space="preserve">e1367e29ecbd8b57602ecd63fa66b200	</t>
  </si>
  <si>
    <t xml:space="preserve">	e:\GoogleDrive\articles\Atkinson Sack Santoro Strothotte - Min-Max Heaps and Generalized Priority	Qu	eues	.p	df</t>
  </si>
  <si>
    <t xml:space="preserve">	e:\GoogleDrive\articles\MinMaxHeaps and Generalized Priority Queues.pdf				</t>
  </si>
  <si>
    <t xml:space="preserve">	e:\GoogleDrive\articles\info - algo\atkinson sack santoro strothotte - Min-Max Heaps and Generali	sed	pro	ri	ty queues.pdf</t>
  </si>
  <si>
    <t xml:space="preserve">e174638d97d6c15f6877a5f71fe7b45f	</t>
  </si>
  <si>
    <t xml:space="preserve">	e:\GoogleDrive\articles\wilmott\0307_haug.pdf				</t>
  </si>
  <si>
    <t xml:space="preserve">e18e1a5ffb5503040532f3c27fd733f6	</t>
  </si>
  <si>
    <t xml:space="preserve">	e:\GoogleDrive\articles\maths - Generating correlated random numbers.doc				</t>
  </si>
  <si>
    <t xml:space="preserve">e1b8f14f703d0925f7c320232a871c2f	</t>
  </si>
  <si>
    <t xml:space="preserve">	e:\GoogleDrive\articles\johnson - numerical methods for the MF model (slides).pdf				</t>
  </si>
  <si>
    <t xml:space="preserve">e1c00b8fbf6566837182576a8d04a049	</t>
  </si>
  <si>
    <t xml:space="preserve">	e:\GoogleDrive\articles\info - algo\algo - traits a new and useful template technique.docx				</t>
  </si>
  <si>
    <t xml:space="preserve">e1c9c440277da44a46e5644f1e748bda	</t>
  </si>
  <si>
    <t xml:space="preserve">	e:\GoogleDrive\articles\albanese lo mijatovi - spectral methods for volatility derivatives.pdf				</t>
  </si>
  <si>
    <t xml:space="preserve">e1f75e46df1ba924e8635544069ee5ee	</t>
  </si>
  <si>
    <t xml:space="preserve">	e:\GoogleDrive\articles\brownian bridge\kolmogorov.ps				</t>
  </si>
  <si>
    <t xml:space="preserve">e216d1224dd9a952dfab3193c02b8a70	</t>
  </si>
  <si>
    <t xml:space="preserve">	e:\GoogleDrive\articles\pfeffer - WesLB model Validation.pdf				</t>
  </si>
  <si>
    <t xml:space="preserve">e22b33bbe2ca737c8a8af97af18e5017	</t>
  </si>
  <si>
    <t xml:space="preserve">	e:\GoogleDrive\articles\imf publications\wp0414 - prn.pdf				</t>
  </si>
  <si>
    <t xml:space="preserve">e22eb05c594eb196d2fa7a09ac81d3da	</t>
  </si>
  <si>
    <t xml:space="preserve">	e:\GoogleDrive\articles\google\carriere-swallow labbe - nowcasting with google trends in an emergin	g m	arke	t	(2010).pdf</t>
  </si>
  <si>
    <t xml:space="preserve">e2454ba2f586cd6cc35f382af0eaa626	</t>
  </si>
  <si>
    <t xml:space="preserve">	e:\GoogleDrive\articles\bergomi - smile dynamics I.pdf				</t>
  </si>
  <si>
    <t xml:space="preserve">	e:\GoogleDrive\articles\bergomi - smile dynamics part1.pdf				</t>
  </si>
  <si>
    <t xml:space="preserve">e245cbd32983b7c894f99b11aa1e30a1	</t>
  </si>
  <si>
    <t xml:space="preserve">	e:\GoogleDrive\articles\maths - trig07.bmp				</t>
  </si>
  <si>
    <t xml:space="preserve">e246f351a123a8911a890f40d408ff7a	</t>
  </si>
  <si>
    <t xml:space="preserve">	e:\GoogleDrive\articles\global risk 2007\day2\Alexandre Antonov.zip				</t>
  </si>
  <si>
    <t xml:space="preserve">e2526a6390d6edb14feac193a4f1a57e	</t>
  </si>
  <si>
    <t xml:space="preserve">	e:\GoogleDrive\articles\haugh - Foreign exchange and quantos.pdf				</t>
  </si>
  <si>
    <t xml:space="preserve">e252f209ee87813c90615e20fa11e8d8	</t>
  </si>
  <si>
    <t xml:space="preserve">	e:\GoogleDrive\articles\info - graphics\Tristano - Advancing front surface mesh generation in Parame	tri	c Sp	ac	e Using a Riemannian Surface Definition.pdf</t>
  </si>
  <si>
    <t xml:space="preserve">e25417900da2f1bb70a193755cdf173a	</t>
  </si>
  <si>
    <t xml:space="preserve">	e:\GoogleDrive\articles\data mining\ECMLPKDD2004\images\sponsors\exeura.png				</t>
  </si>
  <si>
    <t xml:space="preserve">e27a62141bcae2cac02893529e7a0452	</t>
  </si>
  <si>
    <t xml:space="preserve">	e:\GoogleDrive\articles\brownian bridge\pitman getdoc.pdf				</t>
  </si>
  <si>
    <t xml:space="preserve">e27d8c3a0c50304c76bd572e93325579	</t>
  </si>
  <si>
    <t xml:space="preserve">	e:\GoogleDrive\articles\(eBook) - Pollad - Convergence Of Stochastic Processes (Spri.pdf				</t>
  </si>
  <si>
    <t xml:space="preserve">e288bde8499c09b5d18a89f72676a88a	</t>
  </si>
  <si>
    <t xml:space="preserve">	e:\GoogleDrive\articles\brownian bridge\davydov linetsky - doublestep.pdf				</t>
  </si>
  <si>
    <t xml:space="preserve">e292ba5d46ed9a7a459992011bd6a367	</t>
  </si>
  <si>
    <t xml:space="preserve">	e:\GoogleDrive\articles\wilmott\0501_jackel.pdf				</t>
  </si>
  <si>
    <t xml:space="preserve">e2a5028f4feefcf426f7d3b71994d7a9	</t>
  </si>
  <si>
    <t xml:space="preserve">	e:\GoogleDrive\articles\kleinert - path integrals 19.pdf				</t>
  </si>
  <si>
    <t xml:space="preserve">e2a96d37c4c0342eedabebc9c433bf33	</t>
  </si>
  <si>
    <t xml:space="preserve">	e:\GoogleDrive\articles\wilmott\0605_osband.pdf				</t>
  </si>
  <si>
    <t xml:space="preserve">e2e92fbd7797d03e72c0833a1e20c1a6	</t>
  </si>
  <si>
    <t xml:space="preserve">	e:\GoogleDrive\articles\(phd) hunor\phd\listes.aux				</t>
  </si>
  <si>
    <t xml:space="preserve">e2edf1ef967141860c95d8e701192216	</t>
  </si>
  <si>
    <t xml:space="preserve">	e:\GoogleDrive\articles\wilmott\0809_das.pdf				</t>
  </si>
  <si>
    <t xml:space="preserve">e2efcc7f3ad3267454e78d781304480d	</t>
  </si>
  <si>
    <t xml:space="preserve">	e:\GoogleDrive\articles\wilmott\0311_drz.pdf				</t>
  </si>
  <si>
    <t xml:space="preserve">e2f35bae03e40ce438b948e6f06e7b2d	</t>
  </si>
  <si>
    <t xml:space="preserve">	e:\GoogleDrive\articles\wilmott\0305_editorial.pdf				</t>
  </si>
  <si>
    <t xml:space="preserve">e2f4645b96d50b46685aff5f24b4d36c	</t>
  </si>
  <si>
    <t xml:space="preserve">	e:\GoogleDrive\articles\schweizer - on bermudan options.pdf				</t>
  </si>
  <si>
    <t xml:space="preserve">e3031bef3ef4793ce9bbb77f6a9ae3cc	</t>
  </si>
  <si>
    <t xml:space="preserve">	e:\GoogleDrive\articles\culture generale\Quittard-Pinon.pdf				</t>
  </si>
  <si>
    <t xml:space="preserve">e31c1d8ca6c770f8bdbac99d944f0af3	</t>
  </si>
  <si>
    <t xml:space="preserve">	e:\GoogleDrive\articles\marius hofert - sampling archimedean copulas.pdf				</t>
  </si>
  <si>
    <t xml:space="preserve">e33d851e28a6aee1d63d1f6ae6eca61c	</t>
  </si>
  <si>
    <t xml:space="preserve">	e:\GoogleDrive\articles\data mining\ECMLPKDD2004\images\posterHigh.png				</t>
  </si>
  <si>
    <t xml:space="preserve">e341625d339ef0be2447696b10094270	</t>
  </si>
  <si>
    <t xml:space="preserve">	e:\GoogleDrive\articles\(phd) hunor\phd\these.toc				</t>
  </si>
  <si>
    <t xml:space="preserve">e34e84983f86f06f975c1a18d71e18ab	</t>
  </si>
  <si>
    <t xml:space="preserve">	e:\GoogleDrive\articles\complex diff\backuper.hcs				</t>
  </si>
  <si>
    <t xml:space="preserve">e352b1f3bddb0435848a2459a8f267b9	</t>
  </si>
  <si>
    <t xml:space="preserve">	e:\GoogleDrive\articles\stanford - convex optimisation\01 - intro.pdf				</t>
  </si>
  <si>
    <t xml:space="preserve">e362acb115b19983736bdcbc6db1fbd9	</t>
  </si>
  <si>
    <t xml:space="preserve">	e:\GoogleDrive\articles\wilmott\0705_staunton.pdf				</t>
  </si>
  <si>
    <t xml:space="preserve">e367d40de9075b7e391565abac08e33d	</t>
  </si>
  <si>
    <t xml:space="preserve">	e:\GoogleDrive\articles\pietersz - msc thesis on Lmm.pdf				</t>
  </si>
  <si>
    <t xml:space="preserve">e379d9fa85306085e8abefcc369027e5	</t>
  </si>
  <si>
    <t xml:space="preserve">	e:\GoogleDrive\articles\(eBook) - Jackel\Halton\backuper.hcs				</t>
  </si>
  <si>
    <t xml:space="preserve">e39a8eff643f3b64d512597ad0b6fcff	</t>
  </si>
  <si>
    <t xml:space="preserve">	e:\GoogleDrive\articles\wilmott\0803_news.pdf				</t>
  </si>
  <si>
    <t xml:space="preserve">e3abfdff6099b42a0ee6163f38e4023a	</t>
  </si>
  <si>
    <t xml:space="preserve">	e:\GoogleDrive\articles\(eBook) - Crack T.F. Heard on the Street.. quantitative questions from job i	nte	rvie	ws	(2004)(T)(274s)_MSch_.djvu</t>
  </si>
  <si>
    <t xml:space="preserve">e3b284ee2a97f1a42b019d5fc69c5d20	</t>
  </si>
  <si>
    <t xml:space="preserve">	e:\GoogleDrive\articles\global risk 2007\day2\12.15 Laurent.pdf				</t>
  </si>
  <si>
    <t xml:space="preserve">e3c33e194c12155f0c341d09878ef914	</t>
  </si>
  <si>
    <t xml:space="preserve">	e:\GoogleDrive\articles\Aspremont - Interest rate model calibration using semidefinite programming.	pdf			</t>
  </si>
  <si>
    <t xml:space="preserve">e3cd3d6a555bb375fdbe211e1fb537ff	</t>
  </si>
  <si>
    <t xml:space="preserve">	e:\GoogleDrive\articles\lobaskin\P.Kaufman.Trading Systems &amp; Methods\Kaufman - Trading Systems &amp; Met	hod	s -	Ch	ap15.doc</t>
  </si>
  <si>
    <t xml:space="preserve">e3e1f3ca8268eddd3db417f0343f5723	</t>
  </si>
  <si>
    <t xml:space="preserve">	e:\GoogleDrive\articles\latex files\milstein.doc				</t>
  </si>
  <si>
    <t xml:space="preserve">e3e5651e1d04bfb5cbdc8397b6fb16a1	</t>
  </si>
  <si>
    <t xml:space="preserve">	e:\GoogleDrive\articles\wilmott\0811_ito33.pdf				</t>
  </si>
  <si>
    <t xml:space="preserve">e3f1304e8cca2667ebcf8f58f3ddc119	</t>
  </si>
  <si>
    <t xml:space="preserve">	e:\GoogleDrive\articles\paap - common large innovations across nonlinear time series.pdf				</t>
  </si>
  <si>
    <t xml:space="preserve">e3fd5f28d2690101174a9503658d91ba	</t>
  </si>
  <si>
    <t xml:space="preserve">	e:\GoogleDrive\articles\info - algo\naumann - The Art of Differentiating Computer Programs (2).pdf				</t>
  </si>
  <si>
    <t xml:space="preserve">e40de1d2eb762d1d97f21f758c0fe206	</t>
  </si>
  <si>
    <t xml:space="preserve">	e:\GoogleDrive\articles\guillaume Aubert - Arbitrage-free CMS Valuation.pdf				</t>
  </si>
  <si>
    <t xml:space="preserve">e430ac1636f716d56ce2c7a6a4c51c24	</t>
  </si>
  <si>
    <t xml:space="preserve">	e:\GoogleDrive\articles\Friedel keller - Fast gfeneration of randomized low discrep.pdf				</t>
  </si>
  <si>
    <t xml:space="preserve">e43a3e072bd016f6bf7d8c84c7f71b18	</t>
  </si>
  <si>
    <t xml:space="preserve">	e:\GoogleDrive\articles\pietersz - A major Libor fit - prn.pdf				</t>
  </si>
  <si>
    <t xml:space="preserve">e4539b320bdcdd7c64c03564e0319004	</t>
  </si>
  <si>
    <t xml:space="preserve">	e:\GoogleDrive\articles\anagrammer\Structures of String Matching And Data Compression.pdf				</t>
  </si>
  <si>
    <t xml:space="preserve">e46e4a553c49dcf017ce43ff70fa787b	</t>
  </si>
  <si>
    <t xml:space="preserve">	e:\GoogleDrive\articles\latex files\SV\SV.tex				</t>
  </si>
  <si>
    <t xml:space="preserve">e47d122fcf50ef46e0448a21f17a5994	</t>
  </si>
  <si>
    <t xml:space="preserve">	e:\GoogleDrive\articles\info - algo\welch bishop - An introduction to the Kalman filter (SIGGRAPH 2	1	).pd	f	</t>
  </si>
  <si>
    <t xml:space="preserve">e48ee5b72262a2c4b5915fc1806034c3	</t>
  </si>
  <si>
    <t xml:space="preserve">	e:\GoogleDrive\articles\(phd) hunor\thirdparty\hunor\basic_tools.cpp				</t>
  </si>
  <si>
    <t xml:space="preserve">e4b144ad0885d449ab8a38ac2836c50f	</t>
  </si>
  <si>
    <t xml:space="preserve">	e:\GoogleDrive\articles\labordere - sabr and bgm.pdf				</t>
  </si>
  <si>
    <t xml:space="preserve">e4bfcf21550ea0c5f88af9dfd909ac79	</t>
  </si>
  <si>
    <t xml:space="preserve">	e:\GoogleDrive\articles\(lecture notes) Paul Dawkins - Differential Equations.pdf				</t>
  </si>
  <si>
    <t xml:space="preserve">e4c13d21c07f01edabda2b0699099d94	</t>
  </si>
  <si>
    <t xml:space="preserve">	e:\GoogleDrive\articles\(ebook) - introduction to modelling and analysis of stochastic systems.pdf				</t>
  </si>
  <si>
    <t xml:space="preserve">e4d503fff3bc70d88e29d6b5490de369	</t>
  </si>
  <si>
    <t xml:space="preserve">	e:\GoogleDrive\articles\Aristizabal - Estimating the Parameters of the Three parameter lognormal dis	tri	buti	on	.pdf</t>
  </si>
  <si>
    <t xml:space="preserve">e4e361658278aaa4dcad4ed83c545c15	</t>
  </si>
  <si>
    <t xml:space="preserve">	e:\GoogleDrive\articles\global risk 2007\day1\Schonbucher_handout.pdf				</t>
  </si>
  <si>
    <t xml:space="preserve">e4fa6817c1dc7bd519bc0ad8f6a6c86d	</t>
  </si>
  <si>
    <t xml:space="preserve">	e:\GoogleDrive\articles\nielsen et al - introduction to interval analysis.pdf				</t>
  </si>
  <si>
    <t xml:space="preserve">e507e90065786b91f5c3a408d5dd58a0	</t>
  </si>
  <si>
    <t xml:space="preserve">	e:\GoogleDrive\articles\(eBook) - statistical methods\chapter11.pdf				</t>
  </si>
  <si>
    <t xml:space="preserve">e51df12d5c39d7778bc4a8094dc7f7b5	</t>
  </si>
  <si>
    <t xml:space="preserve">	e:\GoogleDrive\articles\wilmott\0607_fincad.pdf				</t>
  </si>
  <si>
    <t xml:space="preserve">e54b9bb371b8349d00925c61dc55ac96	</t>
  </si>
  <si>
    <t xml:space="preserve">	e:\GoogleDrive\articles\wilmott\0501_chen.pdf				</t>
  </si>
  <si>
    <t xml:space="preserve">e57147fb7285bb6e4a84d3f17c865661	</t>
  </si>
  <si>
    <t xml:space="preserve">	e:\GoogleDrive\articles\(eBook) - Jackel\Halton\PrimeNumbers.h				</t>
  </si>
  <si>
    <t xml:space="preserve">e57b306a4a8f63cbe19fc5cfe3249a77	</t>
  </si>
  <si>
    <t xml:space="preserve">	e:\GoogleDrive\articles\course - Algebra and number theory.pdf				</t>
  </si>
  <si>
    <t xml:space="preserve">e5819de8cd97d7b9da88ab622fb73b13	</t>
  </si>
  <si>
    <t xml:space="preserve">	e:\GoogleDrive\articles\wilmott\0609_carreviews.pdf				</t>
  </si>
  <si>
    <t xml:space="preserve">e58b34dc0db8ead9887c176213ac7ae9	</t>
  </si>
  <si>
    <t xml:space="preserve">	e:\GoogleDrive\articles\(eBook) - kwok\Kwok_Chap_6.pdf				</t>
  </si>
  <si>
    <t xml:space="preserve">e5a583d135269ca1d87029aa027956cb	</t>
  </si>
  <si>
    <t xml:space="preserve">	e:\GoogleDrive\articles\(eBook) - statistical methods\chapter14.pdf				</t>
  </si>
  <si>
    <t xml:space="preserve">e5a7242fe3e25a30a9875d7cbd8b223b	</t>
  </si>
  <si>
    <t xml:space="preserve">	e:\GoogleDrive\articles\journal of computational finance\v10n3a3.pdf				</t>
  </si>
  <si>
    <t xml:space="preserve">e5ab60b64b8f02d92153c7b4958c081a	</t>
  </si>
  <si>
    <t xml:space="preserve">	e:\GoogleDrive\articles\administratif\Memoire des pionniers.doc				</t>
  </si>
  <si>
    <t xml:space="preserve">e5b80209ee46939492aec703884f9a5e	</t>
  </si>
  <si>
    <t xml:space="preserve">	e:\GoogleDrive\articles\mark rubinstein\A Comparative Statics Analysis of Risk Premiums.doc				</t>
  </si>
  <si>
    <t xml:space="preserve">e5d30cf59f2202a83458af4be48fc6b5	</t>
  </si>
  <si>
    <t xml:space="preserve">	e:\GoogleDrive\articles\numericalR\c13-7.pdf				</t>
  </si>
  <si>
    <t xml:space="preserve">e5d603232dacc2b792e2754c86e570ed	</t>
  </si>
  <si>
    <t xml:space="preserve">	e:\GoogleDrive\articles\lecture - probability (grinstead and snell)\Chapter8.pdf				</t>
  </si>
  <si>
    <t xml:space="preserve">e5d8282a6cbcd2417433ff2dadf3ca9e	</t>
  </si>
  <si>
    <t xml:space="preserve">	e:\GoogleDrive\articles\These - etude des chaines markov perturbation de leur noyau.pdf				</t>
  </si>
  <si>
    <t xml:space="preserve">e6068679311f94977a76e5ee5fc08adf	</t>
  </si>
  <si>
    <t xml:space="preserve">	e:\GoogleDrive\articles\WBS IR modelling Course\IR Modelling\IR1.1Lund_95.ppt				</t>
  </si>
  <si>
    <t xml:space="preserve">e621b20cc9762b1a1522d088a89fd644	</t>
  </si>
  <si>
    <t xml:space="preserve">	e:\GoogleDrive\articles\numericalR\c9-2.pdf				</t>
  </si>
  <si>
    <t xml:space="preserve">e6241fa77a018fd044fbc51bc6e24da4	</t>
  </si>
  <si>
    <t xml:space="preserve">	e:\GoogleDrive\articles\wilmott\0405_news.pdf				</t>
  </si>
  <si>
    <t xml:space="preserve">e6459c76f2b747d06b9f7aed4b11e34b	</t>
  </si>
  <si>
    <t xml:space="preserve">	e:\GoogleDrive\articles\maths - choleski.doc				</t>
  </si>
  <si>
    <t xml:space="preserve">e647262e6ec816b888f8ac2e17153e4c	</t>
  </si>
  <si>
    <t xml:space="preserve">	e:\GoogleDrive\articles\qu sun - a quadratically convergent newton method for computing the nearest	co	rrel	at	ion matrix.pdf</t>
  </si>
  <si>
    <t xml:space="preserve">e68aa197996b434af69f0486e8ed468d	</t>
  </si>
  <si>
    <t xml:space="preserve">	e:\GoogleDrive\articles\milne\math594fS - fields and galois theory.pdf				</t>
  </si>
  <si>
    <t xml:space="preserve">e68e222c20bd13d87a0aaeac8c99dc6b	</t>
  </si>
  <si>
    <t xml:space="preserve">	e:\GoogleDrive\articles\wilmott\0705_nail.pdf				</t>
  </si>
  <si>
    <t xml:space="preserve">e697bbd1025a7f11716d7988fcfba778	</t>
  </si>
  <si>
    <t xml:space="preserve">	e:\GoogleDrive\articles\dictionaries\texnic-hu_HU.zip				</t>
  </si>
  <si>
    <t xml:space="preserve">e6a75bc691f166b3bc53495215f33aaa	</t>
  </si>
  <si>
    <t xml:space="preserve">	e:\GoogleDrive\articles\niederreiter.zip				</t>
  </si>
  <si>
    <t xml:space="preserve">e6a804036e276a22e969702e192fd1e1	</t>
  </si>
  <si>
    <t xml:space="preserve">	e:\GoogleDrive\articles\wilmott\0411_scicomp.pdf				</t>
  </si>
  <si>
    <t xml:space="preserve">e6af4f2a7ac894e3b46c71825c978b82	</t>
  </si>
  <si>
    <t xml:space="preserve">	e:\GoogleDrive\articles\Sobol et al - Construction and Comparison of High-Dimensional Sobol? Generat	ors	.pdf		</t>
  </si>
  <si>
    <t xml:space="preserve">e701a06f96ef4abc5dd27bb246f8f255	</t>
  </si>
  <si>
    <t xml:space="preserve">	e:\GoogleDrive\articles\info - algo\algo - traits the else-if-then of types.docx				</t>
  </si>
  <si>
    <t xml:space="preserve">e70bbbed5372bc0fe01d49e84fb28fcb	</t>
  </si>
  <si>
    <t xml:space="preserve">	e:\GoogleDrive\articles\Cont fonseca - Dynamics of implied volatility surfaces.pdf				</t>
  </si>
  <si>
    <t xml:space="preserve">	e:\GoogleDrive\articles\rama cont fonseca - dynamics of implied volatility surfaces.pdf				</t>
  </si>
  <si>
    <t xml:space="preserve">e7105db3df7446d7f68f2e05f416fed6	</t>
  </si>
  <si>
    <t xml:space="preserve">	e:\GoogleDrive\articles\kolodko schoenmakers - iterative consruction of optimal bermudan stopping t	ime	.pdf		</t>
  </si>
  <si>
    <t xml:space="preserve">e713d24d860f999d8fcec8aa7a566f5d	</t>
  </si>
  <si>
    <t xml:space="preserve">	e:\GoogleDrive\articles\HF trading\ferraris - equity market impact models.pdf				</t>
  </si>
  <si>
    <t xml:space="preserve">e71cdadd11740a507012b10620766531	</t>
  </si>
  <si>
    <t xml:space="preserve">	e:\GoogleDrive\articles\info - graphics\Danovaro De Floriani Magilllo Pupo - Data structures for	3D	mult	i-	tessallations an overview.pdf</t>
  </si>
  <si>
    <t xml:space="preserve">e72ad11b2256d426efeabbbf49e76cc4	</t>
  </si>
  <si>
    <t xml:space="preserve">	e:\GoogleDrive\articles\yoshi - achieving decorrelation.pdf				</t>
  </si>
  <si>
    <t xml:space="preserve">e72bd57e9a7c9da6f3f24225b392be88	</t>
  </si>
  <si>
    <t xml:space="preserve">	e:\GoogleDrive\articles\global risk 2007\day2\12.15 Stephens.pdf				</t>
  </si>
  <si>
    <t xml:space="preserve">e7317de9b61156616f7274856ba592dc	</t>
  </si>
  <si>
    <t xml:space="preserve">	e:\GoogleDrive\articles\faulhaber - Analytic methods dor pricing double barrier options with SV.pdf				</t>
  </si>
  <si>
    <t xml:space="preserve">e733a1f85622a295a31eb802f0e22a80	</t>
  </si>
  <si>
    <t xml:space="preserve">	e:\GoogleDrive\articles\Thaler de Bondt 89 - Anomalies A Mean-Reverting Walk Down W.pdf				</t>
  </si>
  <si>
    <t xml:space="preserve">e743ac661c02ada88260841164b30961	</t>
  </si>
  <si>
    <t xml:space="preserve">	e:\GoogleDrive\articles\wilmott\0501_bookreviews.pdf				</t>
  </si>
  <si>
    <t xml:space="preserve">e75b70e435758cc9c80a676205b8380e	</t>
  </si>
  <si>
    <t xml:space="preserve">	e:\GoogleDrive\articles\info - algo\Dan simon - kalman filtering.pdf				</t>
  </si>
  <si>
    <t xml:space="preserve">e75f24b1ffd9e187084240d6d6c644dc	</t>
  </si>
  <si>
    <t xml:space="preserve">	e:\GoogleDrive\articles\benhamou - Pricing Convexity with Wiener chaos.pdf				</t>
  </si>
  <si>
    <t xml:space="preserve">e76e638fd8a539bd7aa5774fb967cf8d	</t>
  </si>
  <si>
    <t xml:space="preserve">	e:\GoogleDrive\articles\wilmott\0711_news.pdf				</t>
  </si>
  <si>
    <t xml:space="preserve">e77fefc7a6993a3a985213f002c70086	</t>
  </si>
  <si>
    <t xml:space="preserve">	e:\GoogleDrive\articles\wilmott\0307_editorial.pdf				</t>
  </si>
  <si>
    <t xml:space="preserve">e7876f71d6aa81b6a372a25402763f2f	</t>
  </si>
  <si>
    <t xml:space="preserve">	e:\GoogleDrive\articles\wilmott\0705_fincad.pdf				</t>
  </si>
  <si>
    <t xml:space="preserve">e797e0d9792d7e4dcd1fd9670cd3953b	</t>
  </si>
  <si>
    <t xml:space="preserve">	e:\GoogleDrive\articles\wilmott\0803_insightful.pdf				</t>
  </si>
  <si>
    <t xml:space="preserve">e7aafba085afab605652d49a8e608777	</t>
  </si>
  <si>
    <t xml:space="preserve">	e:\GoogleDrive\articles\cours finance\cours01.ps				</t>
  </si>
  <si>
    <t xml:space="preserve">e7af073fbf5195e5ef7b0d22b17acf58	</t>
  </si>
  <si>
    <t xml:space="preserve">	e:\GoogleDrive\articles\lecture notes (pittman probas)\backuper.hcs				</t>
  </si>
  <si>
    <t xml:space="preserve">e7dbb9b72ddfa3809ec747e6a60204bf	</t>
  </si>
  <si>
    <t xml:space="preserve">	e:\GoogleDrive\articles\math - dirac delta.pdf				</t>
  </si>
  <si>
    <t xml:space="preserve">e7dbd87c8ccefb17449a533012fac1bd	</t>
  </si>
  <si>
    <t xml:space="preserve">	e:\GoogleDrive\articles\wystupp book\mm\nonlinear.pdf				</t>
  </si>
  <si>
    <t xml:space="preserve">e7e0eb797dfa5b387847809230597b04	</t>
  </si>
  <si>
    <t xml:space="preserve">	e:\GoogleDrive\articles\wilmott\0305_courses.pdf				</t>
  </si>
  <si>
    <t xml:space="preserve">e7e87793f5b9d8c2dddc32e323a915c7	</t>
  </si>
  <si>
    <t xml:space="preserve">	e:\GoogleDrive\articles\Piterbarg - Markovian projection method for volatility calibration (2006).pd	f			</t>
  </si>
  <si>
    <t xml:space="preserve">e7fe2c256af112963327be0103f24e35	</t>
  </si>
  <si>
    <t xml:space="preserve">	e:\GoogleDrive\articles\wilmott\0507_editorial.pdf				</t>
  </si>
  <si>
    <t xml:space="preserve">e8077c6b2f820650d2f36b170e203dd4	</t>
  </si>
  <si>
    <t xml:space="preserve">	e:\GoogleDrive\articles\Clausen - Simulating Liquids and Solid-Liquid Interactions with Lagrangian m	esh	es (	20	13).pdf</t>
  </si>
  <si>
    <t xml:space="preserve">e822df3ff2c2a625170433a05fc2048c	</t>
  </si>
  <si>
    <t xml:space="preserve">	e:\GoogleDrive\articles\maths\exercices\mid2.pdf				</t>
  </si>
  <si>
    <t xml:space="preserve">e83948c68e6b3cb026d4c6255448234c	</t>
  </si>
  <si>
    <t xml:space="preserve">	e:\GoogleDrive\articles\lobaskin\P.Kaufman.Trading Systems &amp; Methods\Kaufman - Trading Systems &amp; Met	hod	s -	Ch	ap22.doc</t>
  </si>
  <si>
    <t xml:space="preserve">e8480722808dd684051ae3f6f5fab1f7	</t>
  </si>
  <si>
    <t xml:space="preserve">	e:\GoogleDrive\articles\stats\4 - Estimation.pdf				</t>
  </si>
  <si>
    <t xml:space="preserve">e85638ca08c992f00d3d1bfe0f208798	</t>
  </si>
  <si>
    <t xml:space="preserve">	e:\GoogleDrive\articles\latex files\inflationCMSSpread.tex				</t>
  </si>
  <si>
    <t xml:space="preserve">e85cca035eadf93a9a5855f285e76f4d	</t>
  </si>
  <si>
    <t xml:space="preserve">	e:\GoogleDrive\articles\Fouqu han - asian options with stochastic volatility.pdf				</t>
  </si>
  <si>
    <t xml:space="preserve">e860cbc101803f11f121f6a7d27e89c7	</t>
  </si>
  <si>
    <t xml:space="preserve">	e:\GoogleDrive\articles\exley - mean reversion.pdf				</t>
  </si>
  <si>
    <t xml:space="preserve">e8706446159dc39d7647e8932d28a57f	</t>
  </si>
  <si>
    <t xml:space="preserve">	e:\GoogleDrive\articles\Andersen Andreasen - Jump diffusion models - volatility smile fitting and n	ume	rica	l	methods for pricing.pdf</t>
  </si>
  <si>
    <t xml:space="preserve">e887b995a9e49b3bc218fb5b3bbbc129	</t>
  </si>
  <si>
    <t xml:space="preserve">	e:\GoogleDrive\articles\(phd) hunor\phd\listes.log				</t>
  </si>
  <si>
    <t xml:space="preserve">e887c07d18ec6bebfb8271351c3784ae	</t>
  </si>
  <si>
    <t xml:space="preserve">	e:\GoogleDrive\articles\brigo mercurio - Calibrating Libor (risk 2002).pdf				</t>
  </si>
  <si>
    <t xml:space="preserve">	e:\GoogleDrive\articles\Risk - Calibrating Libor.pdf				</t>
  </si>
  <si>
    <t xml:space="preserve">e8937ca4ee7d82c6a20f4d2c7bb91921	</t>
  </si>
  <si>
    <t xml:space="preserve">	e:\GoogleDrive\articles\the black scholes equation.pdf				</t>
  </si>
  <si>
    <t xml:space="preserve">e89937b95c45a93d93525c13ad093708	</t>
  </si>
  <si>
    <t xml:space="preserve">	e:\GoogleDrive\articles\dictionaries\backuper.hcs				</t>
  </si>
  <si>
    <t xml:space="preserve">e8c483f86a30a22ec84cf2b95ff4195e	</t>
  </si>
  <si>
    <t xml:space="preserve">	e:\GoogleDrive\articles\anagrammer\Assembly Language Step by Step code\CLEAR.MAC				</t>
  </si>
  <si>
    <t xml:space="preserve">e8cdd777675e589fbb8ab8c2691b0c46	</t>
  </si>
  <si>
    <t xml:space="preserve">	e:\GoogleDrive\articles\mark rubinstein\Recovering Stochastic Processes from Option Prices.doc				</t>
  </si>
  <si>
    <t xml:space="preserve">e8d82c65ec7bb4fc08d1479db31a4829	</t>
  </si>
  <si>
    <t xml:space="preserve">	e:\GoogleDrive\articles\fries - Markov Functional Equity Model.pdf				</t>
  </si>
  <si>
    <t xml:space="preserve">e90812455958e6ccb88aeeef25ee1ff1	</t>
  </si>
  <si>
    <t xml:space="preserve">	e:\GoogleDrive\articles\hull white - numerical procedures for implementing term structure models I	#NAME?	ingl	e	factor models (1994).pdf</t>
  </si>
  <si>
    <t xml:space="preserve">e91b401935296f2758c22fa554e31ec0	</t>
  </si>
  <si>
    <t xml:space="preserve">	e:\GoogleDrive\articles\ching deng - a new suffix tree similarity measure for document clustering.p	df			</t>
  </si>
  <si>
    <t xml:space="preserve">e91b86a7d4dcb0cea375b04a80f63fbf	</t>
  </si>
  <si>
    <t xml:space="preserve">	e:\GoogleDrive\articles\(lecture notes) Paul Dawkins - Calculus III.pdf				</t>
  </si>
  <si>
    <t xml:space="preserve">e92c063b9fca294865ff5904b96feebe	</t>
  </si>
  <si>
    <t xml:space="preserve">	e:\GoogleDrive\articles\Linear systems\chap10.pdf				</t>
  </si>
  <si>
    <t xml:space="preserve">e9326612dd2aed6689fa9961abca2a10	</t>
  </si>
  <si>
    <t xml:space="preserve">	e:\GoogleDrive\articles\(eBook) Stroustrup - The C++ Programming Language (3rd ed) .pdf				</t>
  </si>
  <si>
    <t xml:space="preserve">e9383dc4790da6273d7e6f9fb1266912	</t>
  </si>
  <si>
    <t xml:space="preserve">	e:\GoogleDrive\articles\wilmott\0411_strategyrunner.pdf				</t>
  </si>
  <si>
    <t xml:space="preserve">e93b3f1edca6ff67f59cf846581db51c	</t>
  </si>
  <si>
    <t xml:space="preserve">	e:\GoogleDrive\articles\wilmott\0711_choudhry.pdf				</t>
  </si>
  <si>
    <t xml:space="preserve">e940c5b9ab65a932a02f14fb8ee94888	</t>
  </si>
  <si>
    <t xml:space="preserve">	e:\GoogleDrive\articles\mark rubinstein\Exchange Options.doc				</t>
  </si>
  <si>
    <t xml:space="preserve">e96b1ffc8e1a05310ad2e6d963e7079b	</t>
  </si>
  <si>
    <t xml:space="preserve">	e:\GoogleDrive\articles\antonov mcClelland - Replication &amp; XVA The Unique Counting Approach.pdf				</t>
  </si>
  <si>
    <t xml:space="preserve">e96b700f81765b8e08b9df0b3d066769	</t>
  </si>
  <si>
    <t xml:space="preserve">	e:\GoogleDrive\articles\mayer - On Pricing American and Asian Options with FDM.pdf				</t>
  </si>
  <si>
    <t xml:space="preserve">e9914ee53b55d2c33a6c15c3985b9592	</t>
  </si>
  <si>
    <t xml:space="preserve">	e:\GoogleDrive\articles\numericalR\c6-2.pdf				</t>
  </si>
  <si>
    <t xml:space="preserve">e9a1ebb80407afb6aa84cafd6666d632	</t>
  </si>
  <si>
    <t xml:space="preserve">	e:\GoogleDrive\articles\imf publications\RPI_TECHNICAL_MANUAL.pdf				</t>
  </si>
  <si>
    <t xml:space="preserve">e9b03d40b6028978ba76f012d6396249	</t>
  </si>
  <si>
    <t xml:space="preserve">	e:\GoogleDrive\articles\numericalR\c5-3.pdf				</t>
  </si>
  <si>
    <t xml:space="preserve">e9c35dfb2c51ad3ff6cde22118bb4304	</t>
  </si>
  <si>
    <t xml:space="preserve">	e:\GoogleDrive\articles\lecture - probability (grinstead and snell)\Chapter5.pdf				</t>
  </si>
  <si>
    <t xml:space="preserve">e9d5470ed6c30b5226455a13131acd4e	</t>
  </si>
  <si>
    <t xml:space="preserve">	e:\GoogleDrive\articles\maths\optimisation\gradient sampling.tar				</t>
  </si>
  <si>
    <t xml:space="preserve">e9e2fc91a9dd920926a929c4593ff0c5	</t>
  </si>
  <si>
    <t xml:space="preserve">	e:\GoogleDrive\articles\wilmott\0501_thorp.pdf				</t>
  </si>
  <si>
    <t xml:space="preserve">e9e3e60acd03324184658097bb81a3d3	</t>
  </si>
  <si>
    <t xml:space="preserve">	e:\GoogleDrive\articles\(ebook) Go - cho-1-elementary-mobile.pdf				</t>
  </si>
  <si>
    <t xml:space="preserve">e9e6144b6d301a03224a0568fa0f29ab	</t>
  </si>
  <si>
    <t xml:space="preserve">	e:\GoogleDrive\articles\A brief introduction to maximum likelihood (MLE).pdf				</t>
  </si>
  <si>
    <t xml:space="preserve">e9e7c3eeea1fd4d05d2f33b5db0155d8	</t>
  </si>
  <si>
    <t xml:space="preserve">	e:\GoogleDrive\articles\info - algo\drepper - futexes are tricky.pdf				</t>
  </si>
  <si>
    <t xml:space="preserve">e9e855a49cb63c00aec51816f2603649	</t>
  </si>
  <si>
    <t xml:space="preserve">	e:\GoogleDrive\articles\(ebook) - Handbook of applied cryptography\chap4.pdf				</t>
  </si>
  <si>
    <t xml:space="preserve">e9ef6251be1295cc7e6510f9111b5dcd	</t>
  </si>
  <si>
    <t xml:space="preserve">	e:\GoogleDrive\articles\mn480 - computational techniques\append2.pdf				</t>
  </si>
  <si>
    <t xml:space="preserve">ea08f0651085c98397db4abd19556de6	</t>
  </si>
  <si>
    <t xml:space="preserve">	e:\GoogleDrive\articles\wilmott\0403_fouque.pdf				</t>
  </si>
  <si>
    <t xml:space="preserve">ea226d8eb1f76c5d5f715ee05267ec88	</t>
  </si>
  <si>
    <t xml:space="preserve">	e:\GoogleDrive\articles\wilmott\0809_news.pdf				</t>
  </si>
  <si>
    <t xml:space="preserve">ea2d6eacafb709c9774b1a92453ceaec	</t>
  </si>
  <si>
    <t xml:space="preserve">	e:\GoogleDrive\articles\info - algo\maple - GettingStartedGuide.pdf				</t>
  </si>
  <si>
    <t xml:space="preserve">ea562250b8930638ace11fc8d48ae73e	</t>
  </si>
  <si>
    <t xml:space="preserve">	e:\GoogleDrive\articles\culture generale\wp03182.pdf				</t>
  </si>
  <si>
    <t xml:space="preserve">ea626a74430c046e4cfd421a3bb4e4c7	</t>
  </si>
  <si>
    <t xml:space="preserve">	e:\GoogleDrive\articles\maths\interpolation.pdf				</t>
  </si>
  <si>
    <t xml:space="preserve">ea6306a78743d73b863e99946f60799f	</t>
  </si>
  <si>
    <t xml:space="preserve">	e:\GoogleDrive\articles\a classer\Jduan2.pdf				</t>
  </si>
  <si>
    <t xml:space="preserve">ea6a646a1ec8ae0e9b39e723bbb101cd	</t>
  </si>
  <si>
    <t xml:space="preserve">	e:\GoogleDrive\articles\WBS IR modelling Course\Credit Derivatives and Hybrids\backuper.hcs				</t>
  </si>
  <si>
    <t xml:space="preserve">ea721c81a0f880ca87a4af7dce0e907e	</t>
  </si>
  <si>
    <t xml:space="preserve">	e:\GoogleDrive\articles\Notes on Elementary Number Theory\28 - infcfrac.ps				</t>
  </si>
  <si>
    <t xml:space="preserve">ea8a1db8519d296c2cf6cff0afdcf76b	</t>
  </si>
  <si>
    <t xml:space="preserve">	e:\GoogleDrive\articles\(phd) hunor\phd\figures\original\backuper.hcs				</t>
  </si>
  <si>
    <t xml:space="preserve">ea8c03e63c3dc2b5faee8e846ba567b9	</t>
  </si>
  <si>
    <t xml:space="preserve">	e:\GoogleDrive\articles\maths\Algebraic Topology\AT.pdf				</t>
  </si>
  <si>
    <t xml:space="preserve">ea903577a2e7242c45adb2bf8f64e88c	</t>
  </si>
  <si>
    <t xml:space="preserve">	e:\GoogleDrive\articles\lecture - probability (grinstead and snell)\backuper.hcs				</t>
  </si>
  <si>
    <t xml:space="preserve">ea929821389c52cc39921c37b055d9d5	</t>
  </si>
  <si>
    <t xml:space="preserve">	e:\GoogleDrive\articles\JD1998A.pdf				</t>
  </si>
  <si>
    <t xml:space="preserve">	e:\GoogleDrive\articles\Milevsky Posner - A closed-form approximation for valuing basket options(JD	199	8).p	df	</t>
  </si>
  <si>
    <t xml:space="preserve">	e:\GoogleDrive\articles\milevsky posner - A closed-form approximation for valuing basket options.pd	f			</t>
  </si>
  <si>
    <t xml:space="preserve">eaa3cf42a9cca79baad91d91f85c87a6	</t>
  </si>
  <si>
    <t xml:space="preserve">	e:\GoogleDrive\articles\fisher - forces that shape the yield curve.pdf				</t>
  </si>
  <si>
    <t xml:space="preserve">eab75fbc7a4dfefde9fdd196be2a3d7d	</t>
  </si>
  <si>
    <t xml:space="preserve">	e:\GoogleDrive\articles\info - algo\dean ghemawat - mapreduce simplified data processing on large	clu	ster	s.	pdf</t>
  </si>
  <si>
    <t xml:space="preserve">ead6fe5b1ccf2aa190059761a59611d0	</t>
  </si>
  <si>
    <t xml:space="preserve">	e:\GoogleDrive\articles\fournier dischler bechman - A New Volumetric Implicit Surface Data Structu	re	and	It	s Triangulation Algorithm Applied to Mesh Integration.pdf</t>
  </si>
  <si>
    <t xml:space="preserve">ead93bb67eb1bbf1efa9cb3e307b3bbd	</t>
  </si>
  <si>
    <t xml:space="preserve">	e:\GoogleDrive\articles\culture generale\credit risk in market.pdf				</t>
  </si>
  <si>
    <t xml:space="preserve">eadc150a664d1685ab98614d7d613313	</t>
  </si>
  <si>
    <t xml:space="preserve">	e:\GoogleDrive\articles\lohner et al - parallel advancing front grid generator.ps				</t>
  </si>
  <si>
    <t xml:space="preserve">eaf5aee8394dd0138c7a2e2481d3e4c5	</t>
  </si>
  <si>
    <t xml:space="preserve">	e:\GoogleDrive\articles\info - algo\Arentz Lie Hetland - Retrieving musical information based on rh	yth	m an	d	pitch correlations.pdf</t>
  </si>
  <si>
    <t xml:space="preserve">eaf8964afbf8709d88d34e8c93c59ffd	</t>
  </si>
  <si>
    <t xml:space="preserve">	e:\GoogleDrive\articles\(phd) hunor\phd\figures\periodes.eps				</t>
  </si>
  <si>
    <t xml:space="preserve">eb01dbda87e1d16b5c28768c8a316ae9	</t>
  </si>
  <si>
    <t xml:space="preserve">	e:\GoogleDrive\articles\(ebook) selesnick burrus - Digital Signal Processing Handbook\03.pdf				</t>
  </si>
  <si>
    <t xml:space="preserve">eb20c9980e002c7fbe7a80559cd6b956	</t>
  </si>
  <si>
    <t xml:space="preserve">	e:\GoogleDrive\articles\imf publications\wp0406 - prn.pdf				</t>
  </si>
  <si>
    <t xml:space="preserve">eb758e84ec55de4f68b562e6c2546052	</t>
  </si>
  <si>
    <t xml:space="preserve">	e:\GoogleDrive\articles\bloomberg - caplet stripping Interest Rate Volatility Cube.pdf				</t>
  </si>
  <si>
    <t xml:space="preserve">eb7c570c813bf90813de39caee188a4b	</t>
  </si>
  <si>
    <t xml:space="preserve">	e:\GoogleDrive\articles\lobaskin\P.Kaufman.Trading Systems &amp; Methods\Kaufman - Trading Systems &amp; Met	hod	s -	Ch	ap06.doc</t>
  </si>
  <si>
    <t xml:space="preserve">eb8b961d577267fd7556a05979fd6877	</t>
  </si>
  <si>
    <t xml:space="preserve">	e:\GoogleDrive\articles\asset allocation_march02_2010.pdf				</t>
  </si>
  <si>
    <t xml:space="preserve">	e:\GoogleDrive\articles\pettenuzzo timmermann - predictability of stock retuns and asset allocation	un	der	st	ructural breaks (2010).pdf</t>
  </si>
  <si>
    <t xml:space="preserve">eb8e2458f668cd4360a408b65d4ec4ca	</t>
  </si>
  <si>
    <t xml:space="preserve">	e:\GoogleDrive\articles\chu tsai wank kwok - Exemplar-Based Statistical Model for Semantic Parame	tri	c De	si	gn of Human Body.pdf</t>
  </si>
  <si>
    <t xml:space="preserve">ebae3e690ec1b7351d52b9f409b84840	</t>
  </si>
  <si>
    <t xml:space="preserve">	e:\GoogleDrive\articles\wilmott\0307_thorp.pdf				</t>
  </si>
  <si>
    <t xml:space="preserve">ebaf284a9b93b59a6a34fa219d009f01	</t>
  </si>
  <si>
    <t xml:space="preserve">	e:\GoogleDrive\articles\credit.pdf				</t>
  </si>
  <si>
    <t xml:space="preserve">	e:\GoogleDrive\articles\Vaillant - a beginner's guide to credit derivatives.pdf				</t>
  </si>
  <si>
    <t xml:space="preserve">ebb24dd8a1e458b8484e04427d955661	</t>
  </si>
  <si>
    <t xml:space="preserve">	e:\GoogleDrive\articles\WBS IR modelling Course\Credit Derivatives and Hybrids\CD1.2.2Laurent_77.pdf				</t>
  </si>
  <si>
    <t xml:space="preserve">ebbb55e8bbb4a30235f9ea5d6d714f40	</t>
  </si>
  <si>
    <t xml:space="preserve">	e:\GoogleDrive\articles\Cached k-d tree search for ICP algorithms (2007).pdf				</t>
  </si>
  <si>
    <t xml:space="preserve">ebc2e9f38bf4fa016bda36b2e32d1ecf	</t>
  </si>
  <si>
    <t xml:space="preserve">	e:\GoogleDrive\articles\global risk 2007\day2\Nasir Afaf - for website.ppt.pdf				</t>
  </si>
  <si>
    <t xml:space="preserve">ebd7271690f7eb600927b4d3bb1af790	</t>
  </si>
  <si>
    <t xml:space="preserve">	e:\GoogleDrive\articles\principal_components[1].pdf				</t>
  </si>
  <si>
    <t xml:space="preserve">ebde55c2117eb973e5540e94e808ed87	</t>
  </si>
  <si>
    <t xml:space="preserve">	e:\GoogleDrive\articles\(phd) hunor\phd\hackle\ICDM'03\results5.bib				</t>
  </si>
  <si>
    <t xml:space="preserve">ebdeb6d312e62d451193ec5126ea0d1c	</t>
  </si>
  <si>
    <t xml:space="preserve">	e:\GoogleDrive\articles\numericalR\c0-1.pdf				</t>
  </si>
  <si>
    <t xml:space="preserve">ec185a96aaef6efdcb51dde1839bc04c	</t>
  </si>
  <si>
    <t xml:space="preserve">	e:\GoogleDrive\articles\journal of computational finance\v9n2a4.pdf				</t>
  </si>
  <si>
    <t xml:space="preserve">ec202c5865dad080ba062501758a9a00	</t>
  </si>
  <si>
    <t xml:space="preserve">	e:\GoogleDrive\articles\wilmott\0709_tankov.pdf				</t>
  </si>
  <si>
    <t xml:space="preserve">ec27ae59c04c89ef94c7a85121f105bf	</t>
  </si>
  <si>
    <t xml:space="preserve">	e:\GoogleDrive\articles\wilmott\0811_das.pdf				</t>
  </si>
  <si>
    <t xml:space="preserve">ec2fe25a64f1ef55d3b5e0b3a2f94b0b	</t>
  </si>
  <si>
    <t xml:space="preserve">	e:\GoogleDrive\articles\latex files\figures\variance.gnu				</t>
  </si>
  <si>
    <t xml:space="preserve">ec3714dc0065154a9a9c1757149160f9	</t>
  </si>
  <si>
    <t xml:space="preserve">	e:\GoogleDrive\articles\kurtz - lectures on stochastic analysis.pdf				</t>
  </si>
  <si>
    <t xml:space="preserve">ec6a629aa5cc35168c2e755dc0d8162b	</t>
  </si>
  <si>
    <t xml:space="preserve">	e:\GoogleDrive\articles\culture generale\economics\macroeconomics\LN_ch17.pdf				</t>
  </si>
  <si>
    <t xml:space="preserve">ec79482251632eac0c1118e9bba76eb5	</t>
  </si>
  <si>
    <t xml:space="preserve">	e:\GoogleDrive\articles\hull white - pricing interest-rate securities (1990).pdf				</t>
  </si>
  <si>
    <t xml:space="preserve">ec858f09d771b168d9516ca7724318e6	</t>
  </si>
  <si>
    <t xml:space="preserve">	e:\GoogleDrive\articles\lamot zalik - An Overview of Triangulation Algorithms for Simple Polygons.p	df			</t>
  </si>
  <si>
    <t xml:space="preserve">ec93a8fead676e5be14e05d13e7efacd	</t>
  </si>
  <si>
    <t xml:space="preserve">	e:\GoogleDrive\articles\(phd) hunor\phd\figures\original\hackleValidation3.tif				</t>
  </si>
  <si>
    <t xml:space="preserve">ecbe3841e45ada6b9fbad5763f78d0b4	</t>
  </si>
  <si>
    <t xml:space="preserve">	e:\GoogleDrive\articles\info - graphics\zhu gortler - 3D Deformation Using Moving Least Squares.pdf				</t>
  </si>
  <si>
    <t xml:space="preserve">ecdf6c8dd3af6b9fa5d5566e403289a7	</t>
  </si>
  <si>
    <t xml:space="preserve">	e:\GoogleDrive\articles\wilmott\0611_fincad.pdf				</t>
  </si>
  <si>
    <t xml:space="preserve">ecf0817ad9c74b3a5a33caa176b680b8	</t>
  </si>
  <si>
    <t xml:space="preserve">	e:\GoogleDrive\articles\maths - density function.bmp				</t>
  </si>
  <si>
    <t xml:space="preserve">ed341bab0bf48ea01146ef0883305ad3	</t>
  </si>
  <si>
    <t xml:space="preserve">	e:\GoogleDrive\articles\wilmott\0405_bookclub.pdf				</t>
  </si>
  <si>
    <t xml:space="preserve">ed3d924b5c9cf460abcc2f8b148e70c8	</t>
  </si>
  <si>
    <t xml:space="preserve">	e:\GoogleDrive\articles\kuechler - salminen - on spectral measures of strings and excursions of quas	i-d	iffu	si	ons.pdf</t>
  </si>
  <si>
    <t xml:space="preserve">ed43e3b8917e635d56b5de574a8ce6dd	</t>
  </si>
  <si>
    <t xml:space="preserve">	e:\GoogleDrive\articles\Verron Marckmann Peseux - dynamic inflation of non-linear elastic and visc	oel	asti	c	rubber-like membranes.pdf</t>
  </si>
  <si>
    <t xml:space="preserve">ed5e63cf18256b1d6dadd5d36fae84f2	</t>
  </si>
  <si>
    <t xml:space="preserve">	e:\GoogleDrive\articles\hagan - RangeNotes.pdf				</t>
  </si>
  <si>
    <t xml:space="preserve">ed6bb3eb07fc1514d5cbeefdfb36ddd7	</t>
  </si>
  <si>
    <t xml:space="preserve">	e:\GoogleDrive\articles\Samur Temur - The Use of Artificial Neural Network in Option Pricing The Ca	se	of S	&amp;P	100 Index Options (2009).pdf</t>
  </si>
  <si>
    <t xml:space="preserve">ed6bb8f08855a19cd206496d3cc70826	</t>
  </si>
  <si>
    <t xml:space="preserve">	e:\GoogleDrive\articles\stanford - convex optimisation\07 - stat.pdf				</t>
  </si>
  <si>
    <t xml:space="preserve">ed7edcd5f4b82e5c95e0c68180fd8019	</t>
  </si>
  <si>
    <t xml:space="preserve">	e:\GoogleDrive\articles\Mercurio morini - No-Arbitrage Dynamics for a Tractable SABR Term Structure	Li	bor	Mo	del.pdf</t>
  </si>
  <si>
    <t xml:space="preserve">ed89fb811cc54fea2a62440bd3932e3b	</t>
  </si>
  <si>
    <t xml:space="preserve">	e:\GoogleDrive\articles\talay - survey paper 95 - prn.ps				</t>
  </si>
  <si>
    <t xml:space="preserve">ed95a170ede33bc7642d59b5b6b53637	</t>
  </si>
  <si>
    <t xml:space="preserve">	e:\GoogleDrive\articles\glasserman zhao - arbitrage free discretization of lognormal forward libor	and	swa	p	rate models-prn.pdf</t>
  </si>
  <si>
    <t xml:space="preserve">eda11565f79dd4bd6d80793248834a1a	</t>
  </si>
  <si>
    <t xml:space="preserve">	e:\GoogleDrive\articles\penaud - first to default swaps.pdf				</t>
  </si>
  <si>
    <t xml:space="preserve">	e:\GoogleDrive\articles\wilmott\0301_penaud.pdf				</t>
  </si>
  <si>
    <t xml:space="preserve">edaa5f507f3c3fa950320ce14913a4da	</t>
  </si>
  <si>
    <t xml:space="preserve">	e:\GoogleDrive\articles\Yu et al - Mesh Editing with Poisson-Based Gradient Field Manipulation.pdf				</t>
  </si>
  <si>
    <t xml:space="preserve">	e:\GoogleDrive\articles\info - graphics\yu zhou xu shi bao guo shum - Mesh editing with Poisso	n-b	ased	g	radient field manipulation.pdf</t>
  </si>
  <si>
    <t xml:space="preserve">edc427ae5185c6b9ebfec3c1c36ee0d8	</t>
  </si>
  <si>
    <t xml:space="preserve">	e:\GoogleDrive\articles\kcl seminars\backuper.hcs				</t>
  </si>
  <si>
    <t xml:space="preserve">edc5a271443f7bf012382aaa313773f2	</t>
  </si>
  <si>
    <t xml:space="preserve">	e:\GoogleDrive\articles\(phd) hunor\phd\hackle\ICDM'03\chapter1.bib				</t>
  </si>
  <si>
    <t xml:space="preserve">edd09f952324dfc603360834f496d454	</t>
  </si>
  <si>
    <t xml:space="preserve">	e:\GoogleDrive\articles\vandenberghe  boyd- semidefinite programming.pdf				</t>
  </si>
  <si>
    <t xml:space="preserve">edd24551e6cf0f796c8ca255d11bc536	</t>
  </si>
  <si>
    <t xml:space="preserve">	e:\GoogleDrive\articles\kcl seminars\jaeckel - stochvol model hip hip hooray.pdf				</t>
  </si>
  <si>
    <t xml:space="preserve">edd56826f9c323ac93ff7889cd8435f3	</t>
  </si>
  <si>
    <t xml:space="preserve">	e:\GoogleDrive\articles\info - algo\info - Point location.docx				</t>
  </si>
  <si>
    <t xml:space="preserve">edf1c05fbbacd5019a97d2a3c6300b01	</t>
  </si>
  <si>
    <t xml:space="preserve">	e:\GoogleDrive\articles\global risk 2007\day1\Paul Glasserman - credit.pdf				</t>
  </si>
  <si>
    <t xml:space="preserve">ee09911eb205a8f6ec50c6bb84c29bec	</t>
  </si>
  <si>
    <t xml:space="preserve">	e:\GoogleDrive\articles\culture generale\economics\macroeconomics\LN_ch1.pdf				</t>
  </si>
  <si>
    <t xml:space="preserve">ee0b15343c0c0611e5a1c93c177893a2	</t>
  </si>
  <si>
    <t xml:space="preserve">	e:\GoogleDrive\articles\(phd) hunor\phd\figures\frontiere.eps				</t>
  </si>
  <si>
    <t xml:space="preserve">ee22d8b1426fdcd32d25736fc3303d5d	</t>
  </si>
  <si>
    <t xml:space="preserve">	e:\GoogleDrive\articles\numericalR\c8-5.pdf				</t>
  </si>
  <si>
    <t xml:space="preserve">ee49ba4f6f82e5d3a425f945411c27a9	</t>
  </si>
  <si>
    <t xml:space="preserve">	e:\GoogleDrive\articles\wystupp book\mm\cdp.pdf				</t>
  </si>
  <si>
    <t xml:space="preserve">ee558c286ab1c732e3d30baf1d4960d5	</t>
  </si>
  <si>
    <t xml:space="preserve">	e:\GoogleDrive\articles\(eBook) - Trefethen Bau III - Numerical Linear Algebra.djvu				</t>
  </si>
  <si>
    <t xml:space="preserve">ee5b26a1aba8e4e0eaedea353e3fa679	</t>
  </si>
  <si>
    <t xml:space="preserve">	e:\GoogleDrive\articles\(phd) hunor\phd\figures\signatureCommune.eps				</t>
  </si>
  <si>
    <t xml:space="preserve">ee685bd8ba1cb84866390ccaf0d4b0e0	</t>
  </si>
  <si>
    <t xml:space="preserve">	e:\GoogleDrive\articles\wilmott\0507_ayache.pdf				</t>
  </si>
  <si>
    <t xml:space="preserve">ee7e2eb1d4c004afe2b59c63b91323fa	</t>
  </si>
  <si>
    <t xml:space="preserve">	e:\GoogleDrive\articles\wilmott\0705_insightful.pdf				</t>
  </si>
  <si>
    <t xml:space="preserve">eea16f85eb69add4baa4c6fadf570d58	</t>
  </si>
  <si>
    <t xml:space="preserve">	e:\GoogleDrive\articles\hobby\Traditional Soap Making.pdf				</t>
  </si>
  <si>
    <t xml:space="preserve">eec32d95f8d44b423158d6e0f4709613	</t>
  </si>
  <si>
    <t xml:space="preserve">	e:\GoogleDrive\articles\wilmott\0407_bookreviews.pdf				</t>
  </si>
  <si>
    <t xml:space="preserve">eec3b6b61667209c2bbdffaf1bc113e9	</t>
  </si>
  <si>
    <t xml:space="preserve">	e:\GoogleDrive\articles\(eBook) bain - stochastic calculus.pdf				</t>
  </si>
  <si>
    <t xml:space="preserve">eed561ab8890c9da0dcd3fb4011cc388	</t>
  </si>
  <si>
    <t xml:space="preserve">	e:\GoogleDrive\articles\imf publications\world economic outlook 2003 april\chapter1.pdf				</t>
  </si>
  <si>
    <t xml:space="preserve">eee3b6723003c8402012883ff6bb386f	</t>
  </si>
  <si>
    <t xml:space="preserve">	e:\GoogleDrive\articles\info - graphics\maya - art_of_maya.pdf				</t>
  </si>
  <si>
    <t xml:space="preserve">eeec327902c3efe3cc70ca3e0325dc2e	</t>
  </si>
  <si>
    <t xml:space="preserve">	e:\GoogleDrive\articles\numericalR\c11-3.pdf				</t>
  </si>
  <si>
    <t xml:space="preserve">eeed89edd0ae1172c91d7628119f189f	</t>
  </si>
  <si>
    <t xml:space="preserve">	e:\GoogleDrive\articles\NMEA Reference Manual1.pdf				</t>
  </si>
  <si>
    <t xml:space="preserve">eef1ede6b655935dfc32ff9e7436af74	</t>
  </si>
  <si>
    <t xml:space="preserve">	e:\GoogleDrive\articles\global risk 2007\day2\14.30 Collin-Dufresne.pdf				</t>
  </si>
  <si>
    <t xml:space="preserve">eefed815f69db5b64dd4127458ebb517	</t>
  </si>
  <si>
    <t xml:space="preserve">	e:\GoogleDrive\articles\(ebook) - Teach Yourself Body Language.pdf				</t>
  </si>
  <si>
    <t xml:space="preserve">ef050021e283b437dea88562cc7f1c26	</t>
  </si>
  <si>
    <t xml:space="preserve">	e:\GoogleDrive\articles\wystupp book\mm\jamshidian.pdf				</t>
  </si>
  <si>
    <t xml:space="preserve">ef0b3757a3988c4a7867410c2230df88	</t>
  </si>
  <si>
    <t xml:space="preserve">	e:\GoogleDrive\articles\CEV Chapter8.doc				</t>
  </si>
  <si>
    <t xml:space="preserve">ef0c1e797251e1a881d8eabe7c18dbb4	</t>
  </si>
  <si>
    <t xml:space="preserve">	e:\GoogleDrive\articles\The triangular distribution.pdf				</t>
  </si>
  <si>
    <t xml:space="preserve">ef516a9403102436e5a4b7ef23cc65a5	</t>
  </si>
  <si>
    <t xml:space="preserve">	e:\GoogleDrive\articles\chung - the lifetime of conditional brownian motion in plane.pdf				</t>
  </si>
  <si>
    <t xml:space="preserve">ef546580d0db3246bb0ca3cb18004159	</t>
  </si>
  <si>
    <t xml:space="preserve">	e:\GoogleDrive\articles\anagrammer\Assembly Language Step by Step .pdf				</t>
  </si>
  <si>
    <t xml:space="preserve">ef65969fad554831ad6a1fce73ebe7f1	</t>
  </si>
  <si>
    <t xml:space="preserve">	e:\GoogleDrive\articles\maths\lemmermayer\hwf07.pdf				</t>
  </si>
  <si>
    <t xml:space="preserve">efae2a1a154ab0bcaee86cd01309f688	</t>
  </si>
  <si>
    <t xml:space="preserve">	e:\GoogleDrive\articles\wilmott\0503_ito33.pdf				</t>
  </si>
  <si>
    <t xml:space="preserve">efc8b3b0b274cf1e557a6e08d73ebc27	</t>
  </si>
  <si>
    <t xml:space="preserve">	e:\GoogleDrive\articles\wilmott\0309_bamberger.pdf				</t>
  </si>
  <si>
    <t xml:space="preserve">efd0be38cfc6d2900bc4bc3de2ee0292	</t>
  </si>
  <si>
    <t xml:space="preserve">	e:\GoogleDrive\articles\wilmott\0603_osband.pdf				</t>
  </si>
  <si>
    <t xml:space="preserve">efd22896594075d81401f4cabdb7007e	</t>
  </si>
  <si>
    <t xml:space="preserve">	e:\GoogleDrive\articles\wilmott\0311_brown.pdf				</t>
  </si>
  <si>
    <t xml:space="preserve">efe57e9905c123a910694f36ace97867	</t>
  </si>
  <si>
    <t xml:space="preserve">	e:\GoogleDrive\articles\2006_SPIE_(Young)_Automated_planning_of_MRI_neuro_scans (1).pdf				</t>
  </si>
  <si>
    <t xml:space="preserve">efe62c2b2af2116e3087ac16b8f46154	</t>
  </si>
  <si>
    <t xml:space="preserve">	e:\GoogleDrive\articles\Efficient Processing of Large 3D Point Clouds (icat2011).pdf				</t>
  </si>
  <si>
    <t xml:space="preserve">efebf39776a05bac99cba51244b8c39e	</t>
  </si>
  <si>
    <t xml:space="preserve">	e:\GoogleDrive\articles\numericalR\c11-6.pdf				</t>
  </si>
  <si>
    <t xml:space="preserve">eff35f0efbabe7d191516f2636fcd2a2	</t>
  </si>
  <si>
    <t xml:space="preserve">	e:\GoogleDrive\articles\culture generale\economics\macroeconomics\LN_ch14.pdf				</t>
  </si>
  <si>
    <t xml:space="preserve">f001d373dc05f2b950a1550b96dc8215	</t>
  </si>
  <si>
    <t xml:space="preserve">	e:\GoogleDrive\Pomadent Information Pack 2014 v02.rar				</t>
  </si>
  <si>
    <t xml:space="preserve">f02abfb51d63e605f9882b1151be14b3	</t>
  </si>
  <si>
    <t xml:space="preserve">	e:\GoogleDrive\articles\brigo morini - cca prn.pdf				</t>
  </si>
  <si>
    <t xml:space="preserve">f02b7623d88520c502298c1680fadf74	</t>
  </si>
  <si>
    <t xml:space="preserve">	e:\GoogleDrive\articles\global risk 2007\day2\09.30 Carr.pdf				</t>
  </si>
  <si>
    <t xml:space="preserve">f0305c7617a163b5fc6529cc3d55efb3	</t>
  </si>
  <si>
    <t xml:space="preserve">	e:\GoogleDrive\articles\wilmott\0809_staunton.pdf				</t>
  </si>
  <si>
    <t xml:space="preserve">f038f7bf7670ced3d4527b9eac5408ec	</t>
  </si>
  <si>
    <t xml:space="preserve">	e:\GoogleDrive\articles\wilmott\0609_araf.pdf				</t>
  </si>
  <si>
    <t xml:space="preserve">f03947e83570b910cd68fd129ef16fd9	</t>
  </si>
  <si>
    <t xml:space="preserve">	e:\GoogleDrive\articles\data mining\ECMLPKDD2004\styles\style.css				</t>
  </si>
  <si>
    <t xml:space="preserve">f03acd7bdc88bd12a57415956186ed46	</t>
  </si>
  <si>
    <t xml:space="preserve">	e:\GoogleDrive\articles\wilmott\0311_staunton.pdf				</t>
  </si>
  <si>
    <t xml:space="preserve">f03d3a716d363c27d7e97857164b0a3e	</t>
  </si>
  <si>
    <t xml:space="preserve">	e:\GoogleDrive\articles\culture generale\economics\macroeconomics\LN - ch5 - Malthusian_Economics.pd	f			</t>
  </si>
  <si>
    <t xml:space="preserve">f03fc9db75e4d0d804726082f03f8434	</t>
  </si>
  <si>
    <t xml:space="preserve">	e:\GoogleDrive\articles\fisher - special repo rates an introduction.pdf				</t>
  </si>
  <si>
    <t xml:space="preserve">f04fb6c262296d92bf8f5c67d4c40835	</t>
  </si>
  <si>
    <t xml:space="preserve">	e:\GoogleDrive\articles\(eBook) jaeckel - Monte Carlo Methods in Finance.pdf				</t>
  </si>
  <si>
    <t xml:space="preserve">	e:\GoogleDrive\articles\(eBook) - Jackel\Monte Carlo Methods in Finance.pdf				</t>
  </si>
  <si>
    <t xml:space="preserve">f06df0722d0eb2efc26f81add91278f7	</t>
  </si>
  <si>
    <t xml:space="preserve">	e:\GoogleDrive\articles\(eBook) - Bjarne Stroustrup - The C++ Programming Language - (Addison-Wesley	3r	d.ed	).	pdf</t>
  </si>
  <si>
    <t xml:space="preserve">	e:\GoogleDrive\articles\(eBook) Bjarne Stroustrup - The C++ Programming Language - (Addison-Wesley 3	rd.	ed).	pd	f</t>
  </si>
  <si>
    <t xml:space="preserve">f082480e01ed99a581d153e9c76d1db6	</t>
  </si>
  <si>
    <t xml:space="preserve">	e:\GoogleDrive\articles\info - graphics\cgal course.pdf				</t>
  </si>
  <si>
    <t xml:space="preserve">f08544422251455bf0fc2bacc416302d	</t>
  </si>
  <si>
    <t xml:space="preserve">	e:\GoogleDrive\articles\culture generale\economics\lecture\8 - invest.pdf				</t>
  </si>
  <si>
    <t xml:space="preserve">f08c1f04cffa742e88c662cd54123315	</t>
  </si>
  <si>
    <t xml:space="preserve">	e:\GoogleDrive\articles\wilmott\backuper.hcs				</t>
  </si>
  <si>
    <t xml:space="preserve">f09209ed8de723e0f5ba14b31876f75f	</t>
  </si>
  <si>
    <t xml:space="preserve">	e:\GoogleDrive\articles\rutkowski - Models of Forward LIBOR and swap rates - prn.pdf				</t>
  </si>
  <si>
    <t xml:space="preserve">f09df5220d84298da2318fac7bdf1e6e	</t>
  </si>
  <si>
    <t xml:space="preserve">	e:\GoogleDrive\articles\numericalR\c2-4.pdf				</t>
  </si>
  <si>
    <t xml:space="preserve">f0ac527f41d39ab3e42b1e1106c2f3f2	</t>
  </si>
  <si>
    <t xml:space="preserve">	e:\GoogleDrive\articles\wilmott\0505_brown.pdf				</t>
  </si>
  <si>
    <t xml:space="preserve">f0b772db5ae027baa5bde5e77ab032aa	</t>
  </si>
  <si>
    <t xml:space="preserve">	e:\GoogleDrive\articles\wilmott\0401_zeitlin.pdf				</t>
  </si>
  <si>
    <t xml:space="preserve">f0b833e5807c9bd0e7da88c0195d61bc	</t>
  </si>
  <si>
    <t xml:space="preserve">	e:\GoogleDrive\articles\milevsky posner - Asian options the sum of lognormals and the reciprocal g	amm	a di	st	ribution.pdf</t>
  </si>
  <si>
    <t xml:space="preserve">f0bf3daf294d1380ad422a37f0f2b589	</t>
  </si>
  <si>
    <t xml:space="preserve">	e:\GoogleDrive\articles\(eBook) Bentley - Programming Pearls (1986).djvu				</t>
  </si>
  <si>
    <t xml:space="preserve">f0c038ec3141760b33dad117248758ce	</t>
  </si>
  <si>
    <t xml:space="preserve">	e:\GoogleDrive\articles\wilmott\0801_bhaduri.pdf				</t>
  </si>
  <si>
    <t xml:space="preserve">f0cd54b013484a33f70a1bf0b7e913ae	</t>
  </si>
  <si>
    <t xml:space="preserve">	e:\GoogleDrive\articles\ebook with cev chapter\Chapter8 - CEV derivation.doc				</t>
  </si>
  <si>
    <t xml:space="preserve">f0d2caa5a3f3fa51fddcc6fa2ab4e6a9	</t>
  </si>
  <si>
    <t xml:space="preserve">	e:\GoogleDrive\articles\(eBook) - Jackel\PrimitivePolynomialsModuloTwo\PrimitivePolynomialsModuloTwo	UpT	oDeg	re	e27.c</t>
  </si>
  <si>
    <t xml:space="preserve">f0fc0d78824bffcac5aa226f7c370112	</t>
  </si>
  <si>
    <t xml:space="preserve">	e:\GoogleDrive\articles\wilmott\0303_ahn.pdf				</t>
  </si>
  <si>
    <t xml:space="preserve">f1018b31d8f01febcacc184856e0136b	</t>
  </si>
  <si>
    <t xml:space="preserve">	e:\GoogleDrive\articles\henshall meyer - pdmatrix programs to make matrices positive definitepdf.p	df			</t>
  </si>
  <si>
    <t xml:space="preserve">	e:\GoogleDrive\articles\pdmatrix - prn.pdf				</t>
  </si>
  <si>
    <t xml:space="preserve">f1029ba27fca5060807e5c493116c59e	</t>
  </si>
  <si>
    <t xml:space="preserve">	e:\GoogleDrive\articles\Schmelzle - Option Pricing Formulae using Fourier Transform theory and apli	cat	ion	.p	df</t>
  </si>
  <si>
    <t xml:space="preserve">	e:\GoogleDrive\articles\Schmelzle - Option pricing formulae using Fourrier transforms theory and ap	pli	cati	on	.pdf</t>
  </si>
  <si>
    <t xml:space="preserve">f10e752ed59d0c9ce6605cf40334a533	</t>
  </si>
  <si>
    <t xml:space="preserve">	e:\GoogleDrive\articles\vgood lecture\analysis_solutions.pdf				</t>
  </si>
  <si>
    <t xml:space="preserve">f11680a8c05ab3cc79dae35120ec713e	</t>
  </si>
  <si>
    <t xml:space="preserve">	e:\GoogleDrive\articles\wilmott\0705_kienitz.pdf				</t>
  </si>
  <si>
    <t xml:space="preserve">f12361f9a370d013de2923f840abaec2	</t>
  </si>
  <si>
    <t xml:space="preserve">	e:\GoogleDrive\articles\Lohner - A 2nd GENERATION PARALLEL Advancing front grid generator.pdf				</t>
  </si>
  <si>
    <t xml:space="preserve">f1244e7f688ed9f7288345f169925f08	</t>
  </si>
  <si>
    <t xml:space="preserve">	e:\GoogleDrive\articles\BenHamida Cont - Recovering volatility from option prices by evolutionary o	pti	miza	ti	on.pdf</t>
  </si>
  <si>
    <t xml:space="preserve">f13875d5b9efc6955379c1e70e5c2e60	</t>
  </si>
  <si>
    <t xml:space="preserve">	e:\GoogleDrive\articles\wilmott\0505_bookreview.pdf				</t>
  </si>
  <si>
    <t xml:space="preserve">f14ba3cb9571bb6e6aebc73b3f2d14f5	</t>
  </si>
  <si>
    <t xml:space="preserve">	e:\GoogleDrive\articles\wilmott\0307_lyceum.pdf				</t>
  </si>
  <si>
    <t xml:space="preserve">f14f38e422298f931d9942269291e7ac	</t>
  </si>
  <si>
    <t xml:space="preserve">	e:\GoogleDrive\articles\wilmott\0401_editorial.pdf				</t>
  </si>
  <si>
    <t xml:space="preserve">f1522c45fc13c89558321c9c59094406	</t>
  </si>
  <si>
    <t xml:space="preserve">	e:\GoogleDrive\articles\wilmott\0403_brown.pdf				</t>
  </si>
  <si>
    <t xml:space="preserve">f17456711c098693e3dc2df760651b2c	</t>
  </si>
  <si>
    <t xml:space="preserve">	e:\GoogleDrive\articles\(ebook) Go - cho-3-advanced.pdf				</t>
  </si>
  <si>
    <t xml:space="preserve">f192dd45bfb17bab63cf8655878d2c25	</t>
  </si>
  <si>
    <t xml:space="preserve">	e:\GoogleDrive\articles\wilmott\0603_staunton.pdf				</t>
  </si>
  <si>
    <t xml:space="preserve">f19ac8ea15237f0712f430f7d6f05127	</t>
  </si>
  <si>
    <t xml:space="preserve">	e:\GoogleDrive\articles\journal of computational finance\v12n1a2.pdf				</t>
  </si>
  <si>
    <t xml:space="preserve">f1a0dee3b71719d32b70576bf2787e84	</t>
  </si>
  <si>
    <t xml:space="preserve">	e:\GoogleDrive\articles\rogers - william's characterisation of the brownian excursion law proof and	ap	plic	at	ions.pdf</t>
  </si>
  <si>
    <t xml:space="preserve">f1a805dbf5e326302bd8d02c7ad3f788	</t>
  </si>
  <si>
    <t xml:space="preserve">	e:\GoogleDrive\articles\car chesney - American Put Call Symmetry.pdf				</t>
  </si>
  <si>
    <t xml:space="preserve">	e:\GoogleDrive\articles\carr chesney - American Put Call Symmetry.pdf				</t>
  </si>
  <si>
    <t xml:space="preserve">f1beb933e4cf6375d47fb68da40e5074	</t>
  </si>
  <si>
    <t xml:space="preserve">	e:\GoogleDrive\articles\barrier options with StochJump.pdf				</t>
  </si>
  <si>
    <t xml:space="preserve">f1d96768f2437ad854744e8d3a30c803	</t>
  </si>
  <si>
    <t xml:space="preserve">	e:\GoogleDrive\articles\mark rubinstein\Chooser Options.doc				</t>
  </si>
  <si>
    <t xml:space="preserve">f1e69f42c169f6445ab6b56b58fa725f	</t>
  </si>
  <si>
    <t xml:space="preserve">	e:\GoogleDrive\articles\jaeckel - Monte Carlo in the BGMJ framework Using a non-recombining tree to	de	sign	a	new pricing method for Bermudan swaptions.pdf</t>
  </si>
  <si>
    <t xml:space="preserve">	e:\GoogleDrive\articles\rebonato - Using a non-recombining tree to design a new pricing method for B	erm	udan	s	waptions - prn.pdf</t>
  </si>
  <si>
    <t xml:space="preserve">f1f1b51279910ee5259e67d13ecd584f	</t>
  </si>
  <si>
    <t xml:space="preserve">	e:\GoogleDrive\articles\wilmott\0311_prast.pdf				</t>
  </si>
  <si>
    <t xml:space="preserve">f1ff0cedd7f40135e465b4e23b8c6a1e	</t>
  </si>
  <si>
    <t xml:space="preserve">	e:\GoogleDrive\articles\info - dynamic_Cast.doc				</t>
  </si>
  <si>
    <t xml:space="preserve">f2247afed0bd20bc889f9408013e14ea	</t>
  </si>
  <si>
    <t xml:space="preserve">	e:\GoogleDrive\articles\Linear systems\chap4.pdf				</t>
  </si>
  <si>
    <t xml:space="preserve">f22fc27391645d3a22985c708e9a6eaa	</t>
  </si>
  <si>
    <t xml:space="preserve">	e:\GoogleDrive\articles\wystupp book\mm\firan.pdf				</t>
  </si>
  <si>
    <t xml:space="preserve">f23ab45501cea3236b23d61839ab78f6	</t>
  </si>
  <si>
    <t xml:space="preserve">	e:\GoogleDrive\articles\info - graphics\Joel Davies - Hex Planet.pdf				</t>
  </si>
  <si>
    <t xml:space="preserve">f23ab667461edbecb1887e27824689c4	</t>
  </si>
  <si>
    <t xml:space="preserve">	e:\GoogleDrive\articles\lecture notes (pittman probas)\lecture28.pdf				</t>
  </si>
  <si>
    <t xml:space="preserve">f262cd1d83d3d7612ce710205ec4faf1	</t>
  </si>
  <si>
    <t xml:space="preserve">	e:\GoogleDrive\articles\Henrard - Cash Settled Swaptions how can we go wrong.pdf				</t>
  </si>
  <si>
    <t xml:space="preserve">f281ab0600533e2f0801c5729a529b40	</t>
  </si>
  <si>
    <t xml:space="preserve">	e:\GoogleDrive\articles\lecture - probability (grinstead and snell)\Chapter11.pdf				</t>
  </si>
  <si>
    <t xml:space="preserve">f28a7a667e0a06a80d55839564326dcd	</t>
  </si>
  <si>
    <t xml:space="preserve">	e:\GoogleDrive\articles\(eBook) scott myers - Effective C++.pdf				</t>
  </si>
  <si>
    <t xml:space="preserve">f29b03cd6d50c273b006725844d9e1d5	</t>
  </si>
  <si>
    <t xml:space="preserve">	e:\GoogleDrive\articles\wilmott\0409_negative.pdf				</t>
  </si>
  <si>
    <t xml:space="preserve">f2a931900bc6634e7187461123e4377a	</t>
  </si>
  <si>
    <t xml:space="preserve">	e:\GoogleDrive\articles\american option on an irregular grid.pdf				</t>
  </si>
  <si>
    <t xml:space="preserve">f2c07c05a02a96e86cae4b14e060408a	</t>
  </si>
  <si>
    <t xml:space="preserve">	e:\GoogleDrive\articles\journal of computational finance\v9n4a3.pdf				</t>
  </si>
  <si>
    <t xml:space="preserve">f2c480820c3bca580b204aa032149d8e	</t>
  </si>
  <si>
    <t xml:space="preserve">	e:\GoogleDrive\articles\lecture notes (pittman probas)\lecture1.pdf				</t>
  </si>
  <si>
    <t xml:space="preserve">f2ec6ae5556e2644c8f43fcf4540c15c	</t>
  </si>
  <si>
    <t xml:space="preserve">	e:\GoogleDrive\articles\(eBook) - ingles analysis of algorithms\capitulo10-ingles.pdf				</t>
  </si>
  <si>
    <t xml:space="preserve">f2ee7ff234edd26c5526b00eca0483ae	</t>
  </si>
  <si>
    <t xml:space="preserve">	e:\GoogleDrive\articles\mercurio morini - A Note on Correlation in Stochastic Volatility Term Struc	tur	e Mo	de	ls (2007).pdf</t>
  </si>
  <si>
    <t xml:space="preserve">f2f2fac13280d5ea8aca93488749333a	</t>
  </si>
  <si>
    <t xml:space="preserve">	e:\GoogleDrive\articles\wilmott\0807_darasz.pdf				</t>
  </si>
  <si>
    <t xml:space="preserve">f3221a64682a22380666f6abcc31c872	</t>
  </si>
  <si>
    <t xml:space="preserve">	e:\GoogleDrive\articles\global risk 2007\day1\Simon Johnson - multi factor markovian models.pdf				</t>
  </si>
  <si>
    <t xml:space="preserve">f323e2575f62cb61f60d0c2721011942	</t>
  </si>
  <si>
    <t xml:space="preserve">	e:\GoogleDrive\articles\wilmott\0707_ayache.pdf				</t>
  </si>
  <si>
    <t xml:space="preserve">f329adbc3a6046708a70352b07c6d091	</t>
  </si>
  <si>
    <t xml:space="preserve">	e:\GoogleDrive\articles\(ebook) - Analyse numerique\chap6.pdf				</t>
  </si>
  <si>
    <t xml:space="preserve">f33f9d8180fc7958d8c6ce52baf88ee4	</t>
  </si>
  <si>
    <t xml:space="preserve">	e:\GoogleDrive\articles\mn480 - computational techniques\chapt5.pdf				</t>
  </si>
  <si>
    <t xml:space="preserve">f34156386e0b7ff50ea20ec2e653b7f8	</t>
  </si>
  <si>
    <t xml:space="preserve">	e:\GoogleDrive\articles\wilmott\0503_haug.pdf				</t>
  </si>
  <si>
    <t xml:space="preserve">f365908b65c8d93301efb7602742c53a	</t>
  </si>
  <si>
    <t xml:space="preserve">	e:\GoogleDrive\articles\stats\2 - RandomVariables.pdf				</t>
  </si>
  <si>
    <t xml:space="preserve">f36820dfc307b7b2a5b53c9d58977b8a	</t>
  </si>
  <si>
    <t xml:space="preserve">	e:\GoogleDrive\articles\wilmott\0211_lyceum.pdf				</t>
  </si>
  <si>
    <t xml:space="preserve">f36b3606f3f5865cf5fffbf8a3b283bb	</t>
  </si>
  <si>
    <t xml:space="preserve">	e:\GoogleDrive\articles\symvonis - Optimal stable merging (mergesort).pdf				</t>
  </si>
  <si>
    <t xml:space="preserve">	e:\GoogleDrive\articles\info - algo\symvonis - optinal stable merging (mergesort).pdf				</t>
  </si>
  <si>
    <t xml:space="preserve">f38139dafa02eed52ac39f06621e1978	</t>
  </si>
  <si>
    <t xml:space="preserve">	e:\GoogleDrive\articles\culture generale\vernon - microeconomic systems as an experimental system -	p.p	df		</t>
  </si>
  <si>
    <t xml:space="preserve">f396d4b9a5c8158f39ae992aa714e297	</t>
  </si>
  <si>
    <t xml:space="preserve">	e:\GoogleDrive\articles\katajainen pasanen - in-place sorting with fewer moves.pdf				</t>
  </si>
  <si>
    <t xml:space="preserve">f3999f297febf54bf17735852d2061a3	</t>
  </si>
  <si>
    <t xml:space="preserve">	e:\GoogleDrive\articles\constrained optimization.ps				</t>
  </si>
  <si>
    <t xml:space="preserve">f39aa6a2ffae57bd9cab0cdb9476b78e	</t>
  </si>
  <si>
    <t xml:space="preserve">	e:\GoogleDrive\articles\maths\lemmermayer\hwntha3.pdf				</t>
  </si>
  <si>
    <t xml:space="preserve">f39d5320f2d584a72722c9598f46bb7b	</t>
  </si>
  <si>
    <t xml:space="preserve">	e:\GoogleDrive\articles\maths sp‚\poly.pdf				</t>
  </si>
  <si>
    <t xml:space="preserve">f3b48bc4c28d98362249abdfe30ed660	</t>
  </si>
  <si>
    <t xml:space="preserve">	e:\GoogleDrive\articles\(ebook) selesnick burrus - Digital Signal Processing Handbook\10.pdf				</t>
  </si>
  <si>
    <t xml:space="preserve">f3d37b871ff9cbe26fbc1934fd0347f2	</t>
  </si>
  <si>
    <t xml:space="preserve">	e:\GoogleDrive\articles\klaus abe - Pricing Exotic Options using Improved Strong Convergence (phd 20	07)	.pdf		</t>
  </si>
  <si>
    <t xml:space="preserve">f3e520e4daa934aea333484abf12a4ea	</t>
  </si>
  <si>
    <t xml:space="preserve">	e:\GoogleDrive\articles\maths\algebra notes.ps				</t>
  </si>
  <si>
    <t xml:space="preserve">f3ea01def7e4fea06a1ed64113df9719	</t>
  </si>
  <si>
    <t xml:space="preserve">	e:\GoogleDrive\articles\maths - SVDnotes pseudo inverse.pdf				</t>
  </si>
  <si>
    <t xml:space="preserve">f3f4138d4c2693376173a3a25dc59e7a	</t>
  </si>
  <si>
    <t xml:space="preserve">	e:\GoogleDrive\articles\(eBook) - ingles analysis of algorithms\capitulo3-ingles.pdf				</t>
  </si>
  <si>
    <t xml:space="preserve">f451075c91dcec7574a816c5fb89ebb1	</t>
  </si>
  <si>
    <t xml:space="preserve">	e:\GoogleDrive\articles\global derivatives 2008\peter jaeckel - gamma loss and prepayment.pdf				</t>
  </si>
  <si>
    <t xml:space="preserve">f451e04911af848d9ddd45f01147331b	</t>
  </si>
  <si>
    <t xml:space="preserve">	e:\GoogleDrive\articles\global risk 2007\day3\Inwegen.zip				</t>
  </si>
  <si>
    <t xml:space="preserve">f456929d3fc1cb861eda77e8c526ec69	</t>
  </si>
  <si>
    <t xml:space="preserve">	e:\GoogleDrive\articles\maths\dalang - EXTENDING MARTINGALE MEASURE STOCHASTIC INTEGRAL.pdf				</t>
  </si>
  <si>
    <t xml:space="preserve">f466c6c0ac87b80a95a679da42d4cd02	</t>
  </si>
  <si>
    <t xml:space="preserve">	e:\GoogleDrive\articles\wilmott\0709_drz.pdf				</t>
  </si>
  <si>
    <t xml:space="preserve">f488fe8aa9f6eb1f52b026431da793f9	</t>
  </si>
  <si>
    <t xml:space="preserve">	e:\GoogleDrive\articles\pitman - on the distribution of local times for a brownian motion.pdf				</t>
  </si>
  <si>
    <t xml:space="preserve">f49653c8a777def01ab02a8591af44b5	</t>
  </si>
  <si>
    <t xml:space="preserve">	e:\GoogleDrive\articles\(eBook) - statistical methods\backuper.hcs				</t>
  </si>
  <si>
    <t xml:space="preserve">f49a05e53fbfe121162b0a47de496b87	</t>
  </si>
  <si>
    <t xml:space="preserve">	e:\GoogleDrive\articles\mark rubinstein\Valuation of Uncertain Income Streams and the Pricing of Opt	.do	c		</t>
  </si>
  <si>
    <t xml:space="preserve">f49afc67c8f3e3ea19871931abf2e986	</t>
  </si>
  <si>
    <t xml:space="preserve">	e:\GoogleDrive\articles\wystupp book\mm\glasserman.pdf				</t>
  </si>
  <si>
    <t xml:space="preserve">f4c3054d9e0fb8129343aa357ffa85c2	</t>
  </si>
  <si>
    <t xml:space="preserve">	e:\GoogleDrive\articles\wilmott\0601_staunton.pdf				</t>
  </si>
  <si>
    <t xml:space="preserve">f4cd4c097cc6ca15461f16a460d4d0c6	</t>
  </si>
  <si>
    <t xml:space="preserve">	e:\GoogleDrive\articles\brownian bridge\a random walk through the stock market.pdf				</t>
  </si>
  <si>
    <t xml:space="preserve">f4ceba77fe93bbe43355313543c6ee93	</t>
  </si>
  <si>
    <t xml:space="preserve">	e:\GoogleDrive\articles\culture generale\economics\lecture\11 - newkeynes - prn.pdf				</t>
  </si>
  <si>
    <t xml:space="preserve">f4d074ed6ef2f8b5600805c49a5123ad	</t>
  </si>
  <si>
    <t xml:space="preserve">	e:\GoogleDrive\articles\bouleau -calculs d'esperances par simulation.ps				</t>
  </si>
  <si>
    <t xml:space="preserve">f4e2dfe19d0c1e59f60bfb61f793b9f7	</t>
  </si>
  <si>
    <t xml:space="preserve">	e:\GoogleDrive\articles\london school of economics &amp; political science (dpt of mathemati\chapter0 -	Cou	ntab	le	and uncountable sets.pdf</t>
  </si>
  <si>
    <t xml:space="preserve">f4e3da7dd5b3eea6cb33a5b9439ae8c9	</t>
  </si>
  <si>
    <t xml:space="preserve">	e:\GoogleDrive\articles\journal of computational finance\v10n2a3.pdf				</t>
  </si>
  <si>
    <t xml:space="preserve">f4f43d53505ab2ebcf74d0629aafba42	</t>
  </si>
  <si>
    <t xml:space="preserve">	e:\GoogleDrive\articles\lewis - Ch2Excerpt.pdf				</t>
  </si>
  <si>
    <t xml:space="preserve">	e:\GoogleDrive\articles\Lewis book - Ch2Excerpt.pdf				</t>
  </si>
  <si>
    <t xml:space="preserve">f4f7b261fd62f3d5290d6d6590d53ea2	</t>
  </si>
  <si>
    <t xml:space="preserve">	e:\GoogleDrive\articles\ayache - Can Anyone Solve The Smile problem a post-scriptum.pdf				</t>
  </si>
  <si>
    <t xml:space="preserve">	e:\GoogleDrive\articles\wilmott\0501_ayache.pdf				</t>
  </si>
  <si>
    <t xml:space="preserve">f4f8e6aa48dd87720cbd9e6a63582719	</t>
  </si>
  <si>
    <t xml:space="preserve">	e:\GoogleDrive\articles\numericalR\c14-7.pdf				</t>
  </si>
  <si>
    <t xml:space="preserve">f4ff9e1f5e2daa83d0a81c6f593f5e66	</t>
  </si>
  <si>
    <t xml:space="preserve">	e:\GoogleDrive\articles\Lixin - Fast ATM calibration of the LMM through Lagrange mul.pdf				</t>
  </si>
  <si>
    <t xml:space="preserve">	e:\GoogleDrive\articles\Lixin - Fast ATM calibration of the LMM through Lagrange multipliers - prn.p	df			</t>
  </si>
  <si>
    <t xml:space="preserve">f51a61c3851e77c157f597151cf2cf97	</t>
  </si>
  <si>
    <t xml:space="preserve">	e:\GoogleDrive\articles\(phd) hunor\phd\these.idx				</t>
  </si>
  <si>
    <t xml:space="preserve">f5443be26be9c9f0805e6e82be559d3a	</t>
  </si>
  <si>
    <t xml:space="preserve">	e:\GoogleDrive\articles\gatheral_lecture1_2003.pdf				</t>
  </si>
  <si>
    <t xml:space="preserve">f54a42e70b391386d422eebf7269d8da	</t>
  </si>
  <si>
    <t xml:space="preserve">	e:\GoogleDrive\articles\wilmott\0805_staunton.pdf				</t>
  </si>
  <si>
    <t xml:space="preserve">f54ecb8babd29ece9e28498c67cc1b0a	</t>
  </si>
  <si>
    <t xml:space="preserve">	e:\GoogleDrive\articles\wilmott\0701_staunton.pdf				</t>
  </si>
  <si>
    <t xml:space="preserve">f557318c96eaa9ce7800532a7e0baea8	</t>
  </si>
  <si>
    <t xml:space="preserve">	e:\GoogleDrive\articles\wilmott\0507_bookclub.pdf				</t>
  </si>
  <si>
    <t xml:space="preserve">f5b8fc6419667e92eb98b2f94f8e572f	</t>
  </si>
  <si>
    <t xml:space="preserve">	e:\GoogleDrive\articles\wilmott\0605_news.pdf				</t>
  </si>
  <si>
    <t xml:space="preserve">f5c499d7169f4051facdad639a7247d9	</t>
  </si>
  <si>
    <t xml:space="preserve">	e:\GoogleDrive\articles\2dDFT - FrequencyFiltering.ppt				</t>
  </si>
  <si>
    <t xml:space="preserve">f5d2cf7426d2c90847891d06084ce491	</t>
  </si>
  <si>
    <t xml:space="preserve">	e:\GoogleDrive\articles\wilmott\2002_09_24to35_Cover_Story.pdf				</t>
  </si>
  <si>
    <t xml:space="preserve">f5d8166061977ebda3ad0cc64322d154	</t>
  </si>
  <si>
    <t xml:space="preserve">	e:\GoogleDrive\articles\administratif\S1104.pdf				</t>
  </si>
  <si>
    <t xml:space="preserve">f5daf5f02c81d403750cc67d12b284b9	</t>
  </si>
  <si>
    <t xml:space="preserve">	e:\GoogleDrive\articles\wilmott\0409_bouchaud.pdf				</t>
  </si>
  <si>
    <t xml:space="preserve">f60e3cf81113ed67cd8db4614623caa3	</t>
  </si>
  <si>
    <t xml:space="preserve">	e:\GoogleDrive\articles\american options - prn.pdf				</t>
  </si>
  <si>
    <t xml:space="preserve">f61f13941444eee559342ef0c82e55cc	</t>
  </si>
  <si>
    <t xml:space="preserve">	e:\GoogleDrive\articles\anagrammer\Assembly Language Step by Step code\MYLIB.MAC				</t>
  </si>
  <si>
    <t xml:space="preserve">f61fb219b6344b33d06dbebde9c31562	</t>
  </si>
  <si>
    <t xml:space="preserve">	e:\GoogleDrive\articles\global risk 2007\day2\15.15 Davis.PDF				</t>
  </si>
  <si>
    <t xml:space="preserve">f631c7191dee8a173eaf6c286dcf69e9	</t>
  </si>
  <si>
    <t xml:space="preserve">	e:\GoogleDrive\articles\latex files\Barriers\Barriers.tex				</t>
  </si>
  <si>
    <t xml:space="preserve">f63588e6869e6a6dc6fbec3956d32d08	</t>
  </si>
  <si>
    <t xml:space="preserve">	e:\GoogleDrive\articles\numericalR\c7-7.pdf				</t>
  </si>
  <si>
    <t xml:space="preserve">f661ba58e6196eea2bffbb46c9013f30	</t>
  </si>
  <si>
    <t xml:space="preserve">	e:\GoogleDrive\articles\hong - forward skew and derivatives pricing.pdf				</t>
  </si>
  <si>
    <t xml:space="preserve">f66e9e9a687cada20c9c8f8d42e75876	</t>
  </si>
  <si>
    <t xml:space="preserve">	e:\GoogleDrive\articles\info - graphics\lecture8 - B‚ezier curves and surfaces.pdf				</t>
  </si>
  <si>
    <t xml:space="preserve">f68956470794e325b201d6ac180c0485	</t>
  </si>
  <si>
    <t xml:space="preserve">	e:\GoogleDrive\articles\Lewis book - Ch1Excerpt.pdf				</t>
  </si>
  <si>
    <t xml:space="preserve">f6ba9621ab03e9271a188d2eab33fa4a	</t>
  </si>
  <si>
    <t xml:space="preserve">	e:\GoogleDrive\articles\wilmott\0411_brown.pdf				</t>
  </si>
  <si>
    <t xml:space="preserve">f6be82eec70058969de2ff9456764e16	</t>
  </si>
  <si>
    <t xml:space="preserve">	e:\GoogleDrive\articles\latex files\FX Option\FXOptions.toc				</t>
  </si>
  <si>
    <t xml:space="preserve">f6c2f93d03f5b2e2f423e7de52dd207a	</t>
  </si>
  <si>
    <t xml:space="preserve">	e:\GoogleDrive\articles\(phd) hunor\phd\hackle\ICDM'03\siam_longue.doc				</t>
  </si>
  <si>
    <t xml:space="preserve">f6c52ff8ea4ec96defc8cafc6d830585	</t>
  </si>
  <si>
    <t xml:space="preserve">	e:\GoogleDrive\articles\wilmott\0605_cohen.pdf				</t>
  </si>
  <si>
    <t xml:space="preserve">f6d4de4bee5e06f468fb65dba3fd084a	</t>
  </si>
  <si>
    <t xml:space="preserve">	e:\GoogleDrive\articles\data mining\ECMLPKDD2004\images\sponsors\logounipi.gif				</t>
  </si>
  <si>
    <t xml:space="preserve">f6e784d7fca67469ca512370d2044f17	</t>
  </si>
  <si>
    <t xml:space="preserve">	e:\GoogleDrive\articles\data mining\ECMLPKDD2004\images\sponsors\logokdnet.jpg				</t>
  </si>
  <si>
    <t xml:space="preserve">f7228095773e6aae65e5d0c2828ef43e	</t>
  </si>
  <si>
    <t xml:space="preserve">	e:\GoogleDrive\articles\jackwerth rubinstein - Recovering Probability Distributions from Option Pri	ces	.pdf		</t>
  </si>
  <si>
    <t xml:space="preserve">	e:\GoogleDrive\articles\jackwerth rubinstein - Recovering Probability Distributions.pdf				</t>
  </si>
  <si>
    <t xml:space="preserve">f729060f291cb36421a76092aafefc13	</t>
  </si>
  <si>
    <t xml:space="preserve">	e:\GoogleDrive\articles\lobaskin\[Anatoly_B._Schmidt]_Quantitative_Finance_for_Phys(BookFi.org).pdf				</t>
  </si>
  <si>
    <t xml:space="preserve">f735e9bfc1cad34b9bf46f85e17cd112	</t>
  </si>
  <si>
    <t xml:space="preserve">	e:\GoogleDrive\articles\wilmott\0611_weinstein.pdf				</t>
  </si>
  <si>
    <t xml:space="preserve">f736fc8b02846964345737e1a674901d	</t>
  </si>
  <si>
    <t xml:space="preserve">	e:\GoogleDrive\articles\maths\xcheng\week20.pdf				</t>
  </si>
  <si>
    <t xml:space="preserve">f748713a2c12dc102dfa5f4195c12319	</t>
  </si>
  <si>
    <t xml:space="preserve">	e:\GoogleDrive\articles\a classer\backuper.hcs				</t>
  </si>
  <si>
    <t xml:space="preserve">f74cf2a86f30b1e8b8355dc4fd684ebe	</t>
  </si>
  <si>
    <t xml:space="preserve">	e:\GoogleDrive\articles\lecture notes (pittman probas)\lecture7.pdf				</t>
  </si>
  <si>
    <t xml:space="preserve">f75dee409f9d95a902813a36c812a6cb	</t>
  </si>
  <si>
    <t xml:space="preserve">	e:\GoogleDrive\articles\maths\solvers\optimizers.doc				</t>
  </si>
  <si>
    <t xml:space="preserve">f76235a75e5b0f0d9f61bea8f35fcf53	</t>
  </si>
  <si>
    <t xml:space="preserve">	e:\GoogleDrive\articles\Baatz saurer koser pollefeys - Large Scale Visual Geo-Localization of Ima	ges	in	Mo	untainous Terrain.pdf</t>
  </si>
  <si>
    <t xml:space="preserve">f77ec427ede38e1f477a425819b2f97d	</t>
  </si>
  <si>
    <t xml:space="preserve">	e:\GoogleDrive\articles\ebook with cev chapter\Chapter11 - archgarch.doc				</t>
  </si>
  <si>
    <t xml:space="preserve">f7a4b6459f3ee066fe53b894075e7806	</t>
  </si>
  <si>
    <t xml:space="preserve">	e:\GoogleDrive\articles\info - algo\lecture27 - Numerical Differentiation.pdf				</t>
  </si>
  <si>
    <t xml:space="preserve">f7a54f2e32f9b1c89a7d356e423bf768	</t>
  </si>
  <si>
    <t xml:space="preserve">	e:\GoogleDrive\articles\(phd) hunor\phd\hackle\ICDM'03\RE-HACKLE 16.DOC				</t>
  </si>
  <si>
    <t xml:space="preserve">f7ac022b4cc6725e312b80d5eb1217b6	</t>
  </si>
  <si>
    <t xml:space="preserve">	e:\GoogleDrive\articles\mark rubinstein\Rational Markets.doc				</t>
  </si>
  <si>
    <t xml:space="preserve">f7b3835c7bf723da89a6be54f2b95b97	</t>
  </si>
  <si>
    <t xml:space="preserve">	e:\GoogleDrive\articles\FD techniques.pdf				</t>
  </si>
  <si>
    <t xml:space="preserve">f7b46f611955b421935ae662ef45bbec	</t>
  </si>
  <si>
    <t xml:space="preserve">	e:\GoogleDrive\articles\(eBook) - statistical methods\chapter12-041104.pdf				</t>
  </si>
  <si>
    <t xml:space="preserve">f7b92e9c615ef439cdd0c099e638094e	</t>
  </si>
  <si>
    <t xml:space="preserve">	e:\GoogleDrive\articles\(phd) hunor\phd\these.ps				</t>
  </si>
  <si>
    <t xml:space="preserve">f7bac81a9c1c8f6faaeffe1acdef2cc1	</t>
  </si>
  <si>
    <t xml:space="preserve">	e:\GoogleDrive\articles\barrier - bbg_riskreverinfo.pdf				</t>
  </si>
  <si>
    <t xml:space="preserve">f7daf568f4ec29408d5390c9029bfc8c	</t>
  </si>
  <si>
    <t xml:space="preserve">	e:\GoogleDrive\articles\(lecture notes) Paul Dawkins - Calculus II.pdf				</t>
  </si>
  <si>
    <t xml:space="preserve">f7ecb5788cd994515b53d578b8f7d098	</t>
  </si>
  <si>
    <t xml:space="preserve">	e:\GoogleDrive\articles\maths sp‚\chapitre18 - quadriques.pdf				</t>
  </si>
  <si>
    <t xml:space="preserve">f7edee425291e7539730bdbd38d1cfd6	</t>
  </si>
  <si>
    <t xml:space="preserve">	e:\GoogleDrive\articles\2DDFT.ppt				</t>
  </si>
  <si>
    <t xml:space="preserve">f809aaad298a8a50fe7b19590fe3494c	</t>
  </si>
  <si>
    <t xml:space="preserve">	e:\GoogleDrive\articles\operations-research-thesis.pdf				</t>
  </si>
  <si>
    <t xml:space="preserve">f813eeb9151a4300741d431ce09cae5d	</t>
  </si>
  <si>
    <t xml:space="preserve">	e:\GoogleDrive\articles\rogers satchell - estimating corrlation from high low Opening and closing	pri	ces.	pd	f</t>
  </si>
  <si>
    <t xml:space="preserve">f822c73cbb73abc9f526d5066c713a5c	</t>
  </si>
  <si>
    <t xml:space="preserve">	e:\GoogleDrive\articles\anagrammer\Assembly Language Step by Step code\backuper.hcs				</t>
  </si>
  <si>
    <t xml:space="preserve">f831ecfea2eca9e030621d1b43b332ef	</t>
  </si>
  <si>
    <t xml:space="preserve">	e:\GoogleDrive\articles\Terasvirta - An introduction to to univariate Garch models.pdf				</t>
  </si>
  <si>
    <t xml:space="preserve">	e:\GoogleDrive\articles\timo - an introduction to univariate garch models.pdf				</t>
  </si>
  <si>
    <t xml:space="preserve">f8355d64a3ae1c4e63b4b57590fd58c3	</t>
  </si>
  <si>
    <t xml:space="preserve">	e:\GoogleDrive\articles\journal of computational finance\v10n1a2.pdf				</t>
  </si>
  <si>
    <t xml:space="preserve">f8579ba09e3df597f04bdf5b613ad019	</t>
  </si>
  <si>
    <t xml:space="preserve">	e:\GoogleDrive\articles\wilmott\0503_brown.pdf				</t>
  </si>
  <si>
    <t xml:space="preserve">f86abdf9904bc958d274d7ddf8e02a8b	</t>
  </si>
  <si>
    <t xml:space="preserve">	e:\GoogleDrive\articles\info - graphics\lecture9 - Subdivision surfaces.pdf				</t>
  </si>
  <si>
    <t xml:space="preserve">f8895ea0072a5ad60fcfc250a443bb0b	</t>
  </si>
  <si>
    <t xml:space="preserve">	e:\GoogleDrive\articles\Notes on Elementary Number Theory\F1 Rglement Sportif 18-02-2003.pdf				</t>
  </si>
  <si>
    <t xml:space="preserve">f897f61787fe6bd92042eb114bace787	</t>
  </si>
  <si>
    <t xml:space="preserve">	e:\GoogleDrive\articles\Thales &amp; deBondt 87 - Further Evidence on Investor Overreact.pdf				</t>
  </si>
  <si>
    <t xml:space="preserve">f8afedc1be3e7d9382f67a3d66d9a95f	</t>
  </si>
  <si>
    <t xml:space="preserve">	e:\GoogleDrive\articles\wilmott\0507_news.pdf				</t>
  </si>
  <si>
    <t xml:space="preserve">f8bf90b481e51ad038cd095245fa24c5	</t>
  </si>
  <si>
    <t xml:space="preserve">	e:\GoogleDrive\articles\mathfi lecture notes.zip				</t>
  </si>
  <si>
    <t xml:space="preserve">f8c0f223b987d45df7ad649997994663	</t>
  </si>
  <si>
    <t xml:space="preserve">	e:\GoogleDrive\articles\a classer\munk - FIAcorr.pdf				</t>
  </si>
  <si>
    <t xml:space="preserve">f8c5e2f48ffa9db2d72affe395cdc9ae	</t>
  </si>
  <si>
    <t xml:space="preserve">	e:\GoogleDrive\articles\maths\topologie - prn.ps				</t>
  </si>
  <si>
    <t xml:space="preserve">f8dce9d28c042bbc9bbd501fe360050a	</t>
  </si>
  <si>
    <t xml:space="preserve">	e:\GoogleDrive\articles\(eBook) - Bruce - analysys tools with appliation.pdf				</t>
  </si>
  <si>
    <t xml:space="preserve">	e:\GoogleDrive\articles\(eBook) Bruce - analysys tools with appliation.pdf				</t>
  </si>
  <si>
    <t xml:space="preserve">	e:\GoogleDrive\articles\driver - Analysis Tools with applications part1.pdf				</t>
  </si>
  <si>
    <t xml:space="preserve">f8df30c3071fe0dfce7d0caac175303c	</t>
  </si>
  <si>
    <t xml:space="preserve">	e:\GoogleDrive\articles\data mining\ECMLPKDD2004\covers\W1.pdf				</t>
  </si>
  <si>
    <t xml:space="preserve">f9004de223cd88f703674bef8f03e2bc	</t>
  </si>
  <si>
    <t xml:space="preserve">	e:\GoogleDrive\articles\(ebook) selesnick burrus - Digital Signal Processing Handbook\01.pdf				</t>
  </si>
  <si>
    <t xml:space="preserve">f9034ffcb312f51c719d2cac4489686e	</t>
  </si>
  <si>
    <t xml:space="preserve">	e:\GoogleDrive\articles\faure - discrepancy and duaphony of digital (01)-sequences .pdf				</t>
  </si>
  <si>
    <t xml:space="preserve">f91a835e9beb2c7208491848bc1950de	</t>
  </si>
  <si>
    <t xml:space="preserve">	e:\GoogleDrive\articles\lobaskin\P.Kaufman.Trading Systems &amp; Methods\Kaufman - Trading Systems &amp; Met	hod	s -	Ch	ap03 22-25.doc</t>
  </si>
  <si>
    <t xml:space="preserve">f92ed95ac7b8e2de5e42ff6e516dd34c	</t>
  </si>
  <si>
    <t xml:space="preserve">	e:\GoogleDrive\articles\lecture - probability (grinstead and snell)\Chapter10.pdf				</t>
  </si>
  <si>
    <t xml:space="preserve">f93bb78dd97c9edff2b62f3d9dfd5dbf	</t>
  </si>
  <si>
    <t xml:space="preserve">	e:\GoogleDrive\articles\lucas- Computing nearest covariance and correlation matrices- prn.ps				</t>
  </si>
  <si>
    <t xml:space="preserve">	e:\GoogleDrive\articles\lucas01- Computing nearest covariance and correlation matrice.ps				</t>
  </si>
  <si>
    <t xml:space="preserve">f9489057be9b7f8c4a1bb8d0fe422893	</t>
  </si>
  <si>
    <t xml:space="preserve">	e:\GoogleDrive\articles\(eBook) - ingles analysis of algorithms\capitulo12-ingles.pdf				</t>
  </si>
  <si>
    <t xml:space="preserve">f94ab256c17af9d3118eb8b39c8f52ab	</t>
  </si>
  <si>
    <t xml:space="preserve">	e:\GoogleDrive\articles\latex files\RateDigitalQCMSLeg\RateDigitalQCMSLeg.tex				</t>
  </si>
  <si>
    <t xml:space="preserve">f951369df9894aa0f9e9f357c010fcc3	</t>
  </si>
  <si>
    <t xml:space="preserve">	e:\GoogleDrive\articles\marshall bakker - computational fluid mixin.pdf				</t>
  </si>
  <si>
    <t xml:space="preserve">f95451aa5c15c289a3db952be4892d1f	</t>
  </si>
  <si>
    <t xml:space="preserve">	e:\GoogleDrive\articles\wilmott\0603_villiger.pdf				</t>
  </si>
  <si>
    <t xml:space="preserve">f96f41fd94828592dc8298af034eb20b	</t>
  </si>
  <si>
    <t xml:space="preserve">	e:\GoogleDrive\articles\wilmott\0703_staunton.pdf				</t>
  </si>
  <si>
    <t xml:space="preserve">f98d218c7d7817b748c3f6d4a6c9f1ac	</t>
  </si>
  <si>
    <t xml:space="preserve">	e:\GoogleDrive\articles\wilmott\0411_piterbarg.pdf				</t>
  </si>
  <si>
    <t xml:space="preserve">f992afa043eae40995b40df621f1f0f7	</t>
  </si>
  <si>
    <t xml:space="preserve">	e:\GoogleDrive\articles\foster nelson - continuous recors asymptotics for rolling sample variances	est	imat	or	s.pdf</t>
  </si>
  <si>
    <t xml:space="preserve">	e:\GoogleDrive\articles\rolling_regression_econometrica_paper(1995).pdf				</t>
  </si>
  <si>
    <t xml:space="preserve">f993eee8d259a30652e6ee2423edac05	</t>
  </si>
  <si>
    <t xml:space="preserve">	e:\GoogleDrive\articles\info - graphics\zhang - A Flexible New Technique for Camera Calibration (199	9).	pdf		</t>
  </si>
  <si>
    <t xml:space="preserve">f9f4d653954da3c0b3f760feac0466fa	</t>
  </si>
  <si>
    <t xml:space="preserve">	e:\GoogleDrive\articles\nielsen et al. - unconstrained optimisation.pdf				</t>
  </si>
  <si>
    <t xml:space="preserve">fa00a07f81f9ab97eb6a938e3d83bfd9	</t>
  </si>
  <si>
    <t xml:space="preserve">	e:\GoogleDrive\articles\wilmott\0407_carreviews.pdf				</t>
  </si>
  <si>
    <t xml:space="preserve">fa0f54a50ce98ccd2ca23781e43314f4	</t>
  </si>
  <si>
    <t xml:space="preserve">	e:\GoogleDrive\articles\convex analysis\03 - Basic Concepts.pdf				</t>
  </si>
  <si>
    <t xml:space="preserve">fa1b69fadfd09c6a940490969f53dd46	</t>
  </si>
  <si>
    <t xml:space="preserve">	e:\GoogleDrive\articles\Brace gatarek musiela - The market model of interest rate dynamics.pdf				</t>
  </si>
  <si>
    <t xml:space="preserve">fa22366ac67699ed6f07e49ab4ef988a	</t>
  </si>
  <si>
    <t xml:space="preserve">	e:\GoogleDrive\articles\a classer\Forward%20volatility%20agreement.pdf				</t>
  </si>
  <si>
    <t xml:space="preserve">fa4152bfb82c16c0e94787ca4bf37fae	</t>
  </si>
  <si>
    <t xml:space="preserve">	e:\GoogleDrive\articles\mn480 - computational techniques\chapt2.pdf				</t>
  </si>
  <si>
    <t xml:space="preserve">fa44796bc00de9b903fd2d030ea50053	</t>
  </si>
  <si>
    <t xml:space="preserve">	e:\GoogleDrive\articles\hobby\foundry-practice.pdf				</t>
  </si>
  <si>
    <t xml:space="preserve">fa499c31c877f14c086d952c1cd922a4	</t>
  </si>
  <si>
    <t xml:space="preserve">	e:\GoogleDrive\articles\roger lee - implied volatility - statistics dynamics and probabilistic inte	rpr	etat	io	n.pdf</t>
  </si>
  <si>
    <t xml:space="preserve">	e:\GoogleDrive\articles\entropy\impvol.pdf				</t>
  </si>
  <si>
    <t xml:space="preserve">fa68b9ee233d7346ab0c97a2dc48629e	</t>
  </si>
  <si>
    <t xml:space="preserve">	e:\GoogleDrive\articles\swanson - The expectation of a product of gausian variables.pdf				</t>
  </si>
  <si>
    <t xml:space="preserve">	e:\GoogleDrive\articles\swanson - the expectation of a product of Gaussian variables.pdf				</t>
  </si>
  <si>
    <t xml:space="preserve">	e:\GoogleDrive\articles\swanson - the expectation of aproduct of Gaussian random variables.pdf				</t>
  </si>
  <si>
    <t xml:space="preserve">fa727d22f0c2efb2390f4d45672e1136	</t>
  </si>
  <si>
    <t xml:space="preserve">	e:\GoogleDrive\articles\numericalR\c4-2.pdf				</t>
  </si>
  <si>
    <t xml:space="preserve">fa739dcd261df2ef412d11ec779e0d38	</t>
  </si>
  <si>
    <t xml:space="preserve">	e:\GoogleDrive\articles\(phd) hunor\phd\these.aux				</t>
  </si>
  <si>
    <t xml:space="preserve">fa7a4487a21a169fabbd342aec398c9e	</t>
  </si>
  <si>
    <t xml:space="preserve">	e:\GoogleDrive\articles\global risk 2007\day2\16.20 _KAPOOR.zip				</t>
  </si>
  <si>
    <t xml:space="preserve">fa818886e3b55322f619864ca93bd97e	</t>
  </si>
  <si>
    <t xml:space="preserve">	e:\GoogleDrive\articles\(phd) hunor\phd\titlepg.aux				</t>
  </si>
  <si>
    <t xml:space="preserve">fab80828691cba3e4465230ca3ad4072	</t>
  </si>
  <si>
    <t xml:space="preserve">	e:\GoogleDrive\articles\WBS IR modelling Course\IR Modelling\IRMWorkshop1_69.pdf				</t>
  </si>
  <si>
    <t xml:space="preserve">fabb0ae5945fe7fd0fd7b8004627ec02	</t>
  </si>
  <si>
    <t xml:space="preserve">	e:\GoogleDrive\articles\london school of economics &amp; political science (dpt of mathemati\chapter2 -	Ran	dom	va	riables and expectation.pdf</t>
  </si>
  <si>
    <t xml:space="preserve">faca8d6b07723340980dfddd7adf201c	</t>
  </si>
  <si>
    <t xml:space="preserve">	e:\GoogleDrive\articles\culture generale\imf - pubcat.pdf				</t>
  </si>
  <si>
    <t xml:space="preserve">fb0bf654afedd9673e11f91e45dc19a7	</t>
  </si>
  <si>
    <t xml:space="preserve">	e:\GoogleDrive\articles\wilmott\0505_javaheri.pdf				</t>
  </si>
  <si>
    <t xml:space="preserve">fb3a76e098e8537a95ff884fd03a5b2d	</t>
  </si>
  <si>
    <t xml:space="preserve">	e:\GoogleDrive\articles\yang zhang - Drift independent volatility esimation based on High Low Open	an	d Cl	os	ed Prices.pdf</t>
  </si>
  <si>
    <t xml:space="preserve">fb3dee3c3c9e55f75e8aa593d06b3e30	</t>
  </si>
  <si>
    <t xml:space="preserve">	e:\GoogleDrive\articles\wilmott\0403_coverstory.pdf				</t>
  </si>
  <si>
    <t xml:space="preserve">fb3f79bc22f6fdffdc4f41fa8ab196d5	</t>
  </si>
  <si>
    <t xml:space="preserve">	e:\GoogleDrive\articles\graeme - discrete solutions for barrier options.pdf				</t>
  </si>
  <si>
    <t xml:space="preserve">	e:\GoogleDrive\articles\mitchell taylor west - discrete solutions for barrier options.pdf				</t>
  </si>
  <si>
    <t xml:space="preserve">fb541a266f397ea2233a74c19185dfbb	</t>
  </si>
  <si>
    <t xml:space="preserve">	e:\GoogleDrive\articles\wilmott\0309_carreviews.pdf				</t>
  </si>
  <si>
    <t xml:space="preserve">fb566423cbe7d26c8b3d4c0cb4ae5215	</t>
  </si>
  <si>
    <t xml:space="preserve">	e:\GoogleDrive\articles\anagrammer\Code Reading - The Open Source Perspective.chm				</t>
  </si>
  <si>
    <t xml:space="preserve">fb6908b284d20e7e330b31525aeec7af	</t>
  </si>
  <si>
    <t xml:space="preserve">	e:\GoogleDrive\articles\statistics\a5notes.ps				</t>
  </si>
  <si>
    <t xml:space="preserve">fb7c161f93d99d8a3a8cdbdac11a2812	</t>
  </si>
  <si>
    <t xml:space="preserve">	e:\GoogleDrive\articles\wilmott\0407_thorp.pdf				</t>
  </si>
  <si>
    <t xml:space="preserve">fb8b28c610dc5cda8f25cd9f42038779	</t>
  </si>
  <si>
    <t xml:space="preserve">	e:\GoogleDrive\articles\(ebook) - Analyse numerique\chap1.pdf				</t>
  </si>
  <si>
    <t xml:space="preserve">fbb94be23de36f7767010dcf760d8c12	</t>
  </si>
  <si>
    <t xml:space="preserve">	e:\GoogleDrive\articles\maths\CS683 - Advanced algorithms\outlines.htm				</t>
  </si>
  <si>
    <t xml:space="preserve">fbdc81df8a6766a9d1fe4b3728a03596	</t>
  </si>
  <si>
    <t xml:space="preserve">	e:\GoogleDrive\articles\Cont Tankov - Calibration of jump-diffusion option pricing models a robust	no	n pa	ra	metric approach.pdf</t>
  </si>
  <si>
    <t xml:space="preserve">fbde1a5bc78c6f3c455eb364a0252458	</t>
  </si>
  <si>
    <t xml:space="preserve">	e:\GoogleDrive\articles\wilmott\0601_news.pdf				</t>
  </si>
  <si>
    <t xml:space="preserve">fbe7636b16816002f9a8e1d9a730f4de	</t>
  </si>
  <si>
    <t xml:space="preserve">	e:\GoogleDrive\articles\maths\cours - numerical anlysis.pdf				</t>
  </si>
  <si>
    <t xml:space="preserve">fbec33f985f568dc1aa4c83cefc953ca	</t>
  </si>
  <si>
    <t xml:space="preserve">	e:\GoogleDrive\articles\wilmott\0211_bogni.pdf				</t>
  </si>
  <si>
    <t xml:space="preserve">fbf8327b0e726dc8cee12746fc1c96f9	</t>
  </si>
  <si>
    <t xml:space="preserve">	e:\GoogleDrive\articles\(phd) hunor\phd\part2.aux				</t>
  </si>
  <si>
    <t xml:space="preserve">fbf97c03763d085ff28001b0e7a00383	</t>
  </si>
  <si>
    <t xml:space="preserve">	e:\GoogleDrive\articles\wilmott\0401_lyceum.pdf				</t>
  </si>
  <si>
    <t xml:space="preserve">fc08ac05e90e6e846a9994247e8ef3fa	</t>
  </si>
  <si>
    <t xml:space="preserve">	e:\GoogleDrive\articles\global risk 2007\day1\16.50 Mirfendereski.pdf				</t>
  </si>
  <si>
    <t xml:space="preserve">fc0f96f2d1876b29e1a1922e0055bb1f	</t>
  </si>
  <si>
    <t xml:space="preserve">	e:\GoogleDrive\articles\culture generale\rouge - a note on risk sensitive control stochastic games	a.p	df		</t>
  </si>
  <si>
    <t xml:space="preserve">fc1161ef342fb73dbe3562fe104ce739	</t>
  </si>
  <si>
    <t xml:space="preserve">	e:\GoogleDrive\articles\durrleman el karoui - coupling smiles.pdf				</t>
  </si>
  <si>
    <t xml:space="preserve">fc2b6a0a885d8fb0671c68620b2d10bd	</t>
  </si>
  <si>
    <t xml:space="preserve">	e:\GoogleDrive\articles\info - graphics\Andersen - Smoothing 3D Meshes using Markov Random Fields.pd	f			</t>
  </si>
  <si>
    <t xml:space="preserve">fc3dbc1ef3060dd334a050d735b1a15d	</t>
  </si>
  <si>
    <t xml:space="preserve">	e:\GoogleDrive\articles\info - algo\mittelmann - the state-of-the-art in conic optimization software	.pd	f		</t>
  </si>
  <si>
    <t xml:space="preserve">fc81593f324a2c0d4cfbe6a6bbc22818	</t>
  </si>
  <si>
    <t xml:space="preserve">	e:\GoogleDrive\articles\probability theory\Problec.ps				</t>
  </si>
  <si>
    <t xml:space="preserve">fca58be3b03fe9a9192d8863a3897175	</t>
  </si>
  <si>
    <t xml:space="preserve">	e:\GoogleDrive\articles\wilmott\0607_osband.pdf				</t>
  </si>
  <si>
    <t xml:space="preserve">fcbecaaf703be7b8eae831dfa34bcbf1	</t>
  </si>
  <si>
    <t xml:space="preserve">	e:\GoogleDrive\articles\latex files\figures\calibrating_k.eps				</t>
  </si>
  <si>
    <t xml:space="preserve">	e:\GoogleDrive\articles\(phd) hunor\phd\figures\calibrating_k.eps				</t>
  </si>
  <si>
    <t xml:space="preserve">fcc128324805e1cb2e93024c633e668e	</t>
  </si>
  <si>
    <t xml:space="preserve">	e:\GoogleDrive\articles\wilmott\0509_bogni.pdf				</t>
  </si>
  <si>
    <t xml:space="preserve">fccc0b7a6e48154540dba903e16b61d7	</t>
  </si>
  <si>
    <t xml:space="preserve">	e:\GoogleDrive\articles\(eBook) - Jackel\NormalDistribution\backuper.hcs				</t>
  </si>
  <si>
    <t xml:space="preserve">fcd3840577a504db3f5b4e20af8cf48d	</t>
  </si>
  <si>
    <t xml:space="preserve">	e:\GoogleDrive\articles\WBS IR modelling Course\IR Modelling\IR2.2.2Rebonato_100.pdf				</t>
  </si>
  <si>
    <t xml:space="preserve">fcd3be2f33bff645c51a0e0c1c9e5908	</t>
  </si>
  <si>
    <t xml:space="preserve">	e:\GoogleDrive\articles\(phd) hunor\phd\figures\original\frontiere.TIF				</t>
  </si>
  <si>
    <t xml:space="preserve">fcdc1c4b79aeaae0bdc9d5ebdc5e3b22	</t>
  </si>
  <si>
    <t xml:space="preserve">	e:\GoogleDrive\articles\wilmott\0705_ahn.pdf				</t>
  </si>
  <si>
    <t xml:space="preserve">fce2d3a81e603d0dc73f52f087432812	</t>
  </si>
  <si>
    <t xml:space="preserve">	e:\GoogleDrive\bluc Letter 2014 - 150110.pdf				</t>
  </si>
  <si>
    <t xml:space="preserve">fce3bbb31c15cdf0a434010f612fab9b	</t>
  </si>
  <si>
    <t xml:space="preserve">	e:\GoogleDrive\articles\numericalR\c2-10.pdf				</t>
  </si>
  <si>
    <t xml:space="preserve">fcfe4ae12e0d6b251fce6bf86787208b	</t>
  </si>
  <si>
    <t xml:space="preserve">	e:\GoogleDrive\articles\(phd) hunor\phd\hackle\ICDM'03\ICDM'03.doc				</t>
  </si>
  <si>
    <t xml:space="preserve">fd19c6ad757f8609cbf9f14bedec61a6	</t>
  </si>
  <si>
    <t xml:space="preserve">	e:\GoogleDrive\articles\culture generale\economics\lecture\2 - solow - prn.pdf				</t>
  </si>
  <si>
    <t xml:space="preserve">fd22b86d89cad022a7274a5ef60561d6	</t>
  </si>
  <si>
    <t xml:space="preserve">	e:\GoogleDrive\articles\wilmott\0603_wilmott.pdf				</t>
  </si>
  <si>
    <t xml:space="preserve">fd32bbe0ab567c9c36572ac6615fad36	</t>
  </si>
  <si>
    <t xml:space="preserve">	e:\GoogleDrive\articles\maths\311AllProblems.pdf				</t>
  </si>
  <si>
    <t xml:space="preserve">fd709a970edc27bb9b6dfb9a4db69932	</t>
  </si>
  <si>
    <t xml:space="preserve">	e:\GoogleDrive\articles\Notes on Elementary Number Theory\21 - perfect.ps				</t>
  </si>
  <si>
    <t xml:space="preserve">fd7be61e82757c49b3de1e78d487ca88	</t>
  </si>
  <si>
    <t xml:space="preserve">	e:\GoogleDrive\articles\wilmott\0809_haug.pdf				</t>
  </si>
  <si>
    <t xml:space="preserve">fd896fb071822a0aa1f7d5712faa3325	</t>
  </si>
  <si>
    <t xml:space="preserve">	e:\GoogleDrive\articles\wilmott\0401_thorp.pdf				</t>
  </si>
  <si>
    <t xml:space="preserve">fd8adb01d14f1a2dd4471999db4191a7	</t>
  </si>
  <si>
    <t xml:space="preserve">	e:\GoogleDrive\articles\rebonato kainth - a two regime stochastic volatility extension of the Libor	Ma	rked	M	odel.pdf</t>
  </si>
  <si>
    <t xml:space="preserve">fd8fe671b518a4ab54720a4821a00550	</t>
  </si>
  <si>
    <t xml:space="preserve">	e:\GoogleDrive\articles\(ebook) - a non random walk down Wall street\chapt7.pdf				</t>
  </si>
  <si>
    <t xml:space="preserve">fdacf354a6f0bfcf8b3a888535468621	</t>
  </si>
  <si>
    <t xml:space="preserve">	e:\GoogleDrive\articles\infinity.pdf				</t>
  </si>
  <si>
    <t xml:space="preserve">fdadbd13f457529721ffc97bd300f9e0	</t>
  </si>
  <si>
    <t xml:space="preserve">	e:\GoogleDrive\articles\(ebook) selesnick burrus - Digital Signal Processing Handbook\42.pdf				</t>
  </si>
  <si>
    <t xml:space="preserve">fdb9d42be41310840d69b4e54608152e	</t>
  </si>
  <si>
    <t xml:space="preserve">	e:\GoogleDrive\articles\(eBook) Taylor Karlin  - An Introduction to Stochastic Modeling.pdf				</t>
  </si>
  <si>
    <t xml:space="preserve">fdbb8e5842b420199937c6f4965c1978	</t>
  </si>
  <si>
    <t xml:space="preserve">	e:\GoogleDrive\articles\wilmott\0801_binder.pdf				</t>
  </si>
  <si>
    <t xml:space="preserve">fdcad2da53853ef26fc3ed0d4fc8d624	</t>
  </si>
  <si>
    <t xml:space="preserve">	e:\GoogleDrive\articles\(ebook) selesnick burrus - Digital Signal Processing Handbook\30.pdf				</t>
  </si>
  <si>
    <t xml:space="preserve">fddffd3bee00763d7935f6e5846637fa	</t>
  </si>
  <si>
    <t xml:space="preserve">	e:\GoogleDrive\articles\latex files\Spread Options\SpreadOptions.tex				</t>
  </si>
  <si>
    <t xml:space="preserve">fded623790c47289d7728ee13c5e82ab	</t>
  </si>
  <si>
    <t xml:space="preserve">	e:\GoogleDrive\articles\wilmott\0701_drz.pdf				</t>
  </si>
  <si>
    <t xml:space="preserve">fe0983918644366b27ef0e40641bf862	</t>
  </si>
  <si>
    <t xml:space="preserve">	e:\GoogleDrive\articles\wilmott\0211_variety.pdf				</t>
  </si>
  <si>
    <t xml:space="preserve">fe25cf851d4bbb1c2c4fdef843c1ba44	</t>
  </si>
  <si>
    <t xml:space="preserve">	e:\GoogleDrive\articles\lecture - probability (grinstead and snell)\url.txt				</t>
  </si>
  <si>
    <t xml:space="preserve">fe31c41293f86ba73106e851da7f2577	</t>
  </si>
  <si>
    <t xml:space="preserve">	e:\GoogleDrive\articles\global risk 2007\day3\Jean-David Fermanian.zip				</t>
  </si>
  <si>
    <t xml:space="preserve">fe3a1f6d75962d4892a370c0252230af	</t>
  </si>
  <si>
    <t xml:space="preserve">	e:\GoogleDrive\articles\tolmatz - on the distribution of the square integral of the brownina bridge.	pdf			</t>
  </si>
  <si>
    <t xml:space="preserve">fe4d87dbac94e6cd12eb341cdbce6ebb	</t>
  </si>
  <si>
    <t xml:space="preserve">	e:\GoogleDrive\articles\course notes - rutkowsky - term structure modelling.pdf				</t>
  </si>
  <si>
    <t xml:space="preserve">	e:\GoogleDrive\articles\rutkowski - course - term structure notes.pdf				</t>
  </si>
  <si>
    <t xml:space="preserve">fe5984bcf95eb461df1fe37c42e29828	</t>
  </si>
  <si>
    <t xml:space="preserve">	e:\GoogleDrive\articles\wilmott\0309_thorp.pdf				</t>
  </si>
  <si>
    <t xml:space="preserve">fe65b4db4163991208c9b43473ae6715	</t>
  </si>
  <si>
    <t xml:space="preserve">	e:\GoogleDrive\articles\MultiFactorMFModels_disser.pdf				</t>
  </si>
  <si>
    <t xml:space="preserve">fe6d01cc1236297fba52a2b79a92eb95	</t>
  </si>
  <si>
    <t xml:space="preserve">	e:\GoogleDrive\articles\probability theory\backuper.hcs				</t>
  </si>
  <si>
    <t xml:space="preserve">fe746fccae031673b77be93988349239	</t>
  </si>
  <si>
    <t xml:space="preserve">	e:\GoogleDrive\articles\stresstesting\backuper.hcs				</t>
  </si>
  <si>
    <t xml:space="preserve">fe82c29289f060f7c556c68665a41dd9	</t>
  </si>
  <si>
    <t xml:space="preserve">	e:\GoogleDrive\articles\wilmott\0401_carreviews.pdf				</t>
  </si>
  <si>
    <t xml:space="preserve">feba65065a383b2c6958912c9c045b99	</t>
  </si>
  <si>
    <t xml:space="preserve">	e:\GoogleDrive\articles\Davis Mataix-Pastor - Negative Libor rates in the Swap Market Model.pdf				</t>
  </si>
  <si>
    <t xml:space="preserve">fec8a0e4cd608f4c52feee508a266f89	</t>
  </si>
  <si>
    <t xml:space="preserve">	e:\GoogleDrive\articles\craig lucas - computing nearest covariance and correlation matrices (2001).p	df			</t>
  </si>
  <si>
    <t xml:space="preserve">fed228e66102168b48e9ddd16041bde2	</t>
  </si>
  <si>
    <t xml:space="preserve">	e:\GoogleDrive\articles\(eBook) - statistical methods\chapter10.pdf				</t>
  </si>
  <si>
    <t xml:space="preserve">fee541b8fd24ebfaeba7de6b58b2f1ed	</t>
  </si>
  <si>
    <t xml:space="preserve">	e:\GoogleDrive\articles\numerical analysis lecture notes.zip				</t>
  </si>
  <si>
    <t xml:space="preserve">fee9c505184b444143a7de6ca6ce4313	</t>
  </si>
  <si>
    <t xml:space="preserve">	e:\GoogleDrive\articles\(ebook) - Analyse numerique\backuper.hcs				</t>
  </si>
  <si>
    <t xml:space="preserve">fef488a4c582dbc387ca39ee801d1afe	</t>
  </si>
  <si>
    <t xml:space="preserve">	e:\GoogleDrive\articles\maths\robustness and martingale representations.ps				</t>
  </si>
  <si>
    <t xml:space="preserve">fef9b337153c84767ad5a8452b55d972	</t>
  </si>
  <si>
    <t xml:space="preserve">	e:\GoogleDrive\articles\gatheral_lecture5_2003.pdf				</t>
  </si>
  <si>
    <t xml:space="preserve">feff1ed6dda54dd484dccfabefb4293b	</t>
  </si>
  <si>
    <t xml:space="preserve">	e:\GoogleDrive\articles\wilmott\0409_staunton.pdf				</t>
  </si>
  <si>
    <t xml:space="preserve">ff1eb3eb9a7beb662e56e042037322d5	</t>
  </si>
  <si>
    <t xml:space="preserve">	e:\GoogleDrive\articles\culture generale\economics\macroeconomics\LN - ch4 - gt_convergence.pdf				</t>
  </si>
  <si>
    <t xml:space="preserve">ff42aa4a0bde1801bdf033d22e1ab4e0	</t>
  </si>
  <si>
    <t xml:space="preserve">	e:\GoogleDrive\articles\(eBook) - fries - mathematical finance.pdf				</t>
  </si>
  <si>
    <t xml:space="preserve">	e:\GoogleDrive\articles\(eBook) fries - mathematical finance.pdf				</t>
  </si>
  <si>
    <t xml:space="preserve">ff4dc97ff80bd170ba34a73b952d503a	</t>
  </si>
  <si>
    <t xml:space="preserve">	e:\GoogleDrive\articles\stanford - convex optimisation\03 - functions.pdf				</t>
  </si>
  <si>
    <t xml:space="preserve">ff5b90eda53e1fe6f36e27e38f4e3247	</t>
  </si>
  <si>
    <t xml:space="preserve">	e:\GoogleDrive\articles\(phd) hunor\phd\these.dvi				</t>
  </si>
  <si>
    <t xml:space="preserve">ff6639dfb77efd882e849e7ec59ae48a	</t>
  </si>
  <si>
    <t xml:space="preserve">	e:\GoogleDrive\articles\(phd) hunor\phd\nMC.log				</t>
  </si>
  <si>
    <t xml:space="preserve">ff6a83290a23a14a88fe75eadb3dd0df	</t>
  </si>
  <si>
    <t xml:space="preserve">	e:\GoogleDrive\articles\maths\semidefinite programming\Chapter5.pdf				</t>
  </si>
  <si>
    <t xml:space="preserve">ff71ccb35a8776b6e2f905470093acad	</t>
  </si>
  <si>
    <t xml:space="preserve">	e:\GoogleDrive\articles\(ebook) Fabozzi - Handbook of Finance Financial Markets and Instruments - (2	8	).pd	f	</t>
  </si>
  <si>
    <t xml:space="preserve">ff8d1371ae1701cfc58df0698ae8b6f8	</t>
  </si>
  <si>
    <t xml:space="preserve">	e:\GoogleDrive\articles\latex files\PRD Option\PRD.tex				</t>
  </si>
  <si>
    <t xml:space="preserve">ff9d0d625e133062f7db662178b28419	</t>
  </si>
  <si>
    <t xml:space="preserve">	e:\GoogleDrive\articles\numericalR\c12-1.pdf				</t>
  </si>
  <si>
    <t xml:space="preserve">ffac7ab9f4a8906741f42bc2b10a2e50	</t>
  </si>
  <si>
    <t xml:space="preserve">	e:\GoogleDrive\articles\numericalR\c6-9.pdf				</t>
  </si>
  <si>
    <t xml:space="preserve">ffaed85fb228203dba5f4c30f15a09be	</t>
  </si>
  <si>
    <t xml:space="preserve">	e:\GoogleDrive\articles\global derivatives 2008\globalderivs2008_program.pdf				</t>
  </si>
  <si>
    <t xml:space="preserve">ffbf5226b9e0de2fb9a10dea0f9f0085	</t>
  </si>
  <si>
    <t xml:space="preserve">	e:\GoogleDrive\articles\(eBook) - Trfethen\0 - pdefront.pdf				</t>
  </si>
  <si>
    <t xml:space="preserve">ffc30bc44ca808fe0de9715804ca753b	</t>
  </si>
  <si>
    <t xml:space="preserve">	e:\GoogleDrive\articles\data mining\ECMLPKDD2004\workshops\W7.pdf				</t>
  </si>
  <si>
    <t xml:space="preserve">ffc81c12de7c89fd5c46d89076fb9f01	</t>
  </si>
  <si>
    <t xml:space="preserve">	e:\GoogleDrive\articles\wilmott\0403_cohen.pdf				</t>
  </si>
  <si>
    <t xml:space="preserve">fff7c656afdf3dda762667ad8968eaf2	</t>
  </si>
  <si>
    <t xml:space="preserve">	e:\GoogleDrive\articles\wilmott\0309_fpml.pdf				</t>
  </si>
  <si>
    <t xml:space="preserve">fffab50af3104f4e5fb668089f44ca01	</t>
  </si>
  <si>
    <t xml:space="preserve">	e:\GoogleDrive\articles\wilmott\0603_zakamouline.pdf				</t>
  </si>
  <si>
    <t xml:space="preserve">fffec8fccd3e8d20a82966aaaddefe43	</t>
  </si>
  <si>
    <t xml:space="preserve">	e:\GoogleDrive\articles\mark rubinstein\Guiding Force.doc				</t>
  </si>
  <si>
    <t xml:space="preserve">fffedd9cb8a03860de2dca86d9fe2b9f	</t>
  </si>
  <si>
    <t xml:space="preserve">	e:\GoogleDrive\articles\lobaskin\P.Kaufman.Trading Systems &amp; Methods\Kaufman - Trading Systems &amp; Met	hod	s -	Ap	pendix 5.doc</t>
  </si>
  <si>
    <t>g</t>
  </si>
  <si>
    <t>libor</t>
  </si>
  <si>
    <t>libor exotics</t>
  </si>
  <si>
    <t>Formula is</t>
  </si>
  <si>
    <t>len = min (i,j)</t>
  </si>
  <si>
    <t>distance = len*(m(i,j)-10)</t>
  </si>
  <si>
    <t>Extender exotics Market</t>
  </si>
  <si>
    <t>Random points in plane around a point inside unit circle</t>
  </si>
  <si>
    <t>* Step 1 - generate random point inside unit circle around the origin in plane x,y</t>
  </si>
  <si>
    <t>* Step 2 rotate the point around the axis x and y</t>
  </si>
  <si>
    <t>* Step 3 add afine point P, if needed</t>
  </si>
  <si>
    <t>polar coordinates</t>
  </si>
  <si>
    <t>r</t>
  </si>
  <si>
    <t>x</t>
  </si>
  <si>
    <t>y</t>
  </si>
  <si>
    <t>rotation around x</t>
  </si>
  <si>
    <t>rotation around y</t>
  </si>
  <si>
    <t>See http://en.wikipedia.org/wiki/Rotation_matrix</t>
  </si>
  <si>
    <t>z</t>
  </si>
  <si>
    <t>Surface normal to new plane</t>
  </si>
  <si>
    <t>p_a</t>
  </si>
  <si>
    <t>p_b</t>
  </si>
  <si>
    <t>p_c</t>
  </si>
  <si>
    <t>p_d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</si>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</sst>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.000000_);_(* \(#,##0.000000\);_(* &quot;-&quot;??_);_(@_)"/>
  </numFmts>
  <fonts count="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/>
    </xf>
    <xf numFmtId="164" fontId="0" fillId="0" borderId="0" xfId="1" applyNumberFormat="1" applyFont="1"/>
    <xf numFmtId="164" fontId="0" fillId="0" borderId="0" xfId="0" applyNumberFormat="1"/>
    <xf numFmtId="0" fontId="0" fillId="2" borderId="0" xfId="0" applyFill="1"/>
    <xf numFmtId="0" fontId="0" fillId="3" borderId="0" xfId="0" applyFill="1"/>
    <xf numFmtId="9" fontId="0" fillId="0" borderId="0" xfId="0" applyNumberFormat="1"/>
    <xf numFmtId="0" fontId="0" fillId="2" borderId="0" xfId="0" applyFill="1" applyAlignment="1">
      <alignment horizontal="right"/>
    </xf>
    <xf numFmtId="0" fontId="0" fillId="4" borderId="0" xfId="0" applyFill="1"/>
    <xf numFmtId="0" fontId="4" fillId="0" borderId="0" xfId="0" applyFont="1"/>
    <xf numFmtId="0" fontId="4" fillId="2" borderId="0" xfId="0" applyFont="1" applyFill="1" applyAlignment="1">
      <alignment horizontal="right"/>
    </xf>
    <xf numFmtId="0" fontId="1" fillId="0" borderId="0" xfId="0" applyFont="1"/>
    <xf numFmtId="0" fontId="1" fillId="2" borderId="0" xfId="0" applyFont="1" applyFill="1" applyAlignment="1">
      <alignment horizontal="right"/>
    </xf>
    <xf numFmtId="0" fontId="1" fillId="2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11" fontId="0" fillId="0" borderId="0" xfId="0" applyNumberFormat="1"/>
    <xf numFmtId="0" fontId="6" fillId="0" borderId="0" xfId="0" applyFont="1"/>
    <xf numFmtId="0" fontId="0" fillId="2" borderId="7" xfId="0" applyFill="1" applyBorder="1"/>
    <xf numFmtId="0" fontId="0" fillId="5" borderId="0" xfId="0" applyFill="1"/>
    <xf numFmtId="0" fontId="0" fillId="2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8" xfId="0" applyFill="1" applyBorder="1"/>
    <xf numFmtId="0" fontId="0" fillId="6" borderId="0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/>
    <xf numFmtId="0" fontId="6" fillId="2" borderId="0" xfId="0" applyFon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</xdr:row>
          <xdr:rowOff>95250</xdr:rowOff>
        </xdr:from>
        <xdr:to>
          <xdr:col>7</xdr:col>
          <xdr:colOff>390525</xdr:colOff>
          <xdr:row>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time series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6</xdr:row>
          <xdr:rowOff>76200</xdr:rowOff>
        </xdr:from>
        <xdr:to>
          <xdr:col>7</xdr:col>
          <xdr:colOff>361950</xdr:colOff>
          <xdr:row>9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Initialise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26"/>
  <sheetViews>
    <sheetView workbookViewId="0">
      <selection activeCell="B2" sqref="B2"/>
    </sheetView>
  </sheetViews>
  <sheetFormatPr defaultColWidth="11.42578125" defaultRowHeight="12.75" x14ac:dyDescent="0.2"/>
  <cols>
    <col min="2" max="2" width="16.7109375" customWidth="1"/>
    <col min="5" max="5" width="14" bestFit="1" customWidth="1"/>
    <col min="6" max="6" width="12.140625" bestFit="1" customWidth="1"/>
    <col min="10" max="12" width="11.5703125" bestFit="1" customWidth="1"/>
    <col min="13" max="13" width="12.42578125" bestFit="1" customWidth="1"/>
    <col min="14" max="14" width="13.42578125" bestFit="1" customWidth="1"/>
    <col min="15" max="15" width="25.7109375" customWidth="1"/>
  </cols>
  <sheetData>
    <row r="1" spans="1:15" x14ac:dyDescent="0.2">
      <c r="A1" s="11" t="s">
        <v>65</v>
      </c>
      <c r="B1" s="13" t="s">
        <v>89</v>
      </c>
    </row>
    <row r="2" spans="1:15" x14ac:dyDescent="0.2">
      <c r="A2" t="s">
        <v>20</v>
      </c>
      <c r="B2" s="13" t="s">
        <v>90</v>
      </c>
    </row>
    <row r="3" spans="1:15" x14ac:dyDescent="0.2">
      <c r="J3" s="10" t="str">
        <f t="array" ref="J3:L34">_xll.TimeSeries("list",B14:C17)</f>
        <v>Handle does not point to underlying &lt;TimeSeriesFromFile&gt; type.</v>
      </c>
      <c r="K3" s="10" t="str">
        <v>Handle does not point to underlying &lt;TimeSeriesFromFile&gt; type.</v>
      </c>
      <c r="L3" s="10" t="str">
        <v>Handle does not point to underlying &lt;TimeSeriesFromFile&gt; type.</v>
      </c>
    </row>
    <row r="4" spans="1:15" x14ac:dyDescent="0.2">
      <c r="A4" t="s">
        <v>29</v>
      </c>
      <c r="B4" s="10">
        <f t="array" ref="B4">_xll.TimeSeries("mapTimeStampedBidAsk",B2)</f>
        <v>1</v>
      </c>
      <c r="J4" s="10" t="str">
        <v>Handle does not point to underlying &lt;TimeSeriesFromFile&gt; type.</v>
      </c>
      <c r="K4" s="10" t="str">
        <v>Handle does not point to underlying &lt;TimeSeriesFromFile&gt; type.</v>
      </c>
      <c r="L4" s="10" t="str">
        <v>Handle does not point to underlying &lt;TimeSeriesFromFile&gt; type.</v>
      </c>
      <c r="N4" s="10" t="str">
        <f t="array" ref="N4:O16">_xll.TimeSeries("listcommands")</f>
        <v>analyse</v>
      </c>
      <c r="O4" s="10" t="str">
        <v>labelValue{handle, minPos, maxPos, nbIndicators, indicator1, indicator2, ..}</v>
      </c>
    </row>
    <row r="5" spans="1:15" ht="13.5" thickBot="1" x14ac:dyDescent="0.25">
      <c r="B5" s="13" t="s">
        <v>77</v>
      </c>
      <c r="D5" t="s">
        <v>30</v>
      </c>
      <c r="J5" s="10" t="str">
        <v>Handle does not point to underlying &lt;TimeSeriesFromFile&gt; type.</v>
      </c>
      <c r="K5" s="10" t="str">
        <v>Handle does not point to underlying &lt;TimeSeriesFromFile&gt; type.</v>
      </c>
      <c r="L5" s="10" t="str">
        <v>Handle does not point to underlying &lt;TimeSeriesFromFile&gt; type.</v>
      </c>
      <c r="N5" s="10" t="str">
        <v>clearAll</v>
      </c>
      <c r="O5" s="10" t="str">
        <v/>
      </c>
    </row>
    <row r="6" spans="1:15" x14ac:dyDescent="0.2">
      <c r="B6" s="16" t="str">
        <f t="array" ref="B6:C11">_xll.TimeSeries("statistics",B4)</f>
        <v>Handle does not point to underlying &lt;TimeSeriesFromFile&gt; type.</v>
      </c>
      <c r="C6" s="17" t="str">
        <v>Handle does not point to underlying &lt;TimeSeriesFromFile&gt; type.</v>
      </c>
      <c r="D6" s="16" t="str">
        <f t="array" ref="D6:E9">_xll.TimeSeries("info",B4)</f>
        <v>Handle does not point to &lt;TimeSeriesFromFile&gt; or &lt;TextFile&gt; type.</v>
      </c>
      <c r="E6" s="17" t="str">
        <v>Handle does not point to &lt;TimeSeriesFromFile&gt; or &lt;TextFile&gt; type.</v>
      </c>
      <c r="J6" s="10" t="str">
        <v>Handle does not point to underlying &lt;TimeSeriesFromFile&gt; type.</v>
      </c>
      <c r="K6" s="10" t="str">
        <v>Handle does not point to underlying &lt;TimeSeriesFromFile&gt; type.</v>
      </c>
      <c r="L6" s="10" t="str">
        <v>Handle does not point to underlying &lt;TimeSeriesFromFile&gt; type.</v>
      </c>
      <c r="N6" s="10" t="str">
        <v>createIndicator</v>
      </c>
      <c r="O6" s="10" t="str">
        <v>labelValue{name, ..}</v>
      </c>
    </row>
    <row r="7" spans="1:15" x14ac:dyDescent="0.2">
      <c r="B7" s="18" t="str">
        <v>Handle does not point to underlying &lt;TimeSeriesFromFile&gt; type.</v>
      </c>
      <c r="C7" s="19" t="str">
        <v>Handle does not point to underlying &lt;TimeSeriesFromFile&gt; type.</v>
      </c>
      <c r="D7" s="18" t="str">
        <v>Handle does not point to &lt;TimeSeriesFromFile&gt; or &lt;TextFile&gt; type.</v>
      </c>
      <c r="E7" s="19" t="str">
        <v>Handle does not point to &lt;TimeSeriesFromFile&gt; or &lt;TextFile&gt; type.</v>
      </c>
      <c r="J7" s="10" t="str">
        <v>Handle does not point to underlying &lt;TimeSeriesFromFile&gt; type.</v>
      </c>
      <c r="K7" s="10" t="str">
        <v>Handle does not point to underlying &lt;TimeSeriesFromFile&gt; type.</v>
      </c>
      <c r="L7" s="10" t="str">
        <v>Handle does not point to underlying &lt;TimeSeriesFromFile&gt; type.</v>
      </c>
      <c r="N7" s="10" t="str">
        <v>createMarket</v>
      </c>
      <c r="O7" s="10" t="str">
        <v>labelValue{..}</v>
      </c>
    </row>
    <row r="8" spans="1:15" x14ac:dyDescent="0.2">
      <c r="B8" s="18" t="str">
        <v>Handle does not point to underlying &lt;TimeSeriesFromFile&gt; type.</v>
      </c>
      <c r="C8" s="19" t="str">
        <v>Handle does not point to underlying &lt;TimeSeriesFromFile&gt; type.</v>
      </c>
      <c r="D8" s="18" t="str">
        <v>Handle does not point to &lt;TimeSeriesFromFile&gt; or &lt;TextFile&gt; type.</v>
      </c>
      <c r="E8" s="19" t="str">
        <v>Handle does not point to &lt;TimeSeriesFromFile&gt; or &lt;TextFile&gt; type.</v>
      </c>
      <c r="J8" s="10" t="str">
        <v>Handle does not point to underlying &lt;TimeSeriesFromFile&gt; type.</v>
      </c>
      <c r="K8" s="10" t="str">
        <v>Handle does not point to underlying &lt;TimeSeriesFromFile&gt; type.</v>
      </c>
      <c r="L8" s="10" t="str">
        <v>Handle does not point to underlying &lt;TimeSeriesFromFile&gt; type.</v>
      </c>
      <c r="N8" s="10" t="str">
        <v>createStrategy</v>
      </c>
      <c r="O8" s="10" t="str">
        <v>labelValue{..}</v>
      </c>
    </row>
    <row r="9" spans="1:15" ht="13.5" thickBot="1" x14ac:dyDescent="0.25">
      <c r="B9" s="18" t="str">
        <v>Handle does not point to underlying &lt;TimeSeriesFromFile&gt; type.</v>
      </c>
      <c r="C9" s="19" t="str">
        <v>Handle does not point to underlying &lt;TimeSeriesFromFile&gt; type.</v>
      </c>
      <c r="D9" s="20" t="str">
        <v>Handle does not point to &lt;TimeSeriesFromFile&gt; or &lt;TextFile&gt; type.</v>
      </c>
      <c r="E9" s="21" t="str">
        <v>Handle does not point to &lt;TimeSeriesFromFile&gt; or &lt;TextFile&gt; type.</v>
      </c>
      <c r="J9" s="10" t="str">
        <v>Handle does not point to underlying &lt;TimeSeriesFromFile&gt; type.</v>
      </c>
      <c r="K9" s="10" t="str">
        <v>Handle does not point to underlying &lt;TimeSeriesFromFile&gt; type.</v>
      </c>
      <c r="L9" s="10" t="str">
        <v>Handle does not point to underlying &lt;TimeSeriesFromFile&gt; type.</v>
      </c>
      <c r="N9" s="10" t="str">
        <v>createTrader</v>
      </c>
      <c r="O9" s="10" t="str">
        <v>labelValue{..}</v>
      </c>
    </row>
    <row r="10" spans="1:15" x14ac:dyDescent="0.2">
      <c r="B10" s="18" t="str">
        <v>Handle does not point to underlying &lt;TimeSeriesFromFile&gt; type.</v>
      </c>
      <c r="C10" s="19" t="str">
        <v>Handle does not point to underlying &lt;TimeSeriesFromFile&gt; type.</v>
      </c>
      <c r="J10" s="10" t="str">
        <v>Handle does not point to underlying &lt;TimeSeriesFromFile&gt; type.</v>
      </c>
      <c r="K10" s="10" t="str">
        <v>Handle does not point to underlying &lt;TimeSeriesFromFile&gt; type.</v>
      </c>
      <c r="L10" s="10" t="str">
        <v>Handle does not point to underlying &lt;TimeSeriesFromFile&gt; type.</v>
      </c>
      <c r="N10" s="10" t="str">
        <v>info</v>
      </c>
      <c r="O10" s="10" t="str">
        <v>{handle}</v>
      </c>
    </row>
    <row r="11" spans="1:15" ht="13.5" thickBot="1" x14ac:dyDescent="0.25">
      <c r="B11" s="20" t="str">
        <v>Handle does not point to underlying &lt;TimeSeriesFromFile&gt; type.</v>
      </c>
      <c r="C11" s="21" t="str">
        <v>Handle does not point to underlying &lt;TimeSeriesFromFile&gt; type.</v>
      </c>
      <c r="J11" s="10" t="str">
        <v>Handle does not point to underlying &lt;TimeSeriesFromFile&gt; type.</v>
      </c>
      <c r="K11" s="10" t="str">
        <v>Handle does not point to underlying &lt;TimeSeriesFromFile&gt; type.</v>
      </c>
      <c r="L11" s="10" t="str">
        <v>Handle does not point to underlying &lt;TimeSeriesFromFile&gt; type.</v>
      </c>
      <c r="N11" s="10" t="str">
        <v>list</v>
      </c>
      <c r="O11" s="10" t="str">
        <v>labelValue{handle, minPos, maxPos, step}</v>
      </c>
    </row>
    <row r="12" spans="1:15" x14ac:dyDescent="0.2">
      <c r="J12" s="10" t="str">
        <v>Handle does not point to underlying &lt;TimeSeriesFromFile&gt; type.</v>
      </c>
      <c r="K12" s="10" t="str">
        <v>Handle does not point to underlying &lt;TimeSeriesFromFile&gt; type.</v>
      </c>
      <c r="L12" s="10" t="str">
        <v>Handle does not point to underlying &lt;TimeSeriesFromFile&gt; type.</v>
      </c>
      <c r="N12" s="10" t="str">
        <v>mapTextFile</v>
      </c>
      <c r="O12" s="10" t="str">
        <v>{filename}</v>
      </c>
    </row>
    <row r="13" spans="1:15" x14ac:dyDescent="0.2">
      <c r="A13" t="s">
        <v>31</v>
      </c>
      <c r="J13" s="10" t="str">
        <v>Handle does not point to underlying &lt;TimeSeriesFromFile&gt; type.</v>
      </c>
      <c r="K13" s="10" t="str">
        <v>Handle does not point to underlying &lt;TimeSeriesFromFile&gt; type.</v>
      </c>
      <c r="L13" s="10" t="str">
        <v>Handle does not point to underlying &lt;TimeSeriesFromFile&gt; type.</v>
      </c>
      <c r="N13" s="10" t="str">
        <v>mapTimeStampedBidAsk</v>
      </c>
      <c r="O13" s="10" t="str">
        <v>{filename}</v>
      </c>
    </row>
    <row r="14" spans="1:15" x14ac:dyDescent="0.2">
      <c r="B14" s="6" t="s">
        <v>53</v>
      </c>
      <c r="C14" s="6">
        <f>B4</f>
        <v>1</v>
      </c>
      <c r="J14" s="10" t="str">
        <v>Handle does not point to underlying &lt;TimeSeriesFromFile&gt; type.</v>
      </c>
      <c r="K14" s="10" t="str">
        <v>Handle does not point to underlying &lt;TimeSeriesFromFile&gt; type.</v>
      </c>
      <c r="L14" s="10" t="str">
        <v>Handle does not point to underlying &lt;TimeSeriesFromFile&gt; type.</v>
      </c>
      <c r="N14" s="10" t="str">
        <v>remove</v>
      </c>
      <c r="O14" s="10" t="str">
        <v>{handle}</v>
      </c>
    </row>
    <row r="15" spans="1:15" x14ac:dyDescent="0.2">
      <c r="B15" s="6" t="s">
        <v>32</v>
      </c>
      <c r="C15" s="6">
        <v>0</v>
      </c>
      <c r="J15" s="10" t="str">
        <v>Handle does not point to underlying &lt;TimeSeriesFromFile&gt; type.</v>
      </c>
      <c r="K15" s="10" t="str">
        <v>Handle does not point to underlying &lt;TimeSeriesFromFile&gt; type.</v>
      </c>
      <c r="L15" s="10" t="str">
        <v>Handle does not point to underlying &lt;TimeSeriesFromFile&gt; type.</v>
      </c>
      <c r="N15" s="10" t="str">
        <v>simulate</v>
      </c>
      <c r="O15" s="10" t="str">
        <v>labelValue{..}</v>
      </c>
    </row>
    <row r="16" spans="1:15" x14ac:dyDescent="0.2">
      <c r="B16" s="6" t="s">
        <v>33</v>
      </c>
      <c r="C16" s="6">
        <v>30</v>
      </c>
      <c r="J16" s="10" t="str">
        <v>Handle does not point to underlying &lt;TimeSeriesFromFile&gt; type.</v>
      </c>
      <c r="K16" s="10" t="str">
        <v>Handle does not point to underlying &lt;TimeSeriesFromFile&gt; type.</v>
      </c>
      <c r="L16" s="10" t="str">
        <v>Handle does not point to underlying &lt;TimeSeriesFromFile&gt; type.</v>
      </c>
      <c r="N16" s="10" t="e">
        <v>#N/A</v>
      </c>
      <c r="O16" s="10" t="e">
        <v>#N/A</v>
      </c>
    </row>
    <row r="17" spans="1:18" x14ac:dyDescent="0.2">
      <c r="B17" s="6" t="s">
        <v>34</v>
      </c>
      <c r="C17" s="6">
        <v>1</v>
      </c>
      <c r="J17" s="10" t="str">
        <v>Handle does not point to underlying &lt;TimeSeriesFromFile&gt; type.</v>
      </c>
      <c r="K17" s="10" t="str">
        <v>Handle does not point to underlying &lt;TimeSeriesFromFile&gt; type.</v>
      </c>
      <c r="L17" s="10" t="str">
        <v>Handle does not point to underlying &lt;TimeSeriesFromFile&gt; type.</v>
      </c>
    </row>
    <row r="18" spans="1:18" x14ac:dyDescent="0.2">
      <c r="J18" s="10" t="str">
        <v>Handle does not point to underlying &lt;TimeSeriesFromFile&gt; type.</v>
      </c>
      <c r="K18" s="10" t="str">
        <v>Handle does not point to underlying &lt;TimeSeriesFromFile&gt; type.</v>
      </c>
      <c r="L18" s="10" t="str">
        <v>Handle does not point to underlying &lt;TimeSeriesFromFile&gt; type.</v>
      </c>
    </row>
    <row r="19" spans="1:18" x14ac:dyDescent="0.2">
      <c r="A19" t="s">
        <v>37</v>
      </c>
      <c r="J19" s="10" t="str">
        <v>Handle does not point to underlying &lt;TimeSeriesFromFile&gt; type.</v>
      </c>
      <c r="K19" s="10" t="str">
        <v>Handle does not point to underlying &lt;TimeSeriesFromFile&gt; type.</v>
      </c>
      <c r="L19" s="10" t="str">
        <v>Handle does not point to underlying &lt;TimeSeriesFromFile&gt; type.</v>
      </c>
    </row>
    <row r="20" spans="1:18" x14ac:dyDescent="0.2">
      <c r="B20" s="6" t="s">
        <v>62</v>
      </c>
      <c r="C20" s="9" t="s">
        <v>35</v>
      </c>
      <c r="E20" s="6" t="s">
        <v>62</v>
      </c>
      <c r="F20" s="9" t="s">
        <v>40</v>
      </c>
      <c r="G20" s="6" t="s">
        <v>62</v>
      </c>
      <c r="H20" s="9" t="s">
        <v>40</v>
      </c>
      <c r="J20" s="10" t="str">
        <v>Handle does not point to underlying &lt;TimeSeriesFromFile&gt; type.</v>
      </c>
      <c r="K20" s="10" t="str">
        <v>Handle does not point to underlying &lt;TimeSeriesFromFile&gt; type.</v>
      </c>
      <c r="L20" s="10" t="str">
        <v>Handle does not point to underlying &lt;TimeSeriesFromFile&gt; type.</v>
      </c>
      <c r="Q20" s="6" t="s">
        <v>62</v>
      </c>
      <c r="R20" s="9" t="s">
        <v>40</v>
      </c>
    </row>
    <row r="21" spans="1:18" x14ac:dyDescent="0.2">
      <c r="B21" s="6" t="s">
        <v>36</v>
      </c>
      <c r="C21" s="6">
        <v>50</v>
      </c>
      <c r="E21" s="6" t="s">
        <v>41</v>
      </c>
      <c r="F21" s="6">
        <v>0.4</v>
      </c>
      <c r="G21" s="6" t="s">
        <v>41</v>
      </c>
      <c r="H21" s="6">
        <v>0.9</v>
      </c>
      <c r="J21" s="10" t="str">
        <v>Handle does not point to underlying &lt;TimeSeriesFromFile&gt; type.</v>
      </c>
      <c r="K21" s="10" t="str">
        <v>Handle does not point to underlying &lt;TimeSeriesFromFile&gt; type.</v>
      </c>
      <c r="L21" s="10" t="str">
        <v>Handle does not point to underlying &lt;TimeSeriesFromFile&gt; type.</v>
      </c>
      <c r="N21" t="s">
        <v>47</v>
      </c>
      <c r="O21" s="10" t="str">
        <f>_xll.TimeSeries("clearAll")</f>
        <v>All handles have been freed.</v>
      </c>
      <c r="Q21" s="6" t="s">
        <v>41</v>
      </c>
      <c r="R21" s="6">
        <v>0.6</v>
      </c>
    </row>
    <row r="22" spans="1:18" x14ac:dyDescent="0.2">
      <c r="B22" s="13" t="s">
        <v>78</v>
      </c>
      <c r="C22" s="10">
        <f>_xll.TimeSeries("createIndicator",B20:C21)</f>
        <v>3</v>
      </c>
      <c r="E22" s="13" t="s">
        <v>78</v>
      </c>
      <c r="F22" s="10">
        <f>_xll.TimeSeries("createIndicator",E20:F21)</f>
        <v>5</v>
      </c>
      <c r="G22" s="13" t="s">
        <v>78</v>
      </c>
      <c r="H22" s="10">
        <f>_xll.TimeSeries("createIndicator",G20:H21)</f>
        <v>0</v>
      </c>
      <c r="J22" s="10" t="str">
        <v>Handle does not point to underlying &lt;TimeSeriesFromFile&gt; type.</v>
      </c>
      <c r="K22" s="10" t="str">
        <v>Handle does not point to underlying &lt;TimeSeriesFromFile&gt; type.</v>
      </c>
      <c r="L22" s="10" t="str">
        <v>Handle does not point to underlying &lt;TimeSeriesFromFile&gt; type.</v>
      </c>
      <c r="Q22" s="13" t="s">
        <v>78</v>
      </c>
      <c r="R22" s="10">
        <v>3</v>
      </c>
    </row>
    <row r="23" spans="1:18" x14ac:dyDescent="0.2">
      <c r="J23" s="10" t="str">
        <v>Handle does not point to underlying &lt;TimeSeriesFromFile&gt; type.</v>
      </c>
      <c r="K23" s="10" t="str">
        <v>Handle does not point to underlying &lt;TimeSeriesFromFile&gt; type.</v>
      </c>
      <c r="L23" s="10" t="str">
        <v>Handle does not point to underlying &lt;TimeSeriesFromFile&gt; type.</v>
      </c>
      <c r="R23" s="10" t="str">
        <f>_xll.TimeSeries("createIndicator",Q20:R22)</f>
        <v>Invalid handle.</v>
      </c>
    </row>
    <row r="24" spans="1:18" x14ac:dyDescent="0.2">
      <c r="J24" s="10" t="str">
        <v>Handle does not point to underlying &lt;TimeSeriesFromFile&gt; type.</v>
      </c>
      <c r="K24" s="10" t="str">
        <v>Handle does not point to underlying &lt;TimeSeriesFromFile&gt; type.</v>
      </c>
      <c r="L24" s="10" t="str">
        <v>Handle does not point to underlying &lt;TimeSeriesFromFile&gt; type.</v>
      </c>
    </row>
    <row r="25" spans="1:18" x14ac:dyDescent="0.2">
      <c r="J25" s="10" t="str">
        <v>Handle does not point to underlying &lt;TimeSeriesFromFile&gt; type.</v>
      </c>
      <c r="K25" s="10" t="str">
        <v>Handle does not point to underlying &lt;TimeSeriesFromFile&gt; type.</v>
      </c>
      <c r="L25" s="10" t="str">
        <v>Handle does not point to underlying &lt;TimeSeriesFromFile&gt; type.</v>
      </c>
    </row>
    <row r="26" spans="1:18" x14ac:dyDescent="0.2">
      <c r="B26" s="6" t="s">
        <v>62</v>
      </c>
      <c r="C26" s="9" t="s">
        <v>39</v>
      </c>
      <c r="E26" s="6" t="s">
        <v>62</v>
      </c>
      <c r="F26" s="9" t="s">
        <v>42</v>
      </c>
      <c r="G26" s="6" t="s">
        <v>62</v>
      </c>
      <c r="H26" s="9" t="s">
        <v>79</v>
      </c>
      <c r="J26" s="10" t="str">
        <v>Handle does not point to underlying &lt;TimeSeriesFromFile&gt; type.</v>
      </c>
      <c r="K26" s="10" t="str">
        <v>Handle does not point to underlying &lt;TimeSeriesFromFile&gt; type.</v>
      </c>
      <c r="L26" s="10" t="str">
        <v>Handle does not point to underlying &lt;TimeSeriesFromFile&gt; type.</v>
      </c>
    </row>
    <row r="27" spans="1:18" x14ac:dyDescent="0.2">
      <c r="B27" s="6" t="s">
        <v>36</v>
      </c>
      <c r="C27" s="6">
        <v>50</v>
      </c>
      <c r="E27" s="6" t="s">
        <v>41</v>
      </c>
      <c r="F27" s="6">
        <v>0.6</v>
      </c>
      <c r="G27" s="6" t="s">
        <v>80</v>
      </c>
      <c r="H27" s="6">
        <v>3</v>
      </c>
      <c r="J27" s="10" t="str">
        <v>Handle does not point to underlying &lt;TimeSeriesFromFile&gt; type.</v>
      </c>
      <c r="K27" s="10" t="str">
        <v>Handle does not point to underlying &lt;TimeSeriesFromFile&gt; type.</v>
      </c>
      <c r="L27" s="10" t="str">
        <v>Handle does not point to underlying &lt;TimeSeriesFromFile&gt; type.</v>
      </c>
    </row>
    <row r="28" spans="1:18" x14ac:dyDescent="0.2">
      <c r="B28" s="6" t="s">
        <v>38</v>
      </c>
      <c r="C28" s="6">
        <f>C22</f>
        <v>3</v>
      </c>
      <c r="E28" s="6" t="s">
        <v>38</v>
      </c>
      <c r="F28" s="6">
        <f>F22</f>
        <v>5</v>
      </c>
      <c r="G28" s="13" t="s">
        <v>78</v>
      </c>
      <c r="H28" s="10">
        <f>_xll.TimeSeries("createIndicator",G26:H27)</f>
        <v>5</v>
      </c>
      <c r="J28" s="10" t="str">
        <v>Handle does not point to underlying &lt;TimeSeriesFromFile&gt; type.</v>
      </c>
      <c r="K28" s="10" t="str">
        <v>Handle does not point to underlying &lt;TimeSeriesFromFile&gt; type.</v>
      </c>
      <c r="L28" s="10" t="str">
        <v>Handle does not point to underlying &lt;TimeSeriesFromFile&gt; type.</v>
      </c>
    </row>
    <row r="29" spans="1:18" x14ac:dyDescent="0.2">
      <c r="B29" s="13" t="s">
        <v>78</v>
      </c>
      <c r="C29" s="10">
        <f>_xll.TimeSeries("createIndicator",B26:C28)</f>
        <v>7</v>
      </c>
      <c r="E29" s="13" t="s">
        <v>78</v>
      </c>
      <c r="F29" s="10">
        <f>_xll.TimeSeries("createIndicator",E26:F28)</f>
        <v>11</v>
      </c>
      <c r="J29" s="10" t="str">
        <v>Handle does not point to underlying &lt;TimeSeriesFromFile&gt; type.</v>
      </c>
      <c r="K29" s="10" t="str">
        <v>Handle does not point to underlying &lt;TimeSeriesFromFile&gt; type.</v>
      </c>
      <c r="L29" s="10" t="str">
        <v>Handle does not point to underlying &lt;TimeSeriesFromFile&gt; type.</v>
      </c>
    </row>
    <row r="30" spans="1:18" x14ac:dyDescent="0.2">
      <c r="J30" s="10" t="str">
        <v>Handle does not point to underlying &lt;TimeSeriesFromFile&gt; type.</v>
      </c>
      <c r="K30" s="10" t="str">
        <v>Handle does not point to underlying &lt;TimeSeriesFromFile&gt; type.</v>
      </c>
      <c r="L30" s="10" t="str">
        <v>Handle does not point to underlying &lt;TimeSeriesFromFile&gt; type.</v>
      </c>
    </row>
    <row r="31" spans="1:18" x14ac:dyDescent="0.2">
      <c r="J31" s="10" t="str">
        <v>Handle does not point to underlying &lt;TimeSeriesFromFile&gt; type.</v>
      </c>
      <c r="K31" s="10" t="str">
        <v>Handle does not point to underlying &lt;TimeSeriesFromFile&gt; type.</v>
      </c>
      <c r="L31" s="10" t="str">
        <v>Handle does not point to underlying &lt;TimeSeriesFromFile&gt; type.</v>
      </c>
    </row>
    <row r="32" spans="1:18" x14ac:dyDescent="0.2">
      <c r="A32" t="s">
        <v>43</v>
      </c>
      <c r="E32" s="6" t="s">
        <v>62</v>
      </c>
      <c r="F32" s="12" t="s">
        <v>66</v>
      </c>
      <c r="J32" s="10" t="str">
        <v>Handle does not point to underlying &lt;TimeSeriesFromFile&gt; type.</v>
      </c>
      <c r="K32" s="10" t="str">
        <v>Handle does not point to underlying &lt;TimeSeriesFromFile&gt; type.</v>
      </c>
      <c r="L32" s="10" t="str">
        <v>Handle does not point to underlying &lt;TimeSeriesFromFile&gt; type.</v>
      </c>
    </row>
    <row r="33" spans="1:15" x14ac:dyDescent="0.2">
      <c r="B33" s="6" t="s">
        <v>53</v>
      </c>
      <c r="C33" s="6">
        <f>B4</f>
        <v>1</v>
      </c>
      <c r="E33" s="6" t="s">
        <v>36</v>
      </c>
      <c r="F33" s="6">
        <v>10</v>
      </c>
      <c r="J33" s="10" t="str">
        <v>Handle does not point to underlying &lt;TimeSeriesFromFile&gt; type.</v>
      </c>
      <c r="K33" s="10" t="str">
        <v>Handle does not point to underlying &lt;TimeSeriesFromFile&gt; type.</v>
      </c>
      <c r="L33" s="10" t="str">
        <v>Handle does not point to underlying &lt;TimeSeriesFromFile&gt; type.</v>
      </c>
    </row>
    <row r="34" spans="1:15" x14ac:dyDescent="0.2">
      <c r="B34" s="6" t="s">
        <v>32</v>
      </c>
      <c r="C34" s="6">
        <v>0</v>
      </c>
      <c r="E34" s="13" t="s">
        <v>78</v>
      </c>
      <c r="F34" s="10">
        <f>_xll.TimeSeries("createIndicator",E32:F33)</f>
        <v>2</v>
      </c>
      <c r="J34" s="10" t="str">
        <v>Handle does not point to underlying &lt;TimeSeriesFromFile&gt; type.</v>
      </c>
      <c r="K34" s="10" t="str">
        <v>Handle does not point to underlying &lt;TimeSeriesFromFile&gt; type.</v>
      </c>
      <c r="L34" s="10" t="str">
        <v>Handle does not point to underlying &lt;TimeSeriesFromFile&gt; type.</v>
      </c>
    </row>
    <row r="35" spans="1:15" x14ac:dyDescent="0.2">
      <c r="B35" s="6" t="s">
        <v>33</v>
      </c>
      <c r="C35" s="6">
        <v>500</v>
      </c>
    </row>
    <row r="36" spans="1:15" x14ac:dyDescent="0.2">
      <c r="B36" s="6" t="s">
        <v>44</v>
      </c>
      <c r="C36" s="6">
        <v>2</v>
      </c>
    </row>
    <row r="37" spans="1:15" x14ac:dyDescent="0.2">
      <c r="B37" s="6" t="s">
        <v>45</v>
      </c>
      <c r="C37" s="6">
        <v>3</v>
      </c>
      <c r="E37" s="6" t="s">
        <v>62</v>
      </c>
      <c r="F37" s="12" t="s">
        <v>67</v>
      </c>
    </row>
    <row r="38" spans="1:15" x14ac:dyDescent="0.2">
      <c r="B38" s="6" t="s">
        <v>46</v>
      </c>
      <c r="C38" s="6">
        <v>5</v>
      </c>
      <c r="E38" s="6" t="s">
        <v>36</v>
      </c>
      <c r="F38" s="6">
        <v>10</v>
      </c>
      <c r="J38" s="10" t="str">
        <f t="array" ref="J38:N490">_xll.TimeSeries("analyse",B33:C38)</f>
        <v>Handle does not point to underlying &lt;TimeSeriesFromFile&gt; type.</v>
      </c>
      <c r="K38" t="str">
        <v>Handle does not point to underlying &lt;TimeSeriesFromFile&gt; type.</v>
      </c>
      <c r="L38" t="str">
        <v>Handle does not point to underlying &lt;TimeSeriesFromFile&gt; type.</v>
      </c>
      <c r="M38" t="str">
        <v>Handle does not point to underlying &lt;TimeSeriesFromFile&gt; type.</v>
      </c>
      <c r="N38" t="str">
        <v>Handle does not point to underlying &lt;TimeSeriesFromFile&gt; type.</v>
      </c>
    </row>
    <row r="39" spans="1:15" x14ac:dyDescent="0.2">
      <c r="E39" s="6" t="s">
        <v>68</v>
      </c>
      <c r="F39" s="6">
        <f>C22</f>
        <v>3</v>
      </c>
      <c r="I39">
        <v>0</v>
      </c>
      <c r="J39" t="str">
        <v>Handle does not point to underlying &lt;TimeSeriesFromFile&gt; type.</v>
      </c>
      <c r="K39" t="str">
        <v>Handle does not point to underlying &lt;TimeSeriesFromFile&gt; type.</v>
      </c>
      <c r="L39" t="str">
        <v>Handle does not point to underlying &lt;TimeSeriesFromFile&gt; type.</v>
      </c>
      <c r="M39" t="str">
        <v>Handle does not point to underlying &lt;TimeSeriesFromFile&gt; type.</v>
      </c>
      <c r="N39" t="str">
        <v>Handle does not point to underlying &lt;TimeSeriesFromFile&gt; type.</v>
      </c>
      <c r="O39" t="e">
        <f t="shared" ref="O39:O70" si="0">M39-N39</f>
        <v>#VALUE!</v>
      </c>
    </row>
    <row r="40" spans="1:15" x14ac:dyDescent="0.2">
      <c r="E40" s="13" t="s">
        <v>78</v>
      </c>
      <c r="F40" s="10">
        <f>_xll.TimeSeries("createIndicator",E37:F39)</f>
        <v>8</v>
      </c>
      <c r="I40">
        <f>I39+1</f>
        <v>1</v>
      </c>
      <c r="J40" t="str">
        <v>Handle does not point to underlying &lt;TimeSeriesFromFile&gt; type.</v>
      </c>
      <c r="K40" t="str">
        <v>Handle does not point to underlying &lt;TimeSeriesFromFile&gt; type.</v>
      </c>
      <c r="L40" t="str">
        <v>Handle does not point to underlying &lt;TimeSeriesFromFile&gt; type.</v>
      </c>
      <c r="M40" t="str">
        <v>Handle does not point to underlying &lt;TimeSeriesFromFile&gt; type.</v>
      </c>
      <c r="N40" t="str">
        <v>Handle does not point to underlying &lt;TimeSeriesFromFile&gt; type.</v>
      </c>
      <c r="O40" t="e">
        <f t="shared" si="0"/>
        <v>#VALUE!</v>
      </c>
    </row>
    <row r="41" spans="1:15" x14ac:dyDescent="0.2">
      <c r="A41" t="s">
        <v>48</v>
      </c>
      <c r="B41" s="6" t="s">
        <v>49</v>
      </c>
      <c r="C41" s="6">
        <v>6</v>
      </c>
      <c r="I41">
        <f t="shared" ref="I41:I104" si="1">I40+1</f>
        <v>2</v>
      </c>
      <c r="J41" t="str">
        <v>Handle does not point to underlying &lt;TimeSeriesFromFile&gt; type.</v>
      </c>
      <c r="K41" t="str">
        <v>Handle does not point to underlying &lt;TimeSeriesFromFile&gt; type.</v>
      </c>
      <c r="L41" t="str">
        <v>Handle does not point to underlying &lt;TimeSeriesFromFile&gt; type.</v>
      </c>
      <c r="M41" t="str">
        <v>Handle does not point to underlying &lt;TimeSeriesFromFile&gt; type.</v>
      </c>
      <c r="N41" t="str">
        <v>Handle does not point to underlying &lt;TimeSeriesFromFile&gt; type.</v>
      </c>
      <c r="O41" t="e">
        <f t="shared" si="0"/>
        <v>#VALUE!</v>
      </c>
    </row>
    <row r="42" spans="1:15" x14ac:dyDescent="0.2">
      <c r="B42" s="13" t="s">
        <v>78</v>
      </c>
      <c r="C42" s="10">
        <f>_xll.TimeSeries("createMarket",B41:C41)</f>
        <v>4</v>
      </c>
      <c r="I42">
        <f t="shared" si="1"/>
        <v>3</v>
      </c>
      <c r="J42" t="str">
        <v>Handle does not point to underlying &lt;TimeSeriesFromFile&gt; type.</v>
      </c>
      <c r="K42" t="str">
        <v>Handle does not point to underlying &lt;TimeSeriesFromFile&gt; type.</v>
      </c>
      <c r="L42" t="str">
        <v>Handle does not point to underlying &lt;TimeSeriesFromFile&gt; type.</v>
      </c>
      <c r="M42" t="str">
        <v>Handle does not point to underlying &lt;TimeSeriesFromFile&gt; type.</v>
      </c>
      <c r="N42" t="str">
        <v>Handle does not point to underlying &lt;TimeSeriesFromFile&gt; type.</v>
      </c>
      <c r="O42" t="e">
        <f t="shared" si="0"/>
        <v>#VALUE!</v>
      </c>
    </row>
    <row r="43" spans="1:15" x14ac:dyDescent="0.2">
      <c r="I43">
        <f t="shared" si="1"/>
        <v>4</v>
      </c>
      <c r="J43" t="str">
        <v>Handle does not point to underlying &lt;TimeSeriesFromFile&gt; type.</v>
      </c>
      <c r="K43" t="str">
        <v>Handle does not point to underlying &lt;TimeSeriesFromFile&gt; type.</v>
      </c>
      <c r="L43" t="str">
        <v>Handle does not point to underlying &lt;TimeSeriesFromFile&gt; type.</v>
      </c>
      <c r="M43" t="str">
        <v>Handle does not point to underlying &lt;TimeSeriesFromFile&gt; type.</v>
      </c>
      <c r="N43" t="str">
        <v>Handle does not point to underlying &lt;TimeSeriesFromFile&gt; type.</v>
      </c>
      <c r="O43" t="e">
        <f t="shared" si="0"/>
        <v>#VALUE!</v>
      </c>
    </row>
    <row r="44" spans="1:15" x14ac:dyDescent="0.2">
      <c r="I44">
        <f t="shared" si="1"/>
        <v>5</v>
      </c>
      <c r="J44" t="str">
        <v>Handle does not point to underlying &lt;TimeSeriesFromFile&gt; type.</v>
      </c>
      <c r="K44" t="str">
        <v>Handle does not point to underlying &lt;TimeSeriesFromFile&gt; type.</v>
      </c>
      <c r="L44" t="str">
        <v>Handle does not point to underlying &lt;TimeSeriesFromFile&gt; type.</v>
      </c>
      <c r="M44" t="str">
        <v>Handle does not point to underlying &lt;TimeSeriesFromFile&gt; type.</v>
      </c>
      <c r="N44" t="str">
        <v>Handle does not point to underlying &lt;TimeSeriesFromFile&gt; type.</v>
      </c>
      <c r="O44" t="e">
        <f t="shared" si="0"/>
        <v>#VALUE!</v>
      </c>
    </row>
    <row r="45" spans="1:15" x14ac:dyDescent="0.2">
      <c r="I45">
        <f t="shared" si="1"/>
        <v>6</v>
      </c>
      <c r="J45" t="str">
        <v>Handle does not point to underlying &lt;TimeSeriesFromFile&gt; type.</v>
      </c>
      <c r="K45" t="str">
        <v>Handle does not point to underlying &lt;TimeSeriesFromFile&gt; type.</v>
      </c>
      <c r="L45" t="str">
        <v>Handle does not point to underlying &lt;TimeSeriesFromFile&gt; type.</v>
      </c>
      <c r="M45" t="str">
        <v>Handle does not point to underlying &lt;TimeSeriesFromFile&gt; type.</v>
      </c>
      <c r="N45" t="str">
        <v>Handle does not point to underlying &lt;TimeSeriesFromFile&gt; type.</v>
      </c>
      <c r="O45" t="e">
        <f t="shared" si="0"/>
        <v>#VALUE!</v>
      </c>
    </row>
    <row r="46" spans="1:15" x14ac:dyDescent="0.2">
      <c r="A46" t="s">
        <v>50</v>
      </c>
      <c r="I46">
        <f t="shared" si="1"/>
        <v>7</v>
      </c>
      <c r="J46" t="str">
        <v>Handle does not point to underlying &lt;TimeSeriesFromFile&gt; type.</v>
      </c>
      <c r="K46" t="str">
        <v>Handle does not point to underlying &lt;TimeSeriesFromFile&gt; type.</v>
      </c>
      <c r="L46" t="str">
        <v>Handle does not point to underlying &lt;TimeSeriesFromFile&gt; type.</v>
      </c>
      <c r="M46" t="str">
        <v>Handle does not point to underlying &lt;TimeSeriesFromFile&gt; type.</v>
      </c>
      <c r="N46" t="str">
        <v>Handle does not point to underlying &lt;TimeSeriesFromFile&gt; type.</v>
      </c>
      <c r="O46" t="e">
        <f t="shared" si="0"/>
        <v>#VALUE!</v>
      </c>
    </row>
    <row r="47" spans="1:15" x14ac:dyDescent="0.2">
      <c r="B47" s="6" t="s">
        <v>52</v>
      </c>
      <c r="C47" s="6">
        <v>-3</v>
      </c>
      <c r="I47">
        <f t="shared" si="1"/>
        <v>8</v>
      </c>
      <c r="J47" t="str">
        <v>Handle does not point to underlying &lt;TimeSeriesFromFile&gt; type.</v>
      </c>
      <c r="K47" t="str">
        <v>Handle does not point to underlying &lt;TimeSeriesFromFile&gt; type.</v>
      </c>
      <c r="L47" t="str">
        <v>Handle does not point to underlying &lt;TimeSeriesFromFile&gt; type.</v>
      </c>
      <c r="M47" t="str">
        <v>Handle does not point to underlying &lt;TimeSeriesFromFile&gt; type.</v>
      </c>
      <c r="N47" t="str">
        <v>Handle does not point to underlying &lt;TimeSeriesFromFile&gt; type.</v>
      </c>
      <c r="O47" t="e">
        <f t="shared" si="0"/>
        <v>#VALUE!</v>
      </c>
    </row>
    <row r="48" spans="1:15" x14ac:dyDescent="0.2">
      <c r="B48" s="6" t="s">
        <v>55</v>
      </c>
      <c r="C48" s="6">
        <v>3</v>
      </c>
      <c r="I48">
        <f t="shared" si="1"/>
        <v>9</v>
      </c>
      <c r="J48" t="str">
        <v>Handle does not point to underlying &lt;TimeSeriesFromFile&gt; type.</v>
      </c>
      <c r="K48" t="str">
        <v>Handle does not point to underlying &lt;TimeSeriesFromFile&gt; type.</v>
      </c>
      <c r="L48" t="str">
        <v>Handle does not point to underlying &lt;TimeSeriesFromFile&gt; type.</v>
      </c>
      <c r="M48" t="str">
        <v>Handle does not point to underlying &lt;TimeSeriesFromFile&gt; type.</v>
      </c>
      <c r="N48" t="str">
        <v>Handle does not point to underlying &lt;TimeSeriesFromFile&gt; type.</v>
      </c>
      <c r="O48" t="e">
        <f t="shared" si="0"/>
        <v>#VALUE!</v>
      </c>
    </row>
    <row r="49" spans="1:15" x14ac:dyDescent="0.2">
      <c r="B49" s="6" t="s">
        <v>54</v>
      </c>
      <c r="C49" s="6">
        <f>C42</f>
        <v>4</v>
      </c>
      <c r="I49">
        <f t="shared" si="1"/>
        <v>10</v>
      </c>
      <c r="J49" t="str">
        <v>Handle does not point to underlying &lt;TimeSeriesFromFile&gt; type.</v>
      </c>
      <c r="K49" t="str">
        <v>Handle does not point to underlying &lt;TimeSeriesFromFile&gt; type.</v>
      </c>
      <c r="L49" t="str">
        <v>Handle does not point to underlying &lt;TimeSeriesFromFile&gt; type.</v>
      </c>
      <c r="M49" t="str">
        <v>Handle does not point to underlying &lt;TimeSeriesFromFile&gt; type.</v>
      </c>
      <c r="N49" t="str">
        <v>Handle does not point to underlying &lt;TimeSeriesFromFile&gt; type.</v>
      </c>
      <c r="O49" t="e">
        <f t="shared" si="0"/>
        <v>#VALUE!</v>
      </c>
    </row>
    <row r="50" spans="1:15" x14ac:dyDescent="0.2">
      <c r="B50" s="13" t="s">
        <v>78</v>
      </c>
      <c r="C50" s="10">
        <f>_xll.TimeSeries("createTrader",B47:C49)</f>
        <v>9</v>
      </c>
      <c r="I50">
        <f t="shared" si="1"/>
        <v>11</v>
      </c>
      <c r="J50" t="str">
        <v>Handle does not point to underlying &lt;TimeSeriesFromFile&gt; type.</v>
      </c>
      <c r="K50" t="str">
        <v>Handle does not point to underlying &lt;TimeSeriesFromFile&gt; type.</v>
      </c>
      <c r="L50" t="str">
        <v>Handle does not point to underlying &lt;TimeSeriesFromFile&gt; type.</v>
      </c>
      <c r="M50" t="str">
        <v>Handle does not point to underlying &lt;TimeSeriesFromFile&gt; type.</v>
      </c>
      <c r="N50" t="str">
        <v>Handle does not point to underlying &lt;TimeSeriesFromFile&gt; type.</v>
      </c>
      <c r="O50" t="e">
        <f t="shared" si="0"/>
        <v>#VALUE!</v>
      </c>
    </row>
    <row r="51" spans="1:15" x14ac:dyDescent="0.2">
      <c r="I51">
        <f t="shared" si="1"/>
        <v>12</v>
      </c>
      <c r="J51" t="str">
        <v>Handle does not point to underlying &lt;TimeSeriesFromFile&gt; type.</v>
      </c>
      <c r="K51" t="str">
        <v>Handle does not point to underlying &lt;TimeSeriesFromFile&gt; type.</v>
      </c>
      <c r="L51" t="str">
        <v>Handle does not point to underlying &lt;TimeSeriesFromFile&gt; type.</v>
      </c>
      <c r="M51" t="str">
        <v>Handle does not point to underlying &lt;TimeSeriesFromFile&gt; type.</v>
      </c>
      <c r="N51" t="str">
        <v>Handle does not point to underlying &lt;TimeSeriesFromFile&gt; type.</v>
      </c>
      <c r="O51" t="e">
        <f t="shared" si="0"/>
        <v>#VALUE!</v>
      </c>
    </row>
    <row r="52" spans="1:15" x14ac:dyDescent="0.2">
      <c r="I52">
        <f t="shared" si="1"/>
        <v>13</v>
      </c>
      <c r="J52" t="str">
        <v>Handle does not point to underlying &lt;TimeSeriesFromFile&gt; type.</v>
      </c>
      <c r="K52" t="str">
        <v>Handle does not point to underlying &lt;TimeSeriesFromFile&gt; type.</v>
      </c>
      <c r="L52" t="str">
        <v>Handle does not point to underlying &lt;TimeSeriesFromFile&gt; type.</v>
      </c>
      <c r="M52" t="str">
        <v>Handle does not point to underlying &lt;TimeSeriesFromFile&gt; type.</v>
      </c>
      <c r="N52" t="str">
        <v>Handle does not point to underlying &lt;TimeSeriesFromFile&gt; type.</v>
      </c>
      <c r="O52" t="e">
        <f t="shared" si="0"/>
        <v>#VALUE!</v>
      </c>
    </row>
    <row r="53" spans="1:15" x14ac:dyDescent="0.2">
      <c r="A53" t="s">
        <v>51</v>
      </c>
      <c r="I53">
        <f t="shared" si="1"/>
        <v>14</v>
      </c>
      <c r="J53" t="str">
        <v>Handle does not point to underlying &lt;TimeSeriesFromFile&gt; type.</v>
      </c>
      <c r="K53" t="str">
        <v>Handle does not point to underlying &lt;TimeSeriesFromFile&gt; type.</v>
      </c>
      <c r="L53" t="str">
        <v>Handle does not point to underlying &lt;TimeSeriesFromFile&gt; type.</v>
      </c>
      <c r="M53" t="str">
        <v>Handle does not point to underlying &lt;TimeSeriesFromFile&gt; type.</v>
      </c>
      <c r="N53" t="str">
        <v>Handle does not point to underlying &lt;TimeSeriesFromFile&gt; type.</v>
      </c>
      <c r="O53" t="e">
        <f t="shared" si="0"/>
        <v>#VALUE!</v>
      </c>
    </row>
    <row r="54" spans="1:15" x14ac:dyDescent="0.2">
      <c r="B54" s="6" t="s">
        <v>52</v>
      </c>
      <c r="C54" s="6">
        <v>-3</v>
      </c>
      <c r="E54" s="6" t="s">
        <v>52</v>
      </c>
      <c r="F54" s="6">
        <v>-3</v>
      </c>
      <c r="I54">
        <f t="shared" si="1"/>
        <v>15</v>
      </c>
      <c r="J54" t="str">
        <v>Handle does not point to underlying &lt;TimeSeriesFromFile&gt; type.</v>
      </c>
      <c r="K54" t="str">
        <v>Handle does not point to underlying &lt;TimeSeriesFromFile&gt; type.</v>
      </c>
      <c r="L54" t="str">
        <v>Handle does not point to underlying &lt;TimeSeriesFromFile&gt; type.</v>
      </c>
      <c r="M54" t="str">
        <v>Handle does not point to underlying &lt;TimeSeriesFromFile&gt; type.</v>
      </c>
      <c r="N54" t="str">
        <v>Handle does not point to underlying &lt;TimeSeriesFromFile&gt; type.</v>
      </c>
      <c r="O54" t="e">
        <f t="shared" si="0"/>
        <v>#VALUE!</v>
      </c>
    </row>
    <row r="55" spans="1:15" x14ac:dyDescent="0.2">
      <c r="B55" s="6" t="s">
        <v>55</v>
      </c>
      <c r="C55" s="6">
        <v>3</v>
      </c>
      <c r="E55" s="6" t="s">
        <v>55</v>
      </c>
      <c r="F55" s="6">
        <v>3</v>
      </c>
      <c r="I55">
        <f t="shared" si="1"/>
        <v>16</v>
      </c>
      <c r="J55" t="str">
        <v>Handle does not point to underlying &lt;TimeSeriesFromFile&gt; type.</v>
      </c>
      <c r="K55" t="str">
        <v>Handle does not point to underlying &lt;TimeSeriesFromFile&gt; type.</v>
      </c>
      <c r="L55" t="str">
        <v>Handle does not point to underlying &lt;TimeSeriesFromFile&gt; type.</v>
      </c>
      <c r="M55" t="str">
        <v>Handle does not point to underlying &lt;TimeSeriesFromFile&gt; type.</v>
      </c>
      <c r="N55" t="str">
        <v>Handle does not point to underlying &lt;TimeSeriesFromFile&gt; type.</v>
      </c>
      <c r="O55" t="e">
        <f t="shared" si="0"/>
        <v>#VALUE!</v>
      </c>
    </row>
    <row r="56" spans="1:15" x14ac:dyDescent="0.2">
      <c r="B56" s="6" t="s">
        <v>54</v>
      </c>
      <c r="C56" s="6">
        <f>C42</f>
        <v>4</v>
      </c>
      <c r="E56" s="6" t="s">
        <v>54</v>
      </c>
      <c r="F56" s="6">
        <f>F42</f>
        <v>0</v>
      </c>
      <c r="I56">
        <f t="shared" si="1"/>
        <v>17</v>
      </c>
      <c r="J56" t="str">
        <v>Handle does not point to underlying &lt;TimeSeriesFromFile&gt; type.</v>
      </c>
      <c r="K56" t="str">
        <v>Handle does not point to underlying &lt;TimeSeriesFromFile&gt; type.</v>
      </c>
      <c r="L56" t="str">
        <v>Handle does not point to underlying &lt;TimeSeriesFromFile&gt; type.</v>
      </c>
      <c r="M56" t="str">
        <v>Handle does not point to underlying &lt;TimeSeriesFromFile&gt; type.</v>
      </c>
      <c r="N56" t="str">
        <v>Handle does not point to underlying &lt;TimeSeriesFromFile&gt; type.</v>
      </c>
      <c r="O56" t="e">
        <f t="shared" si="0"/>
        <v>#VALUE!</v>
      </c>
    </row>
    <row r="57" spans="1:15" x14ac:dyDescent="0.2">
      <c r="B57" s="6" t="s">
        <v>56</v>
      </c>
      <c r="C57" s="6">
        <f>C50</f>
        <v>9</v>
      </c>
      <c r="E57" s="6" t="s">
        <v>56</v>
      </c>
      <c r="F57" s="6">
        <f>F50</f>
        <v>0</v>
      </c>
      <c r="I57">
        <f t="shared" si="1"/>
        <v>18</v>
      </c>
      <c r="J57" t="str">
        <v>Handle does not point to underlying &lt;TimeSeriesFromFile&gt; type.</v>
      </c>
      <c r="K57" t="str">
        <v>Handle does not point to underlying &lt;TimeSeriesFromFile&gt; type.</v>
      </c>
      <c r="L57" t="str">
        <v>Handle does not point to underlying &lt;TimeSeriesFromFile&gt; type.</v>
      </c>
      <c r="M57" t="str">
        <v>Handle does not point to underlying &lt;TimeSeriesFromFile&gt; type.</v>
      </c>
      <c r="N57" t="str">
        <v>Handle does not point to underlying &lt;TimeSeriesFromFile&gt; type.</v>
      </c>
      <c r="O57" t="e">
        <f t="shared" si="0"/>
        <v>#VALUE!</v>
      </c>
    </row>
    <row r="58" spans="1:15" x14ac:dyDescent="0.2">
      <c r="B58" s="6" t="s">
        <v>61</v>
      </c>
      <c r="C58" s="14" t="s">
        <v>71</v>
      </c>
      <c r="E58" s="6" t="s">
        <v>61</v>
      </c>
      <c r="F58" s="14" t="s">
        <v>73</v>
      </c>
      <c r="I58">
        <f t="shared" si="1"/>
        <v>19</v>
      </c>
      <c r="J58" t="str">
        <v>Handle does not point to underlying &lt;TimeSeriesFromFile&gt; type.</v>
      </c>
      <c r="K58" t="str">
        <v>Handle does not point to underlying &lt;TimeSeriesFromFile&gt; type.</v>
      </c>
      <c r="L58" t="str">
        <v>Handle does not point to underlying &lt;TimeSeriesFromFile&gt; type.</v>
      </c>
      <c r="M58" t="str">
        <v>Handle does not point to underlying &lt;TimeSeriesFromFile&gt; type.</v>
      </c>
      <c r="N58" t="str">
        <v>Handle does not point to underlying &lt;TimeSeriesFromFile&gt; type.</v>
      </c>
      <c r="O58" t="e">
        <f t="shared" si="0"/>
        <v>#VALUE!</v>
      </c>
    </row>
    <row r="59" spans="1:15" x14ac:dyDescent="0.2">
      <c r="B59" s="6" t="s">
        <v>44</v>
      </c>
      <c r="C59" s="6">
        <v>2</v>
      </c>
      <c r="E59" s="6" t="s">
        <v>44</v>
      </c>
      <c r="F59" s="6">
        <v>2</v>
      </c>
      <c r="I59">
        <f t="shared" si="1"/>
        <v>20</v>
      </c>
      <c r="J59" t="str">
        <v>Handle does not point to underlying &lt;TimeSeriesFromFile&gt; type.</v>
      </c>
      <c r="K59" t="str">
        <v>Handle does not point to underlying &lt;TimeSeriesFromFile&gt; type.</v>
      </c>
      <c r="L59" t="str">
        <v>Handle does not point to underlying &lt;TimeSeriesFromFile&gt; type.</v>
      </c>
      <c r="M59" t="str">
        <v>Handle does not point to underlying &lt;TimeSeriesFromFile&gt; type.</v>
      </c>
      <c r="N59" t="str">
        <v>Handle does not point to underlying &lt;TimeSeriesFromFile&gt; type.</v>
      </c>
      <c r="O59" t="e">
        <f t="shared" si="0"/>
        <v>#VALUE!</v>
      </c>
    </row>
    <row r="60" spans="1:15" x14ac:dyDescent="0.2">
      <c r="B60" s="6" t="s">
        <v>45</v>
      </c>
      <c r="C60" s="6">
        <f>F22</f>
        <v>5</v>
      </c>
      <c r="D60" t="str">
        <f>F20</f>
        <v>ema</v>
      </c>
      <c r="E60" s="6" t="s">
        <v>45</v>
      </c>
      <c r="F60" s="6">
        <v>8</v>
      </c>
      <c r="G60" s="13" t="s">
        <v>81</v>
      </c>
      <c r="I60">
        <f t="shared" si="1"/>
        <v>21</v>
      </c>
      <c r="J60" t="str">
        <v>Handle does not point to underlying &lt;TimeSeriesFromFile&gt; type.</v>
      </c>
      <c r="K60" t="str">
        <v>Handle does not point to underlying &lt;TimeSeriesFromFile&gt; type.</v>
      </c>
      <c r="L60" t="str">
        <v>Handle does not point to underlying &lt;TimeSeriesFromFile&gt; type.</v>
      </c>
      <c r="M60" t="str">
        <v>Handle does not point to underlying &lt;TimeSeriesFromFile&gt; type.</v>
      </c>
      <c r="N60" t="str">
        <v>Handle does not point to underlying &lt;TimeSeriesFromFile&gt; type.</v>
      </c>
      <c r="O60" t="e">
        <f t="shared" si="0"/>
        <v>#VALUE!</v>
      </c>
    </row>
    <row r="61" spans="1:15" x14ac:dyDescent="0.2">
      <c r="B61" s="6" t="s">
        <v>46</v>
      </c>
      <c r="C61" s="6">
        <f>F29</f>
        <v>11</v>
      </c>
      <c r="D61" t="str">
        <f>F26</f>
        <v>emadev</v>
      </c>
      <c r="E61" s="6" t="s">
        <v>46</v>
      </c>
      <c r="F61" s="6">
        <f>F22</f>
        <v>5</v>
      </c>
      <c r="G61" s="13" t="s">
        <v>82</v>
      </c>
      <c r="I61">
        <f t="shared" si="1"/>
        <v>22</v>
      </c>
      <c r="J61" t="str">
        <v>Handle does not point to underlying &lt;TimeSeriesFromFile&gt; type.</v>
      </c>
      <c r="K61" t="str">
        <v>Handle does not point to underlying &lt;TimeSeriesFromFile&gt; type.</v>
      </c>
      <c r="L61" t="str">
        <v>Handle does not point to underlying &lt;TimeSeriesFromFile&gt; type.</v>
      </c>
      <c r="M61" t="str">
        <v>Handle does not point to underlying &lt;TimeSeriesFromFile&gt; type.</v>
      </c>
      <c r="N61" t="str">
        <v>Handle does not point to underlying &lt;TimeSeriesFromFile&gt; type.</v>
      </c>
      <c r="O61" t="e">
        <f t="shared" si="0"/>
        <v>#VALUE!</v>
      </c>
    </row>
    <row r="62" spans="1:15" x14ac:dyDescent="0.2">
      <c r="B62" s="6" t="s">
        <v>63</v>
      </c>
      <c r="C62" s="6">
        <f>C22</f>
        <v>3</v>
      </c>
      <c r="D62" t="s">
        <v>35</v>
      </c>
      <c r="E62" s="15" t="s">
        <v>72</v>
      </c>
      <c r="F62" s="6">
        <v>0.06</v>
      </c>
      <c r="I62">
        <f t="shared" si="1"/>
        <v>23</v>
      </c>
      <c r="J62" t="str">
        <v>Handle does not point to underlying &lt;TimeSeriesFromFile&gt; type.</v>
      </c>
      <c r="K62" t="str">
        <v>Handle does not point to underlying &lt;TimeSeriesFromFile&gt; type.</v>
      </c>
      <c r="L62" t="str">
        <v>Handle does not point to underlying &lt;TimeSeriesFromFile&gt; type.</v>
      </c>
      <c r="M62" t="str">
        <v>Handle does not point to underlying &lt;TimeSeriesFromFile&gt; type.</v>
      </c>
      <c r="N62" t="str">
        <v>Handle does not point to underlying &lt;TimeSeriesFromFile&gt; type.</v>
      </c>
      <c r="O62" t="e">
        <f t="shared" si="0"/>
        <v>#VALUE!</v>
      </c>
    </row>
    <row r="63" spans="1:15" x14ac:dyDescent="0.2">
      <c r="B63" s="6" t="s">
        <v>64</v>
      </c>
      <c r="C63" s="6">
        <f>C29</f>
        <v>7</v>
      </c>
      <c r="D63" t="s">
        <v>39</v>
      </c>
      <c r="E63" s="13" t="s">
        <v>78</v>
      </c>
      <c r="F63" s="10" t="str">
        <f>_xll.TimeSeries("createStrategy",E54:F62)</f>
        <v>Handle does not point to underlying &lt;traderT&gt; type.</v>
      </c>
      <c r="I63">
        <f t="shared" si="1"/>
        <v>24</v>
      </c>
      <c r="J63" t="str">
        <v>Handle does not point to underlying &lt;TimeSeriesFromFile&gt; type.</v>
      </c>
      <c r="K63" t="str">
        <v>Handle does not point to underlying &lt;TimeSeriesFromFile&gt; type.</v>
      </c>
      <c r="L63" t="str">
        <v>Handle does not point to underlying &lt;TimeSeriesFromFile&gt; type.</v>
      </c>
      <c r="M63" t="str">
        <v>Handle does not point to underlying &lt;TimeSeriesFromFile&gt; type.</v>
      </c>
      <c r="N63" t="str">
        <v>Handle does not point to underlying &lt;TimeSeriesFromFile&gt; type.</v>
      </c>
      <c r="O63" t="e">
        <f t="shared" si="0"/>
        <v>#VALUE!</v>
      </c>
    </row>
    <row r="64" spans="1:15" x14ac:dyDescent="0.2">
      <c r="B64" s="6" t="s">
        <v>57</v>
      </c>
      <c r="C64" s="6">
        <v>0.5</v>
      </c>
      <c r="I64">
        <f t="shared" si="1"/>
        <v>25</v>
      </c>
      <c r="J64" t="str">
        <v>Handle does not point to underlying &lt;TimeSeriesFromFile&gt; type.</v>
      </c>
      <c r="K64" t="str">
        <v>Handle does not point to underlying &lt;TimeSeriesFromFile&gt; type.</v>
      </c>
      <c r="L64" t="str">
        <v>Handle does not point to underlying &lt;TimeSeriesFromFile&gt; type.</v>
      </c>
      <c r="M64" t="str">
        <v>Handle does not point to underlying &lt;TimeSeriesFromFile&gt; type.</v>
      </c>
      <c r="N64" t="str">
        <v>Handle does not point to underlying &lt;TimeSeriesFromFile&gt; type.</v>
      </c>
      <c r="O64" t="e">
        <f t="shared" si="0"/>
        <v>#VALUE!</v>
      </c>
    </row>
    <row r="65" spans="1:15" x14ac:dyDescent="0.2">
      <c r="B65" s="6" t="s">
        <v>58</v>
      </c>
      <c r="C65" s="6">
        <v>0</v>
      </c>
      <c r="I65">
        <f t="shared" si="1"/>
        <v>26</v>
      </c>
      <c r="J65" t="str">
        <v>Handle does not point to underlying &lt;TimeSeriesFromFile&gt; type.</v>
      </c>
      <c r="K65" t="str">
        <v>Handle does not point to underlying &lt;TimeSeriesFromFile&gt; type.</v>
      </c>
      <c r="L65" t="str">
        <v>Handle does not point to underlying &lt;TimeSeriesFromFile&gt; type.</v>
      </c>
      <c r="M65" t="str">
        <v>Handle does not point to underlying &lt;TimeSeriesFromFile&gt; type.</v>
      </c>
      <c r="N65" t="str">
        <v>Handle does not point to underlying &lt;TimeSeriesFromFile&gt; type.</v>
      </c>
      <c r="O65" t="e">
        <f t="shared" si="0"/>
        <v>#VALUE!</v>
      </c>
    </row>
    <row r="66" spans="1:15" x14ac:dyDescent="0.2">
      <c r="B66" s="13" t="s">
        <v>78</v>
      </c>
      <c r="C66" s="10">
        <f>_xll.TimeSeries("createStrategy",B54:C65)</f>
        <v>12</v>
      </c>
      <c r="I66">
        <f t="shared" si="1"/>
        <v>27</v>
      </c>
      <c r="J66" t="str">
        <v>Handle does not point to underlying &lt;TimeSeriesFromFile&gt; type.</v>
      </c>
      <c r="K66" t="str">
        <v>Handle does not point to underlying &lt;TimeSeriesFromFile&gt; type.</v>
      </c>
      <c r="L66" t="str">
        <v>Handle does not point to underlying &lt;TimeSeriesFromFile&gt; type.</v>
      </c>
      <c r="M66" t="str">
        <v>Handle does not point to underlying &lt;TimeSeriesFromFile&gt; type.</v>
      </c>
      <c r="N66" t="str">
        <v>Handle does not point to underlying &lt;TimeSeriesFromFile&gt; type.</v>
      </c>
      <c r="O66" t="e">
        <f t="shared" si="0"/>
        <v>#VALUE!</v>
      </c>
    </row>
    <row r="67" spans="1:15" x14ac:dyDescent="0.2">
      <c r="I67">
        <f t="shared" si="1"/>
        <v>28</v>
      </c>
      <c r="J67" t="str">
        <v>Handle does not point to underlying &lt;TimeSeriesFromFile&gt; type.</v>
      </c>
      <c r="K67" t="str">
        <v>Handle does not point to underlying &lt;TimeSeriesFromFile&gt; type.</v>
      </c>
      <c r="L67" t="str">
        <v>Handle does not point to underlying &lt;TimeSeriesFromFile&gt; type.</v>
      </c>
      <c r="M67" t="str">
        <v>Handle does not point to underlying &lt;TimeSeriesFromFile&gt; type.</v>
      </c>
      <c r="N67" t="str">
        <v>Handle does not point to underlying &lt;TimeSeriesFromFile&gt; type.</v>
      </c>
      <c r="O67" t="e">
        <f t="shared" si="0"/>
        <v>#VALUE!</v>
      </c>
    </row>
    <row r="68" spans="1:15" x14ac:dyDescent="0.2">
      <c r="I68">
        <f t="shared" si="1"/>
        <v>29</v>
      </c>
      <c r="J68" t="str">
        <v>Handle does not point to underlying &lt;TimeSeriesFromFile&gt; type.</v>
      </c>
      <c r="K68" t="str">
        <v>Handle does not point to underlying &lt;TimeSeriesFromFile&gt; type.</v>
      </c>
      <c r="L68" t="str">
        <v>Handle does not point to underlying &lt;TimeSeriesFromFile&gt; type.</v>
      </c>
      <c r="M68" t="str">
        <v>Handle does not point to underlying &lt;TimeSeriesFromFile&gt; type.</v>
      </c>
      <c r="N68" t="str">
        <v>Handle does not point to underlying &lt;TimeSeriesFromFile&gt; type.</v>
      </c>
      <c r="O68" t="e">
        <f t="shared" si="0"/>
        <v>#VALUE!</v>
      </c>
    </row>
    <row r="69" spans="1:15" x14ac:dyDescent="0.2">
      <c r="I69">
        <f t="shared" si="1"/>
        <v>30</v>
      </c>
      <c r="J69" t="str">
        <v>Handle does not point to underlying &lt;TimeSeriesFromFile&gt; type.</v>
      </c>
      <c r="K69" t="str">
        <v>Handle does not point to underlying &lt;TimeSeriesFromFile&gt; type.</v>
      </c>
      <c r="L69" t="str">
        <v>Handle does not point to underlying &lt;TimeSeriesFromFile&gt; type.</v>
      </c>
      <c r="M69" t="str">
        <v>Handle does not point to underlying &lt;TimeSeriesFromFile&gt; type.</v>
      </c>
      <c r="N69" t="str">
        <v>Handle does not point to underlying &lt;TimeSeriesFromFile&gt; type.</v>
      </c>
      <c r="O69" t="e">
        <f t="shared" si="0"/>
        <v>#VALUE!</v>
      </c>
    </row>
    <row r="70" spans="1:15" x14ac:dyDescent="0.2">
      <c r="A70" t="s">
        <v>59</v>
      </c>
      <c r="I70">
        <f t="shared" si="1"/>
        <v>31</v>
      </c>
      <c r="J70" t="str">
        <v>Handle does not point to underlying &lt;TimeSeriesFromFile&gt; type.</v>
      </c>
      <c r="K70" t="str">
        <v>Handle does not point to underlying &lt;TimeSeriesFromFile&gt; type.</v>
      </c>
      <c r="L70" t="str">
        <v>Handle does not point to underlying &lt;TimeSeriesFromFile&gt; type.</v>
      </c>
      <c r="M70" t="str">
        <v>Handle does not point to underlying &lt;TimeSeriesFromFile&gt; type.</v>
      </c>
      <c r="N70" t="str">
        <v>Handle does not point to underlying &lt;TimeSeriesFromFile&gt; type.</v>
      </c>
      <c r="O70" t="e">
        <f t="shared" si="0"/>
        <v>#VALUE!</v>
      </c>
    </row>
    <row r="71" spans="1:15" x14ac:dyDescent="0.2">
      <c r="B71" t="s">
        <v>54</v>
      </c>
      <c r="C71">
        <f>C42</f>
        <v>4</v>
      </c>
      <c r="E71" t="s">
        <v>54</v>
      </c>
      <c r="F71">
        <f>C42</f>
        <v>4</v>
      </c>
      <c r="I71">
        <f t="shared" si="1"/>
        <v>32</v>
      </c>
      <c r="J71" t="str">
        <v>Handle does not point to underlying &lt;TimeSeriesFromFile&gt; type.</v>
      </c>
      <c r="K71" t="str">
        <v>Handle does not point to underlying &lt;TimeSeriesFromFile&gt; type.</v>
      </c>
      <c r="L71" t="str">
        <v>Handle does not point to underlying &lt;TimeSeriesFromFile&gt; type.</v>
      </c>
      <c r="M71" t="str">
        <v>Handle does not point to underlying &lt;TimeSeriesFromFile&gt; type.</v>
      </c>
      <c r="N71" t="str">
        <v>Handle does not point to underlying &lt;TimeSeriesFromFile&gt; type.</v>
      </c>
      <c r="O71" t="e">
        <f t="shared" ref="O71:O102" si="2">M71-N71</f>
        <v>#VALUE!</v>
      </c>
    </row>
    <row r="72" spans="1:15" x14ac:dyDescent="0.2">
      <c r="B72" t="s">
        <v>56</v>
      </c>
      <c r="C72">
        <f>C50</f>
        <v>9</v>
      </c>
      <c r="E72" t="s">
        <v>56</v>
      </c>
      <c r="F72">
        <f>C50</f>
        <v>9</v>
      </c>
      <c r="I72">
        <f t="shared" si="1"/>
        <v>33</v>
      </c>
      <c r="J72" t="str">
        <v>Handle does not point to underlying &lt;TimeSeriesFromFile&gt; type.</v>
      </c>
      <c r="K72" t="str">
        <v>Handle does not point to underlying &lt;TimeSeriesFromFile&gt; type.</v>
      </c>
      <c r="L72" t="str">
        <v>Handle does not point to underlying &lt;TimeSeriesFromFile&gt; type.</v>
      </c>
      <c r="M72" t="str">
        <v>Handle does not point to underlying &lt;TimeSeriesFromFile&gt; type.</v>
      </c>
      <c r="N72" t="str">
        <v>Handle does not point to underlying &lt;TimeSeriesFromFile&gt; type.</v>
      </c>
      <c r="O72" t="e">
        <f t="shared" si="2"/>
        <v>#VALUE!</v>
      </c>
    </row>
    <row r="73" spans="1:15" x14ac:dyDescent="0.2">
      <c r="B73" t="s">
        <v>60</v>
      </c>
      <c r="C73">
        <f>C66</f>
        <v>12</v>
      </c>
      <c r="E73" t="s">
        <v>60</v>
      </c>
      <c r="F73">
        <v>13</v>
      </c>
      <c r="I73">
        <f t="shared" si="1"/>
        <v>34</v>
      </c>
      <c r="J73" t="str">
        <v>Handle does not point to underlying &lt;TimeSeriesFromFile&gt; type.</v>
      </c>
      <c r="K73" t="str">
        <v>Handle does not point to underlying &lt;TimeSeriesFromFile&gt; type.</v>
      </c>
      <c r="L73" t="str">
        <v>Handle does not point to underlying &lt;TimeSeriesFromFile&gt; type.</v>
      </c>
      <c r="M73" t="str">
        <v>Handle does not point to underlying &lt;TimeSeriesFromFile&gt; type.</v>
      </c>
      <c r="N73" t="str">
        <v>Handle does not point to underlying &lt;TimeSeriesFromFile&gt; type.</v>
      </c>
      <c r="O73" t="e">
        <f t="shared" si="2"/>
        <v>#VALUE!</v>
      </c>
    </row>
    <row r="74" spans="1:15" x14ac:dyDescent="0.2">
      <c r="B74" t="s">
        <v>53</v>
      </c>
      <c r="C74">
        <f>B4</f>
        <v>1</v>
      </c>
      <c r="E74" t="s">
        <v>53</v>
      </c>
      <c r="F74">
        <f>B4</f>
        <v>1</v>
      </c>
      <c r="I74">
        <f t="shared" si="1"/>
        <v>35</v>
      </c>
      <c r="J74" t="str">
        <v>Handle does not point to underlying &lt;TimeSeriesFromFile&gt; type.</v>
      </c>
      <c r="K74" t="str">
        <v>Handle does not point to underlying &lt;TimeSeriesFromFile&gt; type.</v>
      </c>
      <c r="L74" t="str">
        <v>Handle does not point to underlying &lt;TimeSeriesFromFile&gt; type.</v>
      </c>
      <c r="M74" t="str">
        <v>Handle does not point to underlying &lt;TimeSeriesFromFile&gt; type.</v>
      </c>
      <c r="N74" t="str">
        <v>Handle does not point to underlying &lt;TimeSeriesFromFile&gt; type.</v>
      </c>
      <c r="O74" t="e">
        <f t="shared" si="2"/>
        <v>#VALUE!</v>
      </c>
    </row>
    <row r="75" spans="1:15" x14ac:dyDescent="0.2">
      <c r="B75" t="s">
        <v>32</v>
      </c>
      <c r="C75">
        <v>0</v>
      </c>
      <c r="E75" t="s">
        <v>32</v>
      </c>
      <c r="F75">
        <v>0</v>
      </c>
      <c r="I75">
        <f t="shared" si="1"/>
        <v>36</v>
      </c>
      <c r="J75" t="str">
        <v>Handle does not point to underlying &lt;TimeSeriesFromFile&gt; type.</v>
      </c>
      <c r="K75" t="str">
        <v>Handle does not point to underlying &lt;TimeSeriesFromFile&gt; type.</v>
      </c>
      <c r="L75" t="str">
        <v>Handle does not point to underlying &lt;TimeSeriesFromFile&gt; type.</v>
      </c>
      <c r="M75" t="str">
        <v>Handle does not point to underlying &lt;TimeSeriesFromFile&gt; type.</v>
      </c>
      <c r="N75" t="str">
        <v>Handle does not point to underlying &lt;TimeSeriesFromFile&gt; type.</v>
      </c>
      <c r="O75" t="e">
        <f t="shared" si="2"/>
        <v>#VALUE!</v>
      </c>
    </row>
    <row r="76" spans="1:15" x14ac:dyDescent="0.2">
      <c r="B76" t="s">
        <v>33</v>
      </c>
      <c r="C76" t="str">
        <f>E9</f>
        <v>Handle does not point to &lt;TimeSeriesFromFile&gt; or &lt;TextFile&gt; type.</v>
      </c>
      <c r="E76" t="s">
        <v>33</v>
      </c>
      <c r="F76" t="e">
        <f>E9+1500*0</f>
        <v>#VALUE!</v>
      </c>
      <c r="I76">
        <f t="shared" si="1"/>
        <v>37</v>
      </c>
      <c r="J76" t="str">
        <v>Handle does not point to underlying &lt;TimeSeriesFromFile&gt; type.</v>
      </c>
      <c r="K76" t="str">
        <v>Handle does not point to underlying &lt;TimeSeriesFromFile&gt; type.</v>
      </c>
      <c r="L76" t="str">
        <v>Handle does not point to underlying &lt;TimeSeriesFromFile&gt; type.</v>
      </c>
      <c r="M76" t="str">
        <v>Handle does not point to underlying &lt;TimeSeriesFromFile&gt; type.</v>
      </c>
      <c r="N76" t="str">
        <v>Handle does not point to underlying &lt;TimeSeriesFromFile&gt; type.</v>
      </c>
      <c r="O76" t="e">
        <f t="shared" si="2"/>
        <v>#VALUE!</v>
      </c>
    </row>
    <row r="77" spans="1:15" x14ac:dyDescent="0.2">
      <c r="B77" s="13" t="s">
        <v>69</v>
      </c>
      <c r="C77" s="10" t="str">
        <f>_xll.TimeSeries("simulate",B71:C76)</f>
        <v>Handle does not point to underlying &lt;TimeSeriesFromFile&gt; type.</v>
      </c>
      <c r="E77" s="13" t="s">
        <v>69</v>
      </c>
      <c r="F77" s="10" t="str">
        <f>_xll.TimeSeries("simulate",E71:F76)</f>
        <v>parameter is error Conversion to Double</v>
      </c>
      <c r="I77">
        <f t="shared" si="1"/>
        <v>38</v>
      </c>
      <c r="J77" t="str">
        <v>Handle does not point to underlying &lt;TimeSeriesFromFile&gt; type.</v>
      </c>
      <c r="K77" t="str">
        <v>Handle does not point to underlying &lt;TimeSeriesFromFile&gt; type.</v>
      </c>
      <c r="L77" t="str">
        <v>Handle does not point to underlying &lt;TimeSeriesFromFile&gt; type.</v>
      </c>
      <c r="M77" t="str">
        <v>Handle does not point to underlying &lt;TimeSeriesFromFile&gt; type.</v>
      </c>
      <c r="N77" t="str">
        <v>Handle does not point to underlying &lt;TimeSeriesFromFile&gt; type.</v>
      </c>
      <c r="O77" t="e">
        <f t="shared" si="2"/>
        <v>#VALUE!</v>
      </c>
    </row>
    <row r="78" spans="1:15" x14ac:dyDescent="0.2">
      <c r="I78">
        <f t="shared" si="1"/>
        <v>39</v>
      </c>
      <c r="J78" t="str">
        <v>Handle does not point to underlying &lt;TimeSeriesFromFile&gt; type.</v>
      </c>
      <c r="K78" t="str">
        <v>Handle does not point to underlying &lt;TimeSeriesFromFile&gt; type.</v>
      </c>
      <c r="L78" t="str">
        <v>Handle does not point to underlying &lt;TimeSeriesFromFile&gt; type.</v>
      </c>
      <c r="M78" t="str">
        <v>Handle does not point to underlying &lt;TimeSeriesFromFile&gt; type.</v>
      </c>
      <c r="N78" t="str">
        <v>Handle does not point to underlying &lt;TimeSeriesFromFile&gt; type.</v>
      </c>
      <c r="O78" t="e">
        <f t="shared" si="2"/>
        <v>#VALUE!</v>
      </c>
    </row>
    <row r="79" spans="1:15" x14ac:dyDescent="0.2">
      <c r="I79">
        <f t="shared" si="1"/>
        <v>40</v>
      </c>
      <c r="J79" t="str">
        <v>Handle does not point to underlying &lt;TimeSeriesFromFile&gt; type.</v>
      </c>
      <c r="K79" t="str">
        <v>Handle does not point to underlying &lt;TimeSeriesFromFile&gt; type.</v>
      </c>
      <c r="L79" t="str">
        <v>Handle does not point to underlying &lt;TimeSeriesFromFile&gt; type.</v>
      </c>
      <c r="M79" t="str">
        <v>Handle does not point to underlying &lt;TimeSeriesFromFile&gt; type.</v>
      </c>
      <c r="N79" t="str">
        <v>Handle does not point to underlying &lt;TimeSeriesFromFile&gt; type.</v>
      </c>
      <c r="O79" t="e">
        <f t="shared" si="2"/>
        <v>#VALUE!</v>
      </c>
    </row>
    <row r="80" spans="1:15" x14ac:dyDescent="0.2">
      <c r="A80" s="13" t="s">
        <v>74</v>
      </c>
      <c r="B80" s="6" t="s">
        <v>56</v>
      </c>
      <c r="C80" s="6">
        <f>C50</f>
        <v>9</v>
      </c>
      <c r="I80">
        <f t="shared" si="1"/>
        <v>41</v>
      </c>
      <c r="J80" t="str">
        <v>Handle does not point to underlying &lt;TimeSeriesFromFile&gt; type.</v>
      </c>
      <c r="K80" t="str">
        <v>Handle does not point to underlying &lt;TimeSeriesFromFile&gt; type.</v>
      </c>
      <c r="L80" t="str">
        <v>Handle does not point to underlying &lt;TimeSeriesFromFile&gt; type.</v>
      </c>
      <c r="M80" t="str">
        <v>Handle does not point to underlying &lt;TimeSeriesFromFile&gt; type.</v>
      </c>
      <c r="N80" t="str">
        <v>Handle does not point to underlying &lt;TimeSeriesFromFile&gt; type.</v>
      </c>
      <c r="O80" t="e">
        <f t="shared" si="2"/>
        <v>#VALUE!</v>
      </c>
    </row>
    <row r="81" spans="2:15" x14ac:dyDescent="0.2">
      <c r="B81" s="13" t="s">
        <v>75</v>
      </c>
      <c r="C81" s="10" t="str">
        <f t="array" ref="C81:D307">_xll.TimeSeries("report",B80:C80)</f>
        <v>Tick</v>
      </c>
      <c r="D81" s="10" t="str">
        <v>buy/sell</v>
      </c>
      <c r="I81">
        <f t="shared" si="1"/>
        <v>42</v>
      </c>
      <c r="J81" t="str">
        <v>Handle does not point to underlying &lt;TimeSeriesFromFile&gt; type.</v>
      </c>
      <c r="K81" t="str">
        <v>Handle does not point to underlying &lt;TimeSeriesFromFile&gt; type.</v>
      </c>
      <c r="L81" t="str">
        <v>Handle does not point to underlying &lt;TimeSeriesFromFile&gt; type.</v>
      </c>
      <c r="M81" t="str">
        <v>Handle does not point to underlying &lt;TimeSeriesFromFile&gt; type.</v>
      </c>
      <c r="N81" t="str">
        <v>Handle does not point to underlying &lt;TimeSeriesFromFile&gt; type.</v>
      </c>
      <c r="O81" t="e">
        <f t="shared" si="2"/>
        <v>#VALUE!</v>
      </c>
    </row>
    <row r="82" spans="2:15" x14ac:dyDescent="0.2">
      <c r="C82" s="10" t="str">
        <v>Tick</v>
      </c>
      <c r="D82" s="10" t="str">
        <v>buy/sell</v>
      </c>
      <c r="I82">
        <f t="shared" si="1"/>
        <v>43</v>
      </c>
      <c r="J82" t="str">
        <v>Handle does not point to underlying &lt;TimeSeriesFromFile&gt; type.</v>
      </c>
      <c r="K82" t="str">
        <v>Handle does not point to underlying &lt;TimeSeriesFromFile&gt; type.</v>
      </c>
      <c r="L82" t="str">
        <v>Handle does not point to underlying &lt;TimeSeriesFromFile&gt; type.</v>
      </c>
      <c r="M82" t="str">
        <v>Handle does not point to underlying &lt;TimeSeriesFromFile&gt; type.</v>
      </c>
      <c r="N82" t="str">
        <v>Handle does not point to underlying &lt;TimeSeriesFromFile&gt; type.</v>
      </c>
      <c r="O82" t="e">
        <f t="shared" si="2"/>
        <v>#VALUE!</v>
      </c>
    </row>
    <row r="83" spans="2:15" x14ac:dyDescent="0.2">
      <c r="C83" s="10" t="str">
        <v>Tick</v>
      </c>
      <c r="D83" s="10" t="str">
        <v>buy/sell</v>
      </c>
      <c r="I83">
        <f t="shared" si="1"/>
        <v>44</v>
      </c>
      <c r="J83" t="str">
        <v>Handle does not point to underlying &lt;TimeSeriesFromFile&gt; type.</v>
      </c>
      <c r="K83" t="str">
        <v>Handle does not point to underlying &lt;TimeSeriesFromFile&gt; type.</v>
      </c>
      <c r="L83" t="str">
        <v>Handle does not point to underlying &lt;TimeSeriesFromFile&gt; type.</v>
      </c>
      <c r="M83" t="str">
        <v>Handle does not point to underlying &lt;TimeSeriesFromFile&gt; type.</v>
      </c>
      <c r="N83" t="str">
        <v>Handle does not point to underlying &lt;TimeSeriesFromFile&gt; type.</v>
      </c>
      <c r="O83" t="e">
        <f t="shared" si="2"/>
        <v>#VALUE!</v>
      </c>
    </row>
    <row r="84" spans="2:15" x14ac:dyDescent="0.2">
      <c r="C84" s="10" t="str">
        <v>Tick</v>
      </c>
      <c r="D84" s="10" t="str">
        <v>buy/sell</v>
      </c>
      <c r="I84">
        <f t="shared" si="1"/>
        <v>45</v>
      </c>
      <c r="J84" t="str">
        <v>Handle does not point to underlying &lt;TimeSeriesFromFile&gt; type.</v>
      </c>
      <c r="K84" t="str">
        <v>Handle does not point to underlying &lt;TimeSeriesFromFile&gt; type.</v>
      </c>
      <c r="L84" t="str">
        <v>Handle does not point to underlying &lt;TimeSeriesFromFile&gt; type.</v>
      </c>
      <c r="M84" t="str">
        <v>Handle does not point to underlying &lt;TimeSeriesFromFile&gt; type.</v>
      </c>
      <c r="N84" t="str">
        <v>Handle does not point to underlying &lt;TimeSeriesFromFile&gt; type.</v>
      </c>
      <c r="O84" t="e">
        <f t="shared" si="2"/>
        <v>#VALUE!</v>
      </c>
    </row>
    <row r="85" spans="2:15" x14ac:dyDescent="0.2">
      <c r="C85" s="10" t="str">
        <v>Tick</v>
      </c>
      <c r="D85" s="10" t="str">
        <v>buy/sell</v>
      </c>
      <c r="I85">
        <f t="shared" si="1"/>
        <v>46</v>
      </c>
      <c r="J85" t="str">
        <v>Handle does not point to underlying &lt;TimeSeriesFromFile&gt; type.</v>
      </c>
      <c r="K85" t="str">
        <v>Handle does not point to underlying &lt;TimeSeriesFromFile&gt; type.</v>
      </c>
      <c r="L85" t="str">
        <v>Handle does not point to underlying &lt;TimeSeriesFromFile&gt; type.</v>
      </c>
      <c r="M85" t="str">
        <v>Handle does not point to underlying &lt;TimeSeriesFromFile&gt; type.</v>
      </c>
      <c r="N85" t="str">
        <v>Handle does not point to underlying &lt;TimeSeriesFromFile&gt; type.</v>
      </c>
      <c r="O85" t="e">
        <f t="shared" si="2"/>
        <v>#VALUE!</v>
      </c>
    </row>
    <row r="86" spans="2:15" x14ac:dyDescent="0.2">
      <c r="C86" s="10" t="str">
        <v>Tick</v>
      </c>
      <c r="D86" s="10" t="str">
        <v>buy/sell</v>
      </c>
      <c r="I86">
        <f t="shared" si="1"/>
        <v>47</v>
      </c>
      <c r="J86" t="str">
        <v>Handle does not point to underlying &lt;TimeSeriesFromFile&gt; type.</v>
      </c>
      <c r="K86" t="str">
        <v>Handle does not point to underlying &lt;TimeSeriesFromFile&gt; type.</v>
      </c>
      <c r="L86" t="str">
        <v>Handle does not point to underlying &lt;TimeSeriesFromFile&gt; type.</v>
      </c>
      <c r="M86" t="str">
        <v>Handle does not point to underlying &lt;TimeSeriesFromFile&gt; type.</v>
      </c>
      <c r="N86" t="str">
        <v>Handle does not point to underlying &lt;TimeSeriesFromFile&gt; type.</v>
      </c>
      <c r="O86" t="e">
        <f t="shared" si="2"/>
        <v>#VALUE!</v>
      </c>
    </row>
    <row r="87" spans="2:15" x14ac:dyDescent="0.2">
      <c r="C87" s="10" t="str">
        <v>Tick</v>
      </c>
      <c r="D87" s="10" t="str">
        <v>buy/sell</v>
      </c>
      <c r="I87">
        <f t="shared" si="1"/>
        <v>48</v>
      </c>
      <c r="J87" t="str">
        <v>Handle does not point to underlying &lt;TimeSeriesFromFile&gt; type.</v>
      </c>
      <c r="K87" t="str">
        <v>Handle does not point to underlying &lt;TimeSeriesFromFile&gt; type.</v>
      </c>
      <c r="L87" t="str">
        <v>Handle does not point to underlying &lt;TimeSeriesFromFile&gt; type.</v>
      </c>
      <c r="M87" t="str">
        <v>Handle does not point to underlying &lt;TimeSeriesFromFile&gt; type.</v>
      </c>
      <c r="N87" t="str">
        <v>Handle does not point to underlying &lt;TimeSeriesFromFile&gt; type.</v>
      </c>
      <c r="O87" t="e">
        <f t="shared" si="2"/>
        <v>#VALUE!</v>
      </c>
    </row>
    <row r="88" spans="2:15" x14ac:dyDescent="0.2">
      <c r="C88" s="10" t="str">
        <v>Tick</v>
      </c>
      <c r="D88" s="10" t="str">
        <v>buy/sell</v>
      </c>
      <c r="I88">
        <f t="shared" si="1"/>
        <v>49</v>
      </c>
      <c r="J88" t="str">
        <v>Handle does not point to underlying &lt;TimeSeriesFromFile&gt; type.</v>
      </c>
      <c r="K88" t="str">
        <v>Handle does not point to underlying &lt;TimeSeriesFromFile&gt; type.</v>
      </c>
      <c r="L88" t="str">
        <v>Handle does not point to underlying &lt;TimeSeriesFromFile&gt; type.</v>
      </c>
      <c r="M88" t="str">
        <v>Handle does not point to underlying &lt;TimeSeriesFromFile&gt; type.</v>
      </c>
      <c r="N88" t="str">
        <v>Handle does not point to underlying &lt;TimeSeriesFromFile&gt; type.</v>
      </c>
      <c r="O88" t="e">
        <f t="shared" si="2"/>
        <v>#VALUE!</v>
      </c>
    </row>
    <row r="89" spans="2:15" x14ac:dyDescent="0.2">
      <c r="C89" s="10" t="str">
        <v>Tick</v>
      </c>
      <c r="D89" s="10" t="str">
        <v>buy/sell</v>
      </c>
      <c r="I89">
        <f t="shared" si="1"/>
        <v>50</v>
      </c>
      <c r="J89" t="str">
        <v>Handle does not point to underlying &lt;TimeSeriesFromFile&gt; type.</v>
      </c>
      <c r="K89" t="str">
        <v>Handle does not point to underlying &lt;TimeSeriesFromFile&gt; type.</v>
      </c>
      <c r="L89" t="str">
        <v>Handle does not point to underlying &lt;TimeSeriesFromFile&gt; type.</v>
      </c>
      <c r="M89" t="str">
        <v>Handle does not point to underlying &lt;TimeSeriesFromFile&gt; type.</v>
      </c>
      <c r="N89" t="str">
        <v>Handle does not point to underlying &lt;TimeSeriesFromFile&gt; type.</v>
      </c>
      <c r="O89" t="e">
        <f t="shared" si="2"/>
        <v>#VALUE!</v>
      </c>
    </row>
    <row r="90" spans="2:15" x14ac:dyDescent="0.2">
      <c r="C90" s="10" t="str">
        <v>Tick</v>
      </c>
      <c r="D90" s="10" t="str">
        <v>buy/sell</v>
      </c>
      <c r="I90">
        <f t="shared" si="1"/>
        <v>51</v>
      </c>
      <c r="J90" t="str">
        <v>Handle does not point to underlying &lt;TimeSeriesFromFile&gt; type.</v>
      </c>
      <c r="K90" t="str">
        <v>Handle does not point to underlying &lt;TimeSeriesFromFile&gt; type.</v>
      </c>
      <c r="L90" t="str">
        <v>Handle does not point to underlying &lt;TimeSeriesFromFile&gt; type.</v>
      </c>
      <c r="M90" t="str">
        <v>Handle does not point to underlying &lt;TimeSeriesFromFile&gt; type.</v>
      </c>
      <c r="N90" t="str">
        <v>Handle does not point to underlying &lt;TimeSeriesFromFile&gt; type.</v>
      </c>
      <c r="O90" t="e">
        <f t="shared" si="2"/>
        <v>#VALUE!</v>
      </c>
    </row>
    <row r="91" spans="2:15" x14ac:dyDescent="0.2">
      <c r="C91" s="10" t="str">
        <v>Tick</v>
      </c>
      <c r="D91" s="10" t="str">
        <v>buy/sell</v>
      </c>
      <c r="I91">
        <f t="shared" si="1"/>
        <v>52</v>
      </c>
      <c r="J91" t="str">
        <v>Handle does not point to underlying &lt;TimeSeriesFromFile&gt; type.</v>
      </c>
      <c r="K91" t="str">
        <v>Handle does not point to underlying &lt;TimeSeriesFromFile&gt; type.</v>
      </c>
      <c r="L91" t="str">
        <v>Handle does not point to underlying &lt;TimeSeriesFromFile&gt; type.</v>
      </c>
      <c r="M91" t="str">
        <v>Handle does not point to underlying &lt;TimeSeriesFromFile&gt; type.</v>
      </c>
      <c r="N91" t="str">
        <v>Handle does not point to underlying &lt;TimeSeriesFromFile&gt; type.</v>
      </c>
      <c r="O91" t="e">
        <f t="shared" si="2"/>
        <v>#VALUE!</v>
      </c>
    </row>
    <row r="92" spans="2:15" x14ac:dyDescent="0.2">
      <c r="C92" s="10" t="str">
        <v>Tick</v>
      </c>
      <c r="D92" s="10" t="str">
        <v>buy/sell</v>
      </c>
      <c r="I92">
        <f t="shared" si="1"/>
        <v>53</v>
      </c>
      <c r="J92" t="str">
        <v>Handle does not point to underlying &lt;TimeSeriesFromFile&gt; type.</v>
      </c>
      <c r="K92" t="str">
        <v>Handle does not point to underlying &lt;TimeSeriesFromFile&gt; type.</v>
      </c>
      <c r="L92" t="str">
        <v>Handle does not point to underlying &lt;TimeSeriesFromFile&gt; type.</v>
      </c>
      <c r="M92" t="str">
        <v>Handle does not point to underlying &lt;TimeSeriesFromFile&gt; type.</v>
      </c>
      <c r="N92" t="str">
        <v>Handle does not point to underlying &lt;TimeSeriesFromFile&gt; type.</v>
      </c>
      <c r="O92" t="e">
        <f t="shared" si="2"/>
        <v>#VALUE!</v>
      </c>
    </row>
    <row r="93" spans="2:15" x14ac:dyDescent="0.2">
      <c r="C93" s="10" t="str">
        <v>Tick</v>
      </c>
      <c r="D93" s="10" t="str">
        <v>buy/sell</v>
      </c>
      <c r="I93">
        <f t="shared" si="1"/>
        <v>54</v>
      </c>
      <c r="J93" t="str">
        <v>Handle does not point to underlying &lt;TimeSeriesFromFile&gt; type.</v>
      </c>
      <c r="K93" t="str">
        <v>Handle does not point to underlying &lt;TimeSeriesFromFile&gt; type.</v>
      </c>
      <c r="L93" t="str">
        <v>Handle does not point to underlying &lt;TimeSeriesFromFile&gt; type.</v>
      </c>
      <c r="M93" t="str">
        <v>Handle does not point to underlying &lt;TimeSeriesFromFile&gt; type.</v>
      </c>
      <c r="N93" t="str">
        <v>Handle does not point to underlying &lt;TimeSeriesFromFile&gt; type.</v>
      </c>
      <c r="O93" t="e">
        <f t="shared" si="2"/>
        <v>#VALUE!</v>
      </c>
    </row>
    <row r="94" spans="2:15" x14ac:dyDescent="0.2">
      <c r="C94" s="10" t="str">
        <v>Tick</v>
      </c>
      <c r="D94" s="10" t="str">
        <v>buy/sell</v>
      </c>
      <c r="I94">
        <f t="shared" si="1"/>
        <v>55</v>
      </c>
      <c r="J94" t="str">
        <v>Handle does not point to underlying &lt;TimeSeriesFromFile&gt; type.</v>
      </c>
      <c r="K94" t="str">
        <v>Handle does not point to underlying &lt;TimeSeriesFromFile&gt; type.</v>
      </c>
      <c r="L94" t="str">
        <v>Handle does not point to underlying &lt;TimeSeriesFromFile&gt; type.</v>
      </c>
      <c r="M94" t="str">
        <v>Handle does not point to underlying &lt;TimeSeriesFromFile&gt; type.</v>
      </c>
      <c r="N94" t="str">
        <v>Handle does not point to underlying &lt;TimeSeriesFromFile&gt; type.</v>
      </c>
      <c r="O94" t="e">
        <f t="shared" si="2"/>
        <v>#VALUE!</v>
      </c>
    </row>
    <row r="95" spans="2:15" x14ac:dyDescent="0.2">
      <c r="C95" s="10" t="str">
        <v>Tick</v>
      </c>
      <c r="D95" s="10" t="str">
        <v>buy/sell</v>
      </c>
      <c r="I95">
        <f t="shared" si="1"/>
        <v>56</v>
      </c>
      <c r="J95" t="str">
        <v>Handle does not point to underlying &lt;TimeSeriesFromFile&gt; type.</v>
      </c>
      <c r="K95" t="str">
        <v>Handle does not point to underlying &lt;TimeSeriesFromFile&gt; type.</v>
      </c>
      <c r="L95" t="str">
        <v>Handle does not point to underlying &lt;TimeSeriesFromFile&gt; type.</v>
      </c>
      <c r="M95" t="str">
        <v>Handle does not point to underlying &lt;TimeSeriesFromFile&gt; type.</v>
      </c>
      <c r="N95" t="str">
        <v>Handle does not point to underlying &lt;TimeSeriesFromFile&gt; type.</v>
      </c>
      <c r="O95" t="e">
        <f t="shared" si="2"/>
        <v>#VALUE!</v>
      </c>
    </row>
    <row r="96" spans="2:15" x14ac:dyDescent="0.2">
      <c r="C96" s="10" t="str">
        <v>Tick</v>
      </c>
      <c r="D96" s="10" t="str">
        <v>buy/sell</v>
      </c>
      <c r="I96">
        <f t="shared" si="1"/>
        <v>57</v>
      </c>
      <c r="J96" t="str">
        <v>Handle does not point to underlying &lt;TimeSeriesFromFile&gt; type.</v>
      </c>
      <c r="K96" t="str">
        <v>Handle does not point to underlying &lt;TimeSeriesFromFile&gt; type.</v>
      </c>
      <c r="L96" t="str">
        <v>Handle does not point to underlying &lt;TimeSeriesFromFile&gt; type.</v>
      </c>
      <c r="M96" t="str">
        <v>Handle does not point to underlying &lt;TimeSeriesFromFile&gt; type.</v>
      </c>
      <c r="N96" t="str">
        <v>Handle does not point to underlying &lt;TimeSeriesFromFile&gt; type.</v>
      </c>
      <c r="O96" t="e">
        <f t="shared" si="2"/>
        <v>#VALUE!</v>
      </c>
    </row>
    <row r="97" spans="3:15" x14ac:dyDescent="0.2">
      <c r="C97" s="10" t="str">
        <v>Tick</v>
      </c>
      <c r="D97" s="10" t="str">
        <v>buy/sell</v>
      </c>
      <c r="I97">
        <f t="shared" si="1"/>
        <v>58</v>
      </c>
      <c r="J97" t="str">
        <v>Handle does not point to underlying &lt;TimeSeriesFromFile&gt; type.</v>
      </c>
      <c r="K97" t="str">
        <v>Handle does not point to underlying &lt;TimeSeriesFromFile&gt; type.</v>
      </c>
      <c r="L97" t="str">
        <v>Handle does not point to underlying &lt;TimeSeriesFromFile&gt; type.</v>
      </c>
      <c r="M97" t="str">
        <v>Handle does not point to underlying &lt;TimeSeriesFromFile&gt; type.</v>
      </c>
      <c r="N97" t="str">
        <v>Handle does not point to underlying &lt;TimeSeriesFromFile&gt; type.</v>
      </c>
      <c r="O97" t="e">
        <f t="shared" si="2"/>
        <v>#VALUE!</v>
      </c>
    </row>
    <row r="98" spans="3:15" x14ac:dyDescent="0.2">
      <c r="C98" s="10" t="str">
        <v>Tick</v>
      </c>
      <c r="D98" s="10" t="str">
        <v>buy/sell</v>
      </c>
      <c r="I98">
        <f t="shared" si="1"/>
        <v>59</v>
      </c>
      <c r="J98" t="str">
        <v>Handle does not point to underlying &lt;TimeSeriesFromFile&gt; type.</v>
      </c>
      <c r="K98" t="str">
        <v>Handle does not point to underlying &lt;TimeSeriesFromFile&gt; type.</v>
      </c>
      <c r="L98" t="str">
        <v>Handle does not point to underlying &lt;TimeSeriesFromFile&gt; type.</v>
      </c>
      <c r="M98" t="str">
        <v>Handle does not point to underlying &lt;TimeSeriesFromFile&gt; type.</v>
      </c>
      <c r="N98" t="str">
        <v>Handle does not point to underlying &lt;TimeSeriesFromFile&gt; type.</v>
      </c>
      <c r="O98" t="e">
        <f t="shared" si="2"/>
        <v>#VALUE!</v>
      </c>
    </row>
    <row r="99" spans="3:15" x14ac:dyDescent="0.2">
      <c r="C99" s="10" t="str">
        <v>Tick</v>
      </c>
      <c r="D99" s="10" t="str">
        <v>buy/sell</v>
      </c>
      <c r="I99">
        <f t="shared" si="1"/>
        <v>60</v>
      </c>
      <c r="J99" t="str">
        <v>Handle does not point to underlying &lt;TimeSeriesFromFile&gt; type.</v>
      </c>
      <c r="K99" t="str">
        <v>Handle does not point to underlying &lt;TimeSeriesFromFile&gt; type.</v>
      </c>
      <c r="L99" t="str">
        <v>Handle does not point to underlying &lt;TimeSeriesFromFile&gt; type.</v>
      </c>
      <c r="M99" t="str">
        <v>Handle does not point to underlying &lt;TimeSeriesFromFile&gt; type.</v>
      </c>
      <c r="N99" t="str">
        <v>Handle does not point to underlying &lt;TimeSeriesFromFile&gt; type.</v>
      </c>
      <c r="O99" t="e">
        <f t="shared" si="2"/>
        <v>#VALUE!</v>
      </c>
    </row>
    <row r="100" spans="3:15" x14ac:dyDescent="0.2">
      <c r="C100" s="10" t="str">
        <v>Tick</v>
      </c>
      <c r="D100" s="10" t="str">
        <v>buy/sell</v>
      </c>
      <c r="I100">
        <f t="shared" si="1"/>
        <v>61</v>
      </c>
      <c r="J100" t="str">
        <v>Handle does not point to underlying &lt;TimeSeriesFromFile&gt; type.</v>
      </c>
      <c r="K100" t="str">
        <v>Handle does not point to underlying &lt;TimeSeriesFromFile&gt; type.</v>
      </c>
      <c r="L100" t="str">
        <v>Handle does not point to underlying &lt;TimeSeriesFromFile&gt; type.</v>
      </c>
      <c r="M100" t="str">
        <v>Handle does not point to underlying &lt;TimeSeriesFromFile&gt; type.</v>
      </c>
      <c r="N100" t="str">
        <v>Handle does not point to underlying &lt;TimeSeriesFromFile&gt; type.</v>
      </c>
      <c r="O100" t="e">
        <f t="shared" si="2"/>
        <v>#VALUE!</v>
      </c>
    </row>
    <row r="101" spans="3:15" x14ac:dyDescent="0.2">
      <c r="C101" s="10" t="str">
        <v>Tick</v>
      </c>
      <c r="D101" s="10" t="str">
        <v>buy/sell</v>
      </c>
      <c r="I101">
        <f t="shared" si="1"/>
        <v>62</v>
      </c>
      <c r="J101" t="str">
        <v>Handle does not point to underlying &lt;TimeSeriesFromFile&gt; type.</v>
      </c>
      <c r="K101" t="str">
        <v>Handle does not point to underlying &lt;TimeSeriesFromFile&gt; type.</v>
      </c>
      <c r="L101" t="str">
        <v>Handle does not point to underlying &lt;TimeSeriesFromFile&gt; type.</v>
      </c>
      <c r="M101" t="str">
        <v>Handle does not point to underlying &lt;TimeSeriesFromFile&gt; type.</v>
      </c>
      <c r="N101" t="str">
        <v>Handle does not point to underlying &lt;TimeSeriesFromFile&gt; type.</v>
      </c>
      <c r="O101" t="e">
        <f t="shared" si="2"/>
        <v>#VALUE!</v>
      </c>
    </row>
    <row r="102" spans="3:15" x14ac:dyDescent="0.2">
      <c r="C102" s="10" t="str">
        <v>Tick</v>
      </c>
      <c r="D102" s="10" t="str">
        <v>buy/sell</v>
      </c>
      <c r="I102">
        <f t="shared" si="1"/>
        <v>63</v>
      </c>
      <c r="J102" t="str">
        <v>Handle does not point to underlying &lt;TimeSeriesFromFile&gt; type.</v>
      </c>
      <c r="K102" t="str">
        <v>Handle does not point to underlying &lt;TimeSeriesFromFile&gt; type.</v>
      </c>
      <c r="L102" t="str">
        <v>Handle does not point to underlying &lt;TimeSeriesFromFile&gt; type.</v>
      </c>
      <c r="M102" t="str">
        <v>Handle does not point to underlying &lt;TimeSeriesFromFile&gt; type.</v>
      </c>
      <c r="N102" t="str">
        <v>Handle does not point to underlying &lt;TimeSeriesFromFile&gt; type.</v>
      </c>
      <c r="O102" t="e">
        <f t="shared" si="2"/>
        <v>#VALUE!</v>
      </c>
    </row>
    <row r="103" spans="3:15" x14ac:dyDescent="0.2">
      <c r="C103" s="10" t="str">
        <v>Tick</v>
      </c>
      <c r="D103" s="10" t="str">
        <v>buy/sell</v>
      </c>
      <c r="I103">
        <f t="shared" si="1"/>
        <v>64</v>
      </c>
      <c r="J103" t="str">
        <v>Handle does not point to underlying &lt;TimeSeriesFromFile&gt; type.</v>
      </c>
      <c r="K103" t="str">
        <v>Handle does not point to underlying &lt;TimeSeriesFromFile&gt; type.</v>
      </c>
      <c r="L103" t="str">
        <v>Handle does not point to underlying &lt;TimeSeriesFromFile&gt; type.</v>
      </c>
      <c r="M103" t="str">
        <v>Handle does not point to underlying &lt;TimeSeriesFromFile&gt; type.</v>
      </c>
      <c r="N103" t="str">
        <v>Handle does not point to underlying &lt;TimeSeriesFromFile&gt; type.</v>
      </c>
      <c r="O103" t="e">
        <f t="shared" ref="O103:O130" si="3">M103-N103</f>
        <v>#VALUE!</v>
      </c>
    </row>
    <row r="104" spans="3:15" x14ac:dyDescent="0.2">
      <c r="C104" s="10" t="str">
        <v>Tick</v>
      </c>
      <c r="D104" s="10" t="str">
        <v>buy/sell</v>
      </c>
      <c r="I104">
        <f t="shared" si="1"/>
        <v>65</v>
      </c>
      <c r="J104" t="str">
        <v>Handle does not point to underlying &lt;TimeSeriesFromFile&gt; type.</v>
      </c>
      <c r="K104" t="str">
        <v>Handle does not point to underlying &lt;TimeSeriesFromFile&gt; type.</v>
      </c>
      <c r="L104" t="str">
        <v>Handle does not point to underlying &lt;TimeSeriesFromFile&gt; type.</v>
      </c>
      <c r="M104" t="str">
        <v>Handle does not point to underlying &lt;TimeSeriesFromFile&gt; type.</v>
      </c>
      <c r="N104" t="str">
        <v>Handle does not point to underlying &lt;TimeSeriesFromFile&gt; type.</v>
      </c>
      <c r="O104" t="e">
        <f t="shared" si="3"/>
        <v>#VALUE!</v>
      </c>
    </row>
    <row r="105" spans="3:15" x14ac:dyDescent="0.2">
      <c r="C105" s="10" t="str">
        <v>Tick</v>
      </c>
      <c r="D105" s="10" t="str">
        <v>buy/sell</v>
      </c>
      <c r="I105">
        <f t="shared" ref="I105:I168" si="4">I104+1</f>
        <v>66</v>
      </c>
      <c r="J105" t="str">
        <v>Handle does not point to underlying &lt;TimeSeriesFromFile&gt; type.</v>
      </c>
      <c r="K105" t="str">
        <v>Handle does not point to underlying &lt;TimeSeriesFromFile&gt; type.</v>
      </c>
      <c r="L105" t="str">
        <v>Handle does not point to underlying &lt;TimeSeriesFromFile&gt; type.</v>
      </c>
      <c r="M105" t="str">
        <v>Handle does not point to underlying &lt;TimeSeriesFromFile&gt; type.</v>
      </c>
      <c r="N105" t="str">
        <v>Handle does not point to underlying &lt;TimeSeriesFromFile&gt; type.</v>
      </c>
      <c r="O105" t="e">
        <f t="shared" si="3"/>
        <v>#VALUE!</v>
      </c>
    </row>
    <row r="106" spans="3:15" x14ac:dyDescent="0.2">
      <c r="C106" s="10" t="str">
        <v>Tick</v>
      </c>
      <c r="D106" s="10" t="str">
        <v>buy/sell</v>
      </c>
      <c r="I106">
        <f t="shared" si="4"/>
        <v>67</v>
      </c>
      <c r="J106" t="str">
        <v>Handle does not point to underlying &lt;TimeSeriesFromFile&gt; type.</v>
      </c>
      <c r="K106" t="str">
        <v>Handle does not point to underlying &lt;TimeSeriesFromFile&gt; type.</v>
      </c>
      <c r="L106" t="str">
        <v>Handle does not point to underlying &lt;TimeSeriesFromFile&gt; type.</v>
      </c>
      <c r="M106" t="str">
        <v>Handle does not point to underlying &lt;TimeSeriesFromFile&gt; type.</v>
      </c>
      <c r="N106" t="str">
        <v>Handle does not point to underlying &lt;TimeSeriesFromFile&gt; type.</v>
      </c>
      <c r="O106" t="e">
        <f t="shared" si="3"/>
        <v>#VALUE!</v>
      </c>
    </row>
    <row r="107" spans="3:15" x14ac:dyDescent="0.2">
      <c r="C107" s="10" t="str">
        <v>Tick</v>
      </c>
      <c r="D107" s="10" t="str">
        <v>buy/sell</v>
      </c>
      <c r="I107">
        <f t="shared" si="4"/>
        <v>68</v>
      </c>
      <c r="J107" t="str">
        <v>Handle does not point to underlying &lt;TimeSeriesFromFile&gt; type.</v>
      </c>
      <c r="K107" t="str">
        <v>Handle does not point to underlying &lt;TimeSeriesFromFile&gt; type.</v>
      </c>
      <c r="L107" t="str">
        <v>Handle does not point to underlying &lt;TimeSeriesFromFile&gt; type.</v>
      </c>
      <c r="M107" t="str">
        <v>Handle does not point to underlying &lt;TimeSeriesFromFile&gt; type.</v>
      </c>
      <c r="N107" t="str">
        <v>Handle does not point to underlying &lt;TimeSeriesFromFile&gt; type.</v>
      </c>
      <c r="O107" t="e">
        <f t="shared" si="3"/>
        <v>#VALUE!</v>
      </c>
    </row>
    <row r="108" spans="3:15" x14ac:dyDescent="0.2">
      <c r="C108" s="10" t="str">
        <v>Tick</v>
      </c>
      <c r="D108" s="10" t="str">
        <v>buy/sell</v>
      </c>
      <c r="I108">
        <f t="shared" si="4"/>
        <v>69</v>
      </c>
      <c r="J108" t="str">
        <v>Handle does not point to underlying &lt;TimeSeriesFromFile&gt; type.</v>
      </c>
      <c r="K108" t="str">
        <v>Handle does not point to underlying &lt;TimeSeriesFromFile&gt; type.</v>
      </c>
      <c r="L108" t="str">
        <v>Handle does not point to underlying &lt;TimeSeriesFromFile&gt; type.</v>
      </c>
      <c r="M108" t="str">
        <v>Handle does not point to underlying &lt;TimeSeriesFromFile&gt; type.</v>
      </c>
      <c r="N108" t="str">
        <v>Handle does not point to underlying &lt;TimeSeriesFromFile&gt; type.</v>
      </c>
      <c r="O108" t="e">
        <f t="shared" si="3"/>
        <v>#VALUE!</v>
      </c>
    </row>
    <row r="109" spans="3:15" x14ac:dyDescent="0.2">
      <c r="C109" s="10" t="str">
        <v>Tick</v>
      </c>
      <c r="D109" s="10" t="str">
        <v>buy/sell</v>
      </c>
      <c r="I109">
        <f t="shared" si="4"/>
        <v>70</v>
      </c>
      <c r="J109" t="str">
        <v>Handle does not point to underlying &lt;TimeSeriesFromFile&gt; type.</v>
      </c>
      <c r="K109" t="str">
        <v>Handle does not point to underlying &lt;TimeSeriesFromFile&gt; type.</v>
      </c>
      <c r="L109" t="str">
        <v>Handle does not point to underlying &lt;TimeSeriesFromFile&gt; type.</v>
      </c>
      <c r="M109" t="str">
        <v>Handle does not point to underlying &lt;TimeSeriesFromFile&gt; type.</v>
      </c>
      <c r="N109" t="str">
        <v>Handle does not point to underlying &lt;TimeSeriesFromFile&gt; type.</v>
      </c>
      <c r="O109" t="e">
        <f t="shared" si="3"/>
        <v>#VALUE!</v>
      </c>
    </row>
    <row r="110" spans="3:15" x14ac:dyDescent="0.2">
      <c r="C110" s="10" t="str">
        <v>Tick</v>
      </c>
      <c r="D110" s="10" t="str">
        <v>buy/sell</v>
      </c>
      <c r="I110">
        <f t="shared" si="4"/>
        <v>71</v>
      </c>
      <c r="J110" t="str">
        <v>Handle does not point to underlying &lt;TimeSeriesFromFile&gt; type.</v>
      </c>
      <c r="K110" t="str">
        <v>Handle does not point to underlying &lt;TimeSeriesFromFile&gt; type.</v>
      </c>
      <c r="L110" t="str">
        <v>Handle does not point to underlying &lt;TimeSeriesFromFile&gt; type.</v>
      </c>
      <c r="M110" t="str">
        <v>Handle does not point to underlying &lt;TimeSeriesFromFile&gt; type.</v>
      </c>
      <c r="N110" t="str">
        <v>Handle does not point to underlying &lt;TimeSeriesFromFile&gt; type.</v>
      </c>
      <c r="O110" t="e">
        <f t="shared" si="3"/>
        <v>#VALUE!</v>
      </c>
    </row>
    <row r="111" spans="3:15" x14ac:dyDescent="0.2">
      <c r="C111" s="10" t="str">
        <v>Tick</v>
      </c>
      <c r="D111" s="10" t="str">
        <v>buy/sell</v>
      </c>
      <c r="I111">
        <f t="shared" si="4"/>
        <v>72</v>
      </c>
      <c r="J111" t="str">
        <v>Handle does not point to underlying &lt;TimeSeriesFromFile&gt; type.</v>
      </c>
      <c r="K111" t="str">
        <v>Handle does not point to underlying &lt;TimeSeriesFromFile&gt; type.</v>
      </c>
      <c r="L111" t="str">
        <v>Handle does not point to underlying &lt;TimeSeriesFromFile&gt; type.</v>
      </c>
      <c r="M111" t="str">
        <v>Handle does not point to underlying &lt;TimeSeriesFromFile&gt; type.</v>
      </c>
      <c r="N111" t="str">
        <v>Handle does not point to underlying &lt;TimeSeriesFromFile&gt; type.</v>
      </c>
      <c r="O111" t="e">
        <f t="shared" si="3"/>
        <v>#VALUE!</v>
      </c>
    </row>
    <row r="112" spans="3:15" x14ac:dyDescent="0.2">
      <c r="C112" s="10" t="str">
        <v>Tick</v>
      </c>
      <c r="D112" s="10" t="str">
        <v>buy/sell</v>
      </c>
      <c r="I112">
        <f t="shared" si="4"/>
        <v>73</v>
      </c>
      <c r="J112" t="str">
        <v>Handle does not point to underlying &lt;TimeSeriesFromFile&gt; type.</v>
      </c>
      <c r="K112" t="str">
        <v>Handle does not point to underlying &lt;TimeSeriesFromFile&gt; type.</v>
      </c>
      <c r="L112" t="str">
        <v>Handle does not point to underlying &lt;TimeSeriesFromFile&gt; type.</v>
      </c>
      <c r="M112" t="str">
        <v>Handle does not point to underlying &lt;TimeSeriesFromFile&gt; type.</v>
      </c>
      <c r="N112" t="str">
        <v>Handle does not point to underlying &lt;TimeSeriesFromFile&gt; type.</v>
      </c>
      <c r="O112" t="e">
        <f t="shared" si="3"/>
        <v>#VALUE!</v>
      </c>
    </row>
    <row r="113" spans="3:15" x14ac:dyDescent="0.2">
      <c r="C113" s="10" t="str">
        <v>Tick</v>
      </c>
      <c r="D113" s="10" t="str">
        <v>buy/sell</v>
      </c>
      <c r="I113">
        <f t="shared" si="4"/>
        <v>74</v>
      </c>
      <c r="J113" t="str">
        <v>Handle does not point to underlying &lt;TimeSeriesFromFile&gt; type.</v>
      </c>
      <c r="K113" t="str">
        <v>Handle does not point to underlying &lt;TimeSeriesFromFile&gt; type.</v>
      </c>
      <c r="L113" t="str">
        <v>Handle does not point to underlying &lt;TimeSeriesFromFile&gt; type.</v>
      </c>
      <c r="M113" t="str">
        <v>Handle does not point to underlying &lt;TimeSeriesFromFile&gt; type.</v>
      </c>
      <c r="N113" t="str">
        <v>Handle does not point to underlying &lt;TimeSeriesFromFile&gt; type.</v>
      </c>
      <c r="O113" t="e">
        <f t="shared" si="3"/>
        <v>#VALUE!</v>
      </c>
    </row>
    <row r="114" spans="3:15" x14ac:dyDescent="0.2">
      <c r="C114" s="10" t="str">
        <v>Tick</v>
      </c>
      <c r="D114" s="10" t="str">
        <v>buy/sell</v>
      </c>
      <c r="I114">
        <f t="shared" si="4"/>
        <v>75</v>
      </c>
      <c r="J114" t="str">
        <v>Handle does not point to underlying &lt;TimeSeriesFromFile&gt; type.</v>
      </c>
      <c r="K114" t="str">
        <v>Handle does not point to underlying &lt;TimeSeriesFromFile&gt; type.</v>
      </c>
      <c r="L114" t="str">
        <v>Handle does not point to underlying &lt;TimeSeriesFromFile&gt; type.</v>
      </c>
      <c r="M114" t="str">
        <v>Handle does not point to underlying &lt;TimeSeriesFromFile&gt; type.</v>
      </c>
      <c r="N114" t="str">
        <v>Handle does not point to underlying &lt;TimeSeriesFromFile&gt; type.</v>
      </c>
      <c r="O114" t="e">
        <f t="shared" si="3"/>
        <v>#VALUE!</v>
      </c>
    </row>
    <row r="115" spans="3:15" x14ac:dyDescent="0.2">
      <c r="C115" s="10" t="str">
        <v>Tick</v>
      </c>
      <c r="D115" s="10" t="str">
        <v>buy/sell</v>
      </c>
      <c r="I115">
        <f t="shared" si="4"/>
        <v>76</v>
      </c>
      <c r="J115" t="str">
        <v>Handle does not point to underlying &lt;TimeSeriesFromFile&gt; type.</v>
      </c>
      <c r="K115" t="str">
        <v>Handle does not point to underlying &lt;TimeSeriesFromFile&gt; type.</v>
      </c>
      <c r="L115" t="str">
        <v>Handle does not point to underlying &lt;TimeSeriesFromFile&gt; type.</v>
      </c>
      <c r="M115" t="str">
        <v>Handle does not point to underlying &lt;TimeSeriesFromFile&gt; type.</v>
      </c>
      <c r="N115" t="str">
        <v>Handle does not point to underlying &lt;TimeSeriesFromFile&gt; type.</v>
      </c>
      <c r="O115" t="e">
        <f t="shared" si="3"/>
        <v>#VALUE!</v>
      </c>
    </row>
    <row r="116" spans="3:15" x14ac:dyDescent="0.2">
      <c r="C116" s="10" t="str">
        <v>Tick</v>
      </c>
      <c r="D116" s="10" t="str">
        <v>buy/sell</v>
      </c>
      <c r="I116">
        <f t="shared" si="4"/>
        <v>77</v>
      </c>
      <c r="J116" t="str">
        <v>Handle does not point to underlying &lt;TimeSeriesFromFile&gt; type.</v>
      </c>
      <c r="K116" t="str">
        <v>Handle does not point to underlying &lt;TimeSeriesFromFile&gt; type.</v>
      </c>
      <c r="L116" t="str">
        <v>Handle does not point to underlying &lt;TimeSeriesFromFile&gt; type.</v>
      </c>
      <c r="M116" t="str">
        <v>Handle does not point to underlying &lt;TimeSeriesFromFile&gt; type.</v>
      </c>
      <c r="N116" t="str">
        <v>Handle does not point to underlying &lt;TimeSeriesFromFile&gt; type.</v>
      </c>
      <c r="O116" t="e">
        <f t="shared" si="3"/>
        <v>#VALUE!</v>
      </c>
    </row>
    <row r="117" spans="3:15" x14ac:dyDescent="0.2">
      <c r="C117" s="10" t="str">
        <v>Tick</v>
      </c>
      <c r="D117" s="10" t="str">
        <v>buy/sell</v>
      </c>
      <c r="I117">
        <f t="shared" si="4"/>
        <v>78</v>
      </c>
      <c r="J117" t="str">
        <v>Handle does not point to underlying &lt;TimeSeriesFromFile&gt; type.</v>
      </c>
      <c r="K117" t="str">
        <v>Handle does not point to underlying &lt;TimeSeriesFromFile&gt; type.</v>
      </c>
      <c r="L117" t="str">
        <v>Handle does not point to underlying &lt;TimeSeriesFromFile&gt; type.</v>
      </c>
      <c r="M117" t="str">
        <v>Handle does not point to underlying &lt;TimeSeriesFromFile&gt; type.</v>
      </c>
      <c r="N117" t="str">
        <v>Handle does not point to underlying &lt;TimeSeriesFromFile&gt; type.</v>
      </c>
      <c r="O117" t="e">
        <f t="shared" si="3"/>
        <v>#VALUE!</v>
      </c>
    </row>
    <row r="118" spans="3:15" x14ac:dyDescent="0.2">
      <c r="C118" s="10" t="str">
        <v>Tick</v>
      </c>
      <c r="D118" s="10" t="str">
        <v>buy/sell</v>
      </c>
      <c r="I118">
        <f t="shared" si="4"/>
        <v>79</v>
      </c>
      <c r="J118" t="str">
        <v>Handle does not point to underlying &lt;TimeSeriesFromFile&gt; type.</v>
      </c>
      <c r="K118" t="str">
        <v>Handle does not point to underlying &lt;TimeSeriesFromFile&gt; type.</v>
      </c>
      <c r="L118" t="str">
        <v>Handle does not point to underlying &lt;TimeSeriesFromFile&gt; type.</v>
      </c>
      <c r="M118" t="str">
        <v>Handle does not point to underlying &lt;TimeSeriesFromFile&gt; type.</v>
      </c>
      <c r="N118" t="str">
        <v>Handle does not point to underlying &lt;TimeSeriesFromFile&gt; type.</v>
      </c>
      <c r="O118" t="e">
        <f t="shared" si="3"/>
        <v>#VALUE!</v>
      </c>
    </row>
    <row r="119" spans="3:15" x14ac:dyDescent="0.2">
      <c r="C119" s="10" t="str">
        <v>Tick</v>
      </c>
      <c r="D119" s="10" t="str">
        <v>buy/sell</v>
      </c>
      <c r="I119">
        <f t="shared" si="4"/>
        <v>80</v>
      </c>
      <c r="J119" t="str">
        <v>Handle does not point to underlying &lt;TimeSeriesFromFile&gt; type.</v>
      </c>
      <c r="K119" t="str">
        <v>Handle does not point to underlying &lt;TimeSeriesFromFile&gt; type.</v>
      </c>
      <c r="L119" t="str">
        <v>Handle does not point to underlying &lt;TimeSeriesFromFile&gt; type.</v>
      </c>
      <c r="M119" t="str">
        <v>Handle does not point to underlying &lt;TimeSeriesFromFile&gt; type.</v>
      </c>
      <c r="N119" t="str">
        <v>Handle does not point to underlying &lt;TimeSeriesFromFile&gt; type.</v>
      </c>
      <c r="O119" t="e">
        <f t="shared" si="3"/>
        <v>#VALUE!</v>
      </c>
    </row>
    <row r="120" spans="3:15" x14ac:dyDescent="0.2">
      <c r="C120" s="10" t="str">
        <v>Tick</v>
      </c>
      <c r="D120" s="10" t="str">
        <v>buy/sell</v>
      </c>
      <c r="I120">
        <f t="shared" si="4"/>
        <v>81</v>
      </c>
      <c r="J120" t="str">
        <v>Handle does not point to underlying &lt;TimeSeriesFromFile&gt; type.</v>
      </c>
      <c r="K120" t="str">
        <v>Handle does not point to underlying &lt;TimeSeriesFromFile&gt; type.</v>
      </c>
      <c r="L120" t="str">
        <v>Handle does not point to underlying &lt;TimeSeriesFromFile&gt; type.</v>
      </c>
      <c r="M120" t="str">
        <v>Handle does not point to underlying &lt;TimeSeriesFromFile&gt; type.</v>
      </c>
      <c r="N120" t="str">
        <v>Handle does not point to underlying &lt;TimeSeriesFromFile&gt; type.</v>
      </c>
      <c r="O120" t="e">
        <f t="shared" si="3"/>
        <v>#VALUE!</v>
      </c>
    </row>
    <row r="121" spans="3:15" x14ac:dyDescent="0.2">
      <c r="C121" s="10" t="str">
        <v>Tick</v>
      </c>
      <c r="D121" s="10" t="str">
        <v>buy/sell</v>
      </c>
      <c r="I121">
        <f t="shared" si="4"/>
        <v>82</v>
      </c>
      <c r="J121" t="str">
        <v>Handle does not point to underlying &lt;TimeSeriesFromFile&gt; type.</v>
      </c>
      <c r="K121" t="str">
        <v>Handle does not point to underlying &lt;TimeSeriesFromFile&gt; type.</v>
      </c>
      <c r="L121" t="str">
        <v>Handle does not point to underlying &lt;TimeSeriesFromFile&gt; type.</v>
      </c>
      <c r="M121" t="str">
        <v>Handle does not point to underlying &lt;TimeSeriesFromFile&gt; type.</v>
      </c>
      <c r="N121" t="str">
        <v>Handle does not point to underlying &lt;TimeSeriesFromFile&gt; type.</v>
      </c>
      <c r="O121" t="e">
        <f t="shared" si="3"/>
        <v>#VALUE!</v>
      </c>
    </row>
    <row r="122" spans="3:15" x14ac:dyDescent="0.2">
      <c r="C122" s="10" t="str">
        <v>Tick</v>
      </c>
      <c r="D122" s="10" t="str">
        <v>buy/sell</v>
      </c>
      <c r="I122">
        <f t="shared" si="4"/>
        <v>83</v>
      </c>
      <c r="J122" t="str">
        <v>Handle does not point to underlying &lt;TimeSeriesFromFile&gt; type.</v>
      </c>
      <c r="K122" t="str">
        <v>Handle does not point to underlying &lt;TimeSeriesFromFile&gt; type.</v>
      </c>
      <c r="L122" t="str">
        <v>Handle does not point to underlying &lt;TimeSeriesFromFile&gt; type.</v>
      </c>
      <c r="M122" t="str">
        <v>Handle does not point to underlying &lt;TimeSeriesFromFile&gt; type.</v>
      </c>
      <c r="N122" t="str">
        <v>Handle does not point to underlying &lt;TimeSeriesFromFile&gt; type.</v>
      </c>
      <c r="O122" t="e">
        <f t="shared" si="3"/>
        <v>#VALUE!</v>
      </c>
    </row>
    <row r="123" spans="3:15" x14ac:dyDescent="0.2">
      <c r="C123" s="10" t="str">
        <v>Tick</v>
      </c>
      <c r="D123" s="10" t="str">
        <v>buy/sell</v>
      </c>
      <c r="I123">
        <f t="shared" si="4"/>
        <v>84</v>
      </c>
      <c r="J123" t="str">
        <v>Handle does not point to underlying &lt;TimeSeriesFromFile&gt; type.</v>
      </c>
      <c r="K123" t="str">
        <v>Handle does not point to underlying &lt;TimeSeriesFromFile&gt; type.</v>
      </c>
      <c r="L123" t="str">
        <v>Handle does not point to underlying &lt;TimeSeriesFromFile&gt; type.</v>
      </c>
      <c r="M123" t="str">
        <v>Handle does not point to underlying &lt;TimeSeriesFromFile&gt; type.</v>
      </c>
      <c r="N123" t="str">
        <v>Handle does not point to underlying &lt;TimeSeriesFromFile&gt; type.</v>
      </c>
      <c r="O123" t="e">
        <f t="shared" si="3"/>
        <v>#VALUE!</v>
      </c>
    </row>
    <row r="124" spans="3:15" x14ac:dyDescent="0.2">
      <c r="C124" s="10" t="str">
        <v>Tick</v>
      </c>
      <c r="D124" s="10" t="str">
        <v>buy/sell</v>
      </c>
      <c r="I124">
        <f t="shared" si="4"/>
        <v>85</v>
      </c>
      <c r="J124" t="str">
        <v>Handle does not point to underlying &lt;TimeSeriesFromFile&gt; type.</v>
      </c>
      <c r="K124" t="str">
        <v>Handle does not point to underlying &lt;TimeSeriesFromFile&gt; type.</v>
      </c>
      <c r="L124" t="str">
        <v>Handle does not point to underlying &lt;TimeSeriesFromFile&gt; type.</v>
      </c>
      <c r="M124" t="str">
        <v>Handle does not point to underlying &lt;TimeSeriesFromFile&gt; type.</v>
      </c>
      <c r="N124" t="str">
        <v>Handle does not point to underlying &lt;TimeSeriesFromFile&gt; type.</v>
      </c>
      <c r="O124" t="e">
        <f t="shared" si="3"/>
        <v>#VALUE!</v>
      </c>
    </row>
    <row r="125" spans="3:15" x14ac:dyDescent="0.2">
      <c r="C125" s="10" t="str">
        <v>Tick</v>
      </c>
      <c r="D125" s="10" t="str">
        <v>buy/sell</v>
      </c>
      <c r="I125">
        <f t="shared" si="4"/>
        <v>86</v>
      </c>
      <c r="J125" t="str">
        <v>Handle does not point to underlying &lt;TimeSeriesFromFile&gt; type.</v>
      </c>
      <c r="K125" t="str">
        <v>Handle does not point to underlying &lt;TimeSeriesFromFile&gt; type.</v>
      </c>
      <c r="L125" t="str">
        <v>Handle does not point to underlying &lt;TimeSeriesFromFile&gt; type.</v>
      </c>
      <c r="M125" t="str">
        <v>Handle does not point to underlying &lt;TimeSeriesFromFile&gt; type.</v>
      </c>
      <c r="N125" t="str">
        <v>Handle does not point to underlying &lt;TimeSeriesFromFile&gt; type.</v>
      </c>
      <c r="O125" t="e">
        <f t="shared" si="3"/>
        <v>#VALUE!</v>
      </c>
    </row>
    <row r="126" spans="3:15" x14ac:dyDescent="0.2">
      <c r="C126" s="10" t="str">
        <v>Tick</v>
      </c>
      <c r="D126" s="10" t="str">
        <v>buy/sell</v>
      </c>
      <c r="I126">
        <f t="shared" si="4"/>
        <v>87</v>
      </c>
      <c r="J126" t="str">
        <v>Handle does not point to underlying &lt;TimeSeriesFromFile&gt; type.</v>
      </c>
      <c r="K126" t="str">
        <v>Handle does not point to underlying &lt;TimeSeriesFromFile&gt; type.</v>
      </c>
      <c r="L126" t="str">
        <v>Handle does not point to underlying &lt;TimeSeriesFromFile&gt; type.</v>
      </c>
      <c r="M126" t="str">
        <v>Handle does not point to underlying &lt;TimeSeriesFromFile&gt; type.</v>
      </c>
      <c r="N126" t="str">
        <v>Handle does not point to underlying &lt;TimeSeriesFromFile&gt; type.</v>
      </c>
      <c r="O126" t="e">
        <f t="shared" si="3"/>
        <v>#VALUE!</v>
      </c>
    </row>
    <row r="127" spans="3:15" x14ac:dyDescent="0.2">
      <c r="C127" s="10" t="str">
        <v>Tick</v>
      </c>
      <c r="D127" s="10" t="str">
        <v>buy/sell</v>
      </c>
      <c r="I127">
        <f t="shared" si="4"/>
        <v>88</v>
      </c>
      <c r="J127" t="str">
        <v>Handle does not point to underlying &lt;TimeSeriesFromFile&gt; type.</v>
      </c>
      <c r="K127" t="str">
        <v>Handle does not point to underlying &lt;TimeSeriesFromFile&gt; type.</v>
      </c>
      <c r="L127" t="str">
        <v>Handle does not point to underlying &lt;TimeSeriesFromFile&gt; type.</v>
      </c>
      <c r="M127" t="str">
        <v>Handle does not point to underlying &lt;TimeSeriesFromFile&gt; type.</v>
      </c>
      <c r="N127" t="str">
        <v>Handle does not point to underlying &lt;TimeSeriesFromFile&gt; type.</v>
      </c>
      <c r="O127" t="e">
        <f t="shared" si="3"/>
        <v>#VALUE!</v>
      </c>
    </row>
    <row r="128" spans="3:15" x14ac:dyDescent="0.2">
      <c r="C128" s="10" t="str">
        <v>Tick</v>
      </c>
      <c r="D128" s="10" t="str">
        <v>buy/sell</v>
      </c>
      <c r="I128">
        <f t="shared" si="4"/>
        <v>89</v>
      </c>
      <c r="J128" t="str">
        <v>Handle does not point to underlying &lt;TimeSeriesFromFile&gt; type.</v>
      </c>
      <c r="K128" t="str">
        <v>Handle does not point to underlying &lt;TimeSeriesFromFile&gt; type.</v>
      </c>
      <c r="L128" t="str">
        <v>Handle does not point to underlying &lt;TimeSeriesFromFile&gt; type.</v>
      </c>
      <c r="M128" t="str">
        <v>Handle does not point to underlying &lt;TimeSeriesFromFile&gt; type.</v>
      </c>
      <c r="N128" t="str">
        <v>Handle does not point to underlying &lt;TimeSeriesFromFile&gt; type.</v>
      </c>
      <c r="O128" t="e">
        <f t="shared" si="3"/>
        <v>#VALUE!</v>
      </c>
    </row>
    <row r="129" spans="3:15" x14ac:dyDescent="0.2">
      <c r="C129" s="10" t="str">
        <v>Tick</v>
      </c>
      <c r="D129" s="10" t="str">
        <v>buy/sell</v>
      </c>
      <c r="I129">
        <f t="shared" si="4"/>
        <v>90</v>
      </c>
      <c r="J129" t="str">
        <v>Handle does not point to underlying &lt;TimeSeriesFromFile&gt; type.</v>
      </c>
      <c r="K129" t="str">
        <v>Handle does not point to underlying &lt;TimeSeriesFromFile&gt; type.</v>
      </c>
      <c r="L129" t="str">
        <v>Handle does not point to underlying &lt;TimeSeriesFromFile&gt; type.</v>
      </c>
      <c r="M129" t="str">
        <v>Handle does not point to underlying &lt;TimeSeriesFromFile&gt; type.</v>
      </c>
      <c r="N129" t="str">
        <v>Handle does not point to underlying &lt;TimeSeriesFromFile&gt; type.</v>
      </c>
      <c r="O129" t="e">
        <f t="shared" si="3"/>
        <v>#VALUE!</v>
      </c>
    </row>
    <row r="130" spans="3:15" x14ac:dyDescent="0.2">
      <c r="C130" s="10" t="str">
        <v>Tick</v>
      </c>
      <c r="D130" s="10" t="str">
        <v>buy/sell</v>
      </c>
      <c r="I130">
        <f t="shared" si="4"/>
        <v>91</v>
      </c>
      <c r="J130" t="str">
        <v>Handle does not point to underlying &lt;TimeSeriesFromFile&gt; type.</v>
      </c>
      <c r="K130" t="str">
        <v>Handle does not point to underlying &lt;TimeSeriesFromFile&gt; type.</v>
      </c>
      <c r="L130" t="str">
        <v>Handle does not point to underlying &lt;TimeSeriesFromFile&gt; type.</v>
      </c>
      <c r="M130" t="str">
        <v>Handle does not point to underlying &lt;TimeSeriesFromFile&gt; type.</v>
      </c>
      <c r="N130" t="str">
        <v>Handle does not point to underlying &lt;TimeSeriesFromFile&gt; type.</v>
      </c>
      <c r="O130" t="e">
        <f t="shared" si="3"/>
        <v>#VALUE!</v>
      </c>
    </row>
    <row r="131" spans="3:15" x14ac:dyDescent="0.2">
      <c r="C131" s="10" t="str">
        <v>Tick</v>
      </c>
      <c r="D131" s="10" t="str">
        <v>buy/sell</v>
      </c>
      <c r="I131">
        <f t="shared" si="4"/>
        <v>92</v>
      </c>
      <c r="J131" t="str">
        <v>Handle does not point to underlying &lt;TimeSeriesFromFile&gt; type.</v>
      </c>
      <c r="K131" t="str">
        <v>Handle does not point to underlying &lt;TimeSeriesFromFile&gt; type.</v>
      </c>
      <c r="L131" t="str">
        <v>Handle does not point to underlying &lt;TimeSeriesFromFile&gt; type.</v>
      </c>
      <c r="M131" t="str">
        <v>Handle does not point to underlying &lt;TimeSeriesFromFile&gt; type.</v>
      </c>
      <c r="N131" t="str">
        <v>Handle does not point to underlying &lt;TimeSeriesFromFile&gt; type.</v>
      </c>
      <c r="O131" t="e">
        <f t="shared" ref="O131:O167" si="5">M131-N131</f>
        <v>#VALUE!</v>
      </c>
    </row>
    <row r="132" spans="3:15" x14ac:dyDescent="0.2">
      <c r="C132" s="10" t="str">
        <v>Tick</v>
      </c>
      <c r="D132" s="10" t="str">
        <v>buy/sell</v>
      </c>
      <c r="I132">
        <f t="shared" si="4"/>
        <v>93</v>
      </c>
      <c r="J132" t="str">
        <v>Handle does not point to underlying &lt;TimeSeriesFromFile&gt; type.</v>
      </c>
      <c r="K132" t="str">
        <v>Handle does not point to underlying &lt;TimeSeriesFromFile&gt; type.</v>
      </c>
      <c r="L132" t="str">
        <v>Handle does not point to underlying &lt;TimeSeriesFromFile&gt; type.</v>
      </c>
      <c r="M132" t="str">
        <v>Handle does not point to underlying &lt;TimeSeriesFromFile&gt; type.</v>
      </c>
      <c r="N132" t="str">
        <v>Handle does not point to underlying &lt;TimeSeriesFromFile&gt; type.</v>
      </c>
      <c r="O132" t="e">
        <f t="shared" si="5"/>
        <v>#VALUE!</v>
      </c>
    </row>
    <row r="133" spans="3:15" x14ac:dyDescent="0.2">
      <c r="C133" s="10" t="str">
        <v>Tick</v>
      </c>
      <c r="D133" s="10" t="str">
        <v>buy/sell</v>
      </c>
      <c r="I133">
        <f t="shared" si="4"/>
        <v>94</v>
      </c>
      <c r="J133" t="str">
        <v>Handle does not point to underlying &lt;TimeSeriesFromFile&gt; type.</v>
      </c>
      <c r="K133" t="str">
        <v>Handle does not point to underlying &lt;TimeSeriesFromFile&gt; type.</v>
      </c>
      <c r="L133" t="str">
        <v>Handle does not point to underlying &lt;TimeSeriesFromFile&gt; type.</v>
      </c>
      <c r="M133" t="str">
        <v>Handle does not point to underlying &lt;TimeSeriesFromFile&gt; type.</v>
      </c>
      <c r="N133" t="str">
        <v>Handle does not point to underlying &lt;TimeSeriesFromFile&gt; type.</v>
      </c>
      <c r="O133" t="e">
        <f t="shared" si="5"/>
        <v>#VALUE!</v>
      </c>
    </row>
    <row r="134" spans="3:15" x14ac:dyDescent="0.2">
      <c r="C134" s="10" t="str">
        <v>Tick</v>
      </c>
      <c r="D134" s="10" t="str">
        <v>buy/sell</v>
      </c>
      <c r="I134">
        <f t="shared" si="4"/>
        <v>95</v>
      </c>
      <c r="J134" t="str">
        <v>Handle does not point to underlying &lt;TimeSeriesFromFile&gt; type.</v>
      </c>
      <c r="K134" t="str">
        <v>Handle does not point to underlying &lt;TimeSeriesFromFile&gt; type.</v>
      </c>
      <c r="L134" t="str">
        <v>Handle does not point to underlying &lt;TimeSeriesFromFile&gt; type.</v>
      </c>
      <c r="M134" t="str">
        <v>Handle does not point to underlying &lt;TimeSeriesFromFile&gt; type.</v>
      </c>
      <c r="N134" t="str">
        <v>Handle does not point to underlying &lt;TimeSeriesFromFile&gt; type.</v>
      </c>
      <c r="O134" t="e">
        <f t="shared" si="5"/>
        <v>#VALUE!</v>
      </c>
    </row>
    <row r="135" spans="3:15" x14ac:dyDescent="0.2">
      <c r="C135" s="10" t="str">
        <v>Tick</v>
      </c>
      <c r="D135" s="10" t="str">
        <v>buy/sell</v>
      </c>
      <c r="I135">
        <f t="shared" si="4"/>
        <v>96</v>
      </c>
      <c r="J135" t="str">
        <v>Handle does not point to underlying &lt;TimeSeriesFromFile&gt; type.</v>
      </c>
      <c r="K135" t="str">
        <v>Handle does not point to underlying &lt;TimeSeriesFromFile&gt; type.</v>
      </c>
      <c r="L135" t="str">
        <v>Handle does not point to underlying &lt;TimeSeriesFromFile&gt; type.</v>
      </c>
      <c r="M135" t="str">
        <v>Handle does not point to underlying &lt;TimeSeriesFromFile&gt; type.</v>
      </c>
      <c r="N135" t="str">
        <v>Handle does not point to underlying &lt;TimeSeriesFromFile&gt; type.</v>
      </c>
      <c r="O135" t="e">
        <f t="shared" si="5"/>
        <v>#VALUE!</v>
      </c>
    </row>
    <row r="136" spans="3:15" x14ac:dyDescent="0.2">
      <c r="C136" s="10" t="str">
        <v>Tick</v>
      </c>
      <c r="D136" s="10" t="str">
        <v>buy/sell</v>
      </c>
      <c r="I136">
        <f t="shared" si="4"/>
        <v>97</v>
      </c>
      <c r="J136" t="str">
        <v>Handle does not point to underlying &lt;TimeSeriesFromFile&gt; type.</v>
      </c>
      <c r="K136" t="str">
        <v>Handle does not point to underlying &lt;TimeSeriesFromFile&gt; type.</v>
      </c>
      <c r="L136" t="str">
        <v>Handle does not point to underlying &lt;TimeSeriesFromFile&gt; type.</v>
      </c>
      <c r="M136" t="str">
        <v>Handle does not point to underlying &lt;TimeSeriesFromFile&gt; type.</v>
      </c>
      <c r="N136" t="str">
        <v>Handle does not point to underlying &lt;TimeSeriesFromFile&gt; type.</v>
      </c>
      <c r="O136" t="e">
        <f t="shared" si="5"/>
        <v>#VALUE!</v>
      </c>
    </row>
    <row r="137" spans="3:15" x14ac:dyDescent="0.2">
      <c r="C137" s="10" t="str">
        <v>Tick</v>
      </c>
      <c r="D137" s="10" t="str">
        <v>buy/sell</v>
      </c>
      <c r="I137">
        <f t="shared" si="4"/>
        <v>98</v>
      </c>
      <c r="J137" t="str">
        <v>Handle does not point to underlying &lt;TimeSeriesFromFile&gt; type.</v>
      </c>
      <c r="K137" t="str">
        <v>Handle does not point to underlying &lt;TimeSeriesFromFile&gt; type.</v>
      </c>
      <c r="L137" t="str">
        <v>Handle does not point to underlying &lt;TimeSeriesFromFile&gt; type.</v>
      </c>
      <c r="M137" t="str">
        <v>Handle does not point to underlying &lt;TimeSeriesFromFile&gt; type.</v>
      </c>
      <c r="N137" t="str">
        <v>Handle does not point to underlying &lt;TimeSeriesFromFile&gt; type.</v>
      </c>
      <c r="O137" t="e">
        <f t="shared" si="5"/>
        <v>#VALUE!</v>
      </c>
    </row>
    <row r="138" spans="3:15" x14ac:dyDescent="0.2">
      <c r="C138" s="10" t="str">
        <v>Tick</v>
      </c>
      <c r="D138" s="10" t="str">
        <v>buy/sell</v>
      </c>
      <c r="I138">
        <f t="shared" si="4"/>
        <v>99</v>
      </c>
      <c r="J138" t="str">
        <v>Handle does not point to underlying &lt;TimeSeriesFromFile&gt; type.</v>
      </c>
      <c r="K138" t="str">
        <v>Handle does not point to underlying &lt;TimeSeriesFromFile&gt; type.</v>
      </c>
      <c r="L138" t="str">
        <v>Handle does not point to underlying &lt;TimeSeriesFromFile&gt; type.</v>
      </c>
      <c r="M138" t="str">
        <v>Handle does not point to underlying &lt;TimeSeriesFromFile&gt; type.</v>
      </c>
      <c r="N138" t="str">
        <v>Handle does not point to underlying &lt;TimeSeriesFromFile&gt; type.</v>
      </c>
      <c r="O138" t="e">
        <f t="shared" si="5"/>
        <v>#VALUE!</v>
      </c>
    </row>
    <row r="139" spans="3:15" x14ac:dyDescent="0.2">
      <c r="C139" s="10" t="str">
        <v>Tick</v>
      </c>
      <c r="D139" s="10" t="str">
        <v>buy/sell</v>
      </c>
      <c r="I139">
        <f t="shared" si="4"/>
        <v>100</v>
      </c>
      <c r="J139" t="str">
        <v>Handle does not point to underlying &lt;TimeSeriesFromFile&gt; type.</v>
      </c>
      <c r="K139" t="str">
        <v>Handle does not point to underlying &lt;TimeSeriesFromFile&gt; type.</v>
      </c>
      <c r="L139" t="str">
        <v>Handle does not point to underlying &lt;TimeSeriesFromFile&gt; type.</v>
      </c>
      <c r="M139" t="str">
        <v>Handle does not point to underlying &lt;TimeSeriesFromFile&gt; type.</v>
      </c>
      <c r="N139" t="str">
        <v>Handle does not point to underlying &lt;TimeSeriesFromFile&gt; type.</v>
      </c>
      <c r="O139" t="e">
        <f t="shared" si="5"/>
        <v>#VALUE!</v>
      </c>
    </row>
    <row r="140" spans="3:15" x14ac:dyDescent="0.2">
      <c r="C140" s="10" t="str">
        <v>Tick</v>
      </c>
      <c r="D140" s="10" t="str">
        <v>buy/sell</v>
      </c>
      <c r="I140">
        <f t="shared" si="4"/>
        <v>101</v>
      </c>
      <c r="J140" t="str">
        <v>Handle does not point to underlying &lt;TimeSeriesFromFile&gt; type.</v>
      </c>
      <c r="K140" t="str">
        <v>Handle does not point to underlying &lt;TimeSeriesFromFile&gt; type.</v>
      </c>
      <c r="L140" t="str">
        <v>Handle does not point to underlying &lt;TimeSeriesFromFile&gt; type.</v>
      </c>
      <c r="M140" t="str">
        <v>Handle does not point to underlying &lt;TimeSeriesFromFile&gt; type.</v>
      </c>
      <c r="N140" t="str">
        <v>Handle does not point to underlying &lt;TimeSeriesFromFile&gt; type.</v>
      </c>
      <c r="O140" t="e">
        <f t="shared" si="5"/>
        <v>#VALUE!</v>
      </c>
    </row>
    <row r="141" spans="3:15" x14ac:dyDescent="0.2">
      <c r="C141" s="10" t="str">
        <v>Tick</v>
      </c>
      <c r="D141" s="10" t="str">
        <v>buy/sell</v>
      </c>
      <c r="I141">
        <f t="shared" si="4"/>
        <v>102</v>
      </c>
      <c r="J141" t="str">
        <v>Handle does not point to underlying &lt;TimeSeriesFromFile&gt; type.</v>
      </c>
      <c r="K141" t="str">
        <v>Handle does not point to underlying &lt;TimeSeriesFromFile&gt; type.</v>
      </c>
      <c r="L141" t="str">
        <v>Handle does not point to underlying &lt;TimeSeriesFromFile&gt; type.</v>
      </c>
      <c r="M141" t="str">
        <v>Handle does not point to underlying &lt;TimeSeriesFromFile&gt; type.</v>
      </c>
      <c r="N141" t="str">
        <v>Handle does not point to underlying &lt;TimeSeriesFromFile&gt; type.</v>
      </c>
      <c r="O141" t="e">
        <f t="shared" si="5"/>
        <v>#VALUE!</v>
      </c>
    </row>
    <row r="142" spans="3:15" x14ac:dyDescent="0.2">
      <c r="C142" s="10" t="str">
        <v>Tick</v>
      </c>
      <c r="D142" s="10" t="str">
        <v>buy/sell</v>
      </c>
      <c r="I142">
        <f t="shared" si="4"/>
        <v>103</v>
      </c>
      <c r="J142" t="str">
        <v>Handle does not point to underlying &lt;TimeSeriesFromFile&gt; type.</v>
      </c>
      <c r="K142" t="str">
        <v>Handle does not point to underlying &lt;TimeSeriesFromFile&gt; type.</v>
      </c>
      <c r="L142" t="str">
        <v>Handle does not point to underlying &lt;TimeSeriesFromFile&gt; type.</v>
      </c>
      <c r="M142" t="str">
        <v>Handle does not point to underlying &lt;TimeSeriesFromFile&gt; type.</v>
      </c>
      <c r="N142" t="str">
        <v>Handle does not point to underlying &lt;TimeSeriesFromFile&gt; type.</v>
      </c>
      <c r="O142" t="e">
        <f t="shared" si="5"/>
        <v>#VALUE!</v>
      </c>
    </row>
    <row r="143" spans="3:15" x14ac:dyDescent="0.2">
      <c r="C143" s="10" t="str">
        <v>Tick</v>
      </c>
      <c r="D143" s="10" t="str">
        <v>buy/sell</v>
      </c>
      <c r="I143">
        <f t="shared" si="4"/>
        <v>104</v>
      </c>
      <c r="J143" t="str">
        <v>Handle does not point to underlying &lt;TimeSeriesFromFile&gt; type.</v>
      </c>
      <c r="K143" t="str">
        <v>Handle does not point to underlying &lt;TimeSeriesFromFile&gt; type.</v>
      </c>
      <c r="L143" t="str">
        <v>Handle does not point to underlying &lt;TimeSeriesFromFile&gt; type.</v>
      </c>
      <c r="M143" t="str">
        <v>Handle does not point to underlying &lt;TimeSeriesFromFile&gt; type.</v>
      </c>
      <c r="N143" t="str">
        <v>Handle does not point to underlying &lt;TimeSeriesFromFile&gt; type.</v>
      </c>
      <c r="O143" t="e">
        <f t="shared" si="5"/>
        <v>#VALUE!</v>
      </c>
    </row>
    <row r="144" spans="3:15" x14ac:dyDescent="0.2">
      <c r="C144" s="10" t="str">
        <v>Tick</v>
      </c>
      <c r="D144" s="10" t="str">
        <v>buy/sell</v>
      </c>
      <c r="I144">
        <f t="shared" si="4"/>
        <v>105</v>
      </c>
      <c r="J144" t="str">
        <v>Handle does not point to underlying &lt;TimeSeriesFromFile&gt; type.</v>
      </c>
      <c r="K144" t="str">
        <v>Handle does not point to underlying &lt;TimeSeriesFromFile&gt; type.</v>
      </c>
      <c r="L144" t="str">
        <v>Handle does not point to underlying &lt;TimeSeriesFromFile&gt; type.</v>
      </c>
      <c r="M144" t="str">
        <v>Handle does not point to underlying &lt;TimeSeriesFromFile&gt; type.</v>
      </c>
      <c r="N144" t="str">
        <v>Handle does not point to underlying &lt;TimeSeriesFromFile&gt; type.</v>
      </c>
      <c r="O144" t="e">
        <f t="shared" si="5"/>
        <v>#VALUE!</v>
      </c>
    </row>
    <row r="145" spans="3:15" x14ac:dyDescent="0.2">
      <c r="C145" s="10" t="str">
        <v>Tick</v>
      </c>
      <c r="D145" s="10" t="str">
        <v>buy/sell</v>
      </c>
      <c r="I145">
        <f t="shared" si="4"/>
        <v>106</v>
      </c>
      <c r="J145" t="str">
        <v>Handle does not point to underlying &lt;TimeSeriesFromFile&gt; type.</v>
      </c>
      <c r="K145" t="str">
        <v>Handle does not point to underlying &lt;TimeSeriesFromFile&gt; type.</v>
      </c>
      <c r="L145" t="str">
        <v>Handle does not point to underlying &lt;TimeSeriesFromFile&gt; type.</v>
      </c>
      <c r="M145" t="str">
        <v>Handle does not point to underlying &lt;TimeSeriesFromFile&gt; type.</v>
      </c>
      <c r="N145" t="str">
        <v>Handle does not point to underlying &lt;TimeSeriesFromFile&gt; type.</v>
      </c>
      <c r="O145" t="e">
        <f t="shared" si="5"/>
        <v>#VALUE!</v>
      </c>
    </row>
    <row r="146" spans="3:15" x14ac:dyDescent="0.2">
      <c r="C146" s="10" t="str">
        <v>Tick</v>
      </c>
      <c r="D146" s="10" t="str">
        <v>buy/sell</v>
      </c>
      <c r="I146">
        <f t="shared" si="4"/>
        <v>107</v>
      </c>
      <c r="J146" t="str">
        <v>Handle does not point to underlying &lt;TimeSeriesFromFile&gt; type.</v>
      </c>
      <c r="K146" t="str">
        <v>Handle does not point to underlying &lt;TimeSeriesFromFile&gt; type.</v>
      </c>
      <c r="L146" t="str">
        <v>Handle does not point to underlying &lt;TimeSeriesFromFile&gt; type.</v>
      </c>
      <c r="M146" t="str">
        <v>Handle does not point to underlying &lt;TimeSeriesFromFile&gt; type.</v>
      </c>
      <c r="N146" t="str">
        <v>Handle does not point to underlying &lt;TimeSeriesFromFile&gt; type.</v>
      </c>
      <c r="O146" t="e">
        <f t="shared" si="5"/>
        <v>#VALUE!</v>
      </c>
    </row>
    <row r="147" spans="3:15" x14ac:dyDescent="0.2">
      <c r="C147" s="10" t="str">
        <v>Tick</v>
      </c>
      <c r="D147" s="10" t="str">
        <v>buy/sell</v>
      </c>
      <c r="I147">
        <f t="shared" si="4"/>
        <v>108</v>
      </c>
      <c r="J147" t="str">
        <v>Handle does not point to underlying &lt;TimeSeriesFromFile&gt; type.</v>
      </c>
      <c r="K147" t="str">
        <v>Handle does not point to underlying &lt;TimeSeriesFromFile&gt; type.</v>
      </c>
      <c r="L147" t="str">
        <v>Handle does not point to underlying &lt;TimeSeriesFromFile&gt; type.</v>
      </c>
      <c r="M147" t="str">
        <v>Handle does not point to underlying &lt;TimeSeriesFromFile&gt; type.</v>
      </c>
      <c r="N147" t="str">
        <v>Handle does not point to underlying &lt;TimeSeriesFromFile&gt; type.</v>
      </c>
      <c r="O147" t="e">
        <f t="shared" si="5"/>
        <v>#VALUE!</v>
      </c>
    </row>
    <row r="148" spans="3:15" x14ac:dyDescent="0.2">
      <c r="C148" s="10" t="str">
        <v>Tick</v>
      </c>
      <c r="D148" s="10" t="str">
        <v>buy/sell</v>
      </c>
      <c r="I148">
        <f t="shared" si="4"/>
        <v>109</v>
      </c>
      <c r="J148" t="str">
        <v>Handle does not point to underlying &lt;TimeSeriesFromFile&gt; type.</v>
      </c>
      <c r="K148" t="str">
        <v>Handle does not point to underlying &lt;TimeSeriesFromFile&gt; type.</v>
      </c>
      <c r="L148" t="str">
        <v>Handle does not point to underlying &lt;TimeSeriesFromFile&gt; type.</v>
      </c>
      <c r="M148" t="str">
        <v>Handle does not point to underlying &lt;TimeSeriesFromFile&gt; type.</v>
      </c>
      <c r="N148" t="str">
        <v>Handle does not point to underlying &lt;TimeSeriesFromFile&gt; type.</v>
      </c>
      <c r="O148" t="e">
        <f t="shared" si="5"/>
        <v>#VALUE!</v>
      </c>
    </row>
    <row r="149" spans="3:15" x14ac:dyDescent="0.2">
      <c r="C149" s="10" t="str">
        <v>Tick</v>
      </c>
      <c r="D149" s="10" t="str">
        <v>buy/sell</v>
      </c>
      <c r="I149">
        <f t="shared" si="4"/>
        <v>110</v>
      </c>
      <c r="J149" t="str">
        <v>Handle does not point to underlying &lt;TimeSeriesFromFile&gt; type.</v>
      </c>
      <c r="K149" t="str">
        <v>Handle does not point to underlying &lt;TimeSeriesFromFile&gt; type.</v>
      </c>
      <c r="L149" t="str">
        <v>Handle does not point to underlying &lt;TimeSeriesFromFile&gt; type.</v>
      </c>
      <c r="M149" t="str">
        <v>Handle does not point to underlying &lt;TimeSeriesFromFile&gt; type.</v>
      </c>
      <c r="N149" t="str">
        <v>Handle does not point to underlying &lt;TimeSeriesFromFile&gt; type.</v>
      </c>
      <c r="O149" t="e">
        <f t="shared" si="5"/>
        <v>#VALUE!</v>
      </c>
    </row>
    <row r="150" spans="3:15" x14ac:dyDescent="0.2">
      <c r="C150" s="10" t="str">
        <v>Tick</v>
      </c>
      <c r="D150" s="10" t="str">
        <v>buy/sell</v>
      </c>
      <c r="I150">
        <f t="shared" si="4"/>
        <v>111</v>
      </c>
      <c r="J150" t="str">
        <v>Handle does not point to underlying &lt;TimeSeriesFromFile&gt; type.</v>
      </c>
      <c r="K150" t="str">
        <v>Handle does not point to underlying &lt;TimeSeriesFromFile&gt; type.</v>
      </c>
      <c r="L150" t="str">
        <v>Handle does not point to underlying &lt;TimeSeriesFromFile&gt; type.</v>
      </c>
      <c r="M150" t="str">
        <v>Handle does not point to underlying &lt;TimeSeriesFromFile&gt; type.</v>
      </c>
      <c r="N150" t="str">
        <v>Handle does not point to underlying &lt;TimeSeriesFromFile&gt; type.</v>
      </c>
      <c r="O150" t="e">
        <f t="shared" si="5"/>
        <v>#VALUE!</v>
      </c>
    </row>
    <row r="151" spans="3:15" x14ac:dyDescent="0.2">
      <c r="C151" s="10" t="str">
        <v>Tick</v>
      </c>
      <c r="D151" s="10" t="str">
        <v>buy/sell</v>
      </c>
      <c r="I151">
        <f t="shared" si="4"/>
        <v>112</v>
      </c>
      <c r="J151" t="str">
        <v>Handle does not point to underlying &lt;TimeSeriesFromFile&gt; type.</v>
      </c>
      <c r="K151" t="str">
        <v>Handle does not point to underlying &lt;TimeSeriesFromFile&gt; type.</v>
      </c>
      <c r="L151" t="str">
        <v>Handle does not point to underlying &lt;TimeSeriesFromFile&gt; type.</v>
      </c>
      <c r="M151" t="str">
        <v>Handle does not point to underlying &lt;TimeSeriesFromFile&gt; type.</v>
      </c>
      <c r="N151" t="str">
        <v>Handle does not point to underlying &lt;TimeSeriesFromFile&gt; type.</v>
      </c>
      <c r="O151" t="e">
        <f t="shared" si="5"/>
        <v>#VALUE!</v>
      </c>
    </row>
    <row r="152" spans="3:15" x14ac:dyDescent="0.2">
      <c r="C152" s="10" t="str">
        <v>Tick</v>
      </c>
      <c r="D152" s="10" t="str">
        <v>buy/sell</v>
      </c>
      <c r="I152">
        <f t="shared" si="4"/>
        <v>113</v>
      </c>
      <c r="J152" t="str">
        <v>Handle does not point to underlying &lt;TimeSeriesFromFile&gt; type.</v>
      </c>
      <c r="K152" t="str">
        <v>Handle does not point to underlying &lt;TimeSeriesFromFile&gt; type.</v>
      </c>
      <c r="L152" t="str">
        <v>Handle does not point to underlying &lt;TimeSeriesFromFile&gt; type.</v>
      </c>
      <c r="M152" t="str">
        <v>Handle does not point to underlying &lt;TimeSeriesFromFile&gt; type.</v>
      </c>
      <c r="N152" t="str">
        <v>Handle does not point to underlying &lt;TimeSeriesFromFile&gt; type.</v>
      </c>
      <c r="O152" t="e">
        <f t="shared" si="5"/>
        <v>#VALUE!</v>
      </c>
    </row>
    <row r="153" spans="3:15" x14ac:dyDescent="0.2">
      <c r="C153" s="10" t="str">
        <v>Tick</v>
      </c>
      <c r="D153" s="10" t="str">
        <v>buy/sell</v>
      </c>
      <c r="I153">
        <f t="shared" si="4"/>
        <v>114</v>
      </c>
      <c r="J153" t="str">
        <v>Handle does not point to underlying &lt;TimeSeriesFromFile&gt; type.</v>
      </c>
      <c r="K153" t="str">
        <v>Handle does not point to underlying &lt;TimeSeriesFromFile&gt; type.</v>
      </c>
      <c r="L153" t="str">
        <v>Handle does not point to underlying &lt;TimeSeriesFromFile&gt; type.</v>
      </c>
      <c r="M153" t="str">
        <v>Handle does not point to underlying &lt;TimeSeriesFromFile&gt; type.</v>
      </c>
      <c r="N153" t="str">
        <v>Handle does not point to underlying &lt;TimeSeriesFromFile&gt; type.</v>
      </c>
      <c r="O153" t="e">
        <f t="shared" si="5"/>
        <v>#VALUE!</v>
      </c>
    </row>
    <row r="154" spans="3:15" x14ac:dyDescent="0.2">
      <c r="C154" s="10" t="str">
        <v>Tick</v>
      </c>
      <c r="D154" s="10" t="str">
        <v>buy/sell</v>
      </c>
      <c r="I154">
        <f t="shared" si="4"/>
        <v>115</v>
      </c>
      <c r="J154" t="str">
        <v>Handle does not point to underlying &lt;TimeSeriesFromFile&gt; type.</v>
      </c>
      <c r="K154" t="str">
        <v>Handle does not point to underlying &lt;TimeSeriesFromFile&gt; type.</v>
      </c>
      <c r="L154" t="str">
        <v>Handle does not point to underlying &lt;TimeSeriesFromFile&gt; type.</v>
      </c>
      <c r="M154" t="str">
        <v>Handle does not point to underlying &lt;TimeSeriesFromFile&gt; type.</v>
      </c>
      <c r="N154" t="str">
        <v>Handle does not point to underlying &lt;TimeSeriesFromFile&gt; type.</v>
      </c>
      <c r="O154" t="e">
        <f t="shared" si="5"/>
        <v>#VALUE!</v>
      </c>
    </row>
    <row r="155" spans="3:15" x14ac:dyDescent="0.2">
      <c r="C155" s="10" t="str">
        <v>Tick</v>
      </c>
      <c r="D155" s="10" t="str">
        <v>buy/sell</v>
      </c>
      <c r="I155">
        <f t="shared" si="4"/>
        <v>116</v>
      </c>
      <c r="J155" t="str">
        <v>Handle does not point to underlying &lt;TimeSeriesFromFile&gt; type.</v>
      </c>
      <c r="K155" t="str">
        <v>Handle does not point to underlying &lt;TimeSeriesFromFile&gt; type.</v>
      </c>
      <c r="L155" t="str">
        <v>Handle does not point to underlying &lt;TimeSeriesFromFile&gt; type.</v>
      </c>
      <c r="M155" t="str">
        <v>Handle does not point to underlying &lt;TimeSeriesFromFile&gt; type.</v>
      </c>
      <c r="N155" t="str">
        <v>Handle does not point to underlying &lt;TimeSeriesFromFile&gt; type.</v>
      </c>
      <c r="O155" t="e">
        <f t="shared" si="5"/>
        <v>#VALUE!</v>
      </c>
    </row>
    <row r="156" spans="3:15" x14ac:dyDescent="0.2">
      <c r="C156" s="10" t="str">
        <v>Tick</v>
      </c>
      <c r="D156" s="10" t="str">
        <v>buy/sell</v>
      </c>
      <c r="I156">
        <f t="shared" si="4"/>
        <v>117</v>
      </c>
      <c r="J156" t="str">
        <v>Handle does not point to underlying &lt;TimeSeriesFromFile&gt; type.</v>
      </c>
      <c r="K156" t="str">
        <v>Handle does not point to underlying &lt;TimeSeriesFromFile&gt; type.</v>
      </c>
      <c r="L156" t="str">
        <v>Handle does not point to underlying &lt;TimeSeriesFromFile&gt; type.</v>
      </c>
      <c r="M156" t="str">
        <v>Handle does not point to underlying &lt;TimeSeriesFromFile&gt; type.</v>
      </c>
      <c r="N156" t="str">
        <v>Handle does not point to underlying &lt;TimeSeriesFromFile&gt; type.</v>
      </c>
      <c r="O156" t="e">
        <f t="shared" si="5"/>
        <v>#VALUE!</v>
      </c>
    </row>
    <row r="157" spans="3:15" x14ac:dyDescent="0.2">
      <c r="C157" s="10" t="str">
        <v>Tick</v>
      </c>
      <c r="D157" s="10" t="str">
        <v>buy/sell</v>
      </c>
      <c r="I157">
        <f t="shared" si="4"/>
        <v>118</v>
      </c>
      <c r="J157" t="str">
        <v>Handle does not point to underlying &lt;TimeSeriesFromFile&gt; type.</v>
      </c>
      <c r="K157" t="str">
        <v>Handle does not point to underlying &lt;TimeSeriesFromFile&gt; type.</v>
      </c>
      <c r="L157" t="str">
        <v>Handle does not point to underlying &lt;TimeSeriesFromFile&gt; type.</v>
      </c>
      <c r="M157" t="str">
        <v>Handle does not point to underlying &lt;TimeSeriesFromFile&gt; type.</v>
      </c>
      <c r="N157" t="str">
        <v>Handle does not point to underlying &lt;TimeSeriesFromFile&gt; type.</v>
      </c>
      <c r="O157" t="e">
        <f t="shared" si="5"/>
        <v>#VALUE!</v>
      </c>
    </row>
    <row r="158" spans="3:15" x14ac:dyDescent="0.2">
      <c r="C158" s="10" t="str">
        <v>Tick</v>
      </c>
      <c r="D158" s="10" t="str">
        <v>buy/sell</v>
      </c>
      <c r="I158">
        <f t="shared" si="4"/>
        <v>119</v>
      </c>
      <c r="J158" t="str">
        <v>Handle does not point to underlying &lt;TimeSeriesFromFile&gt; type.</v>
      </c>
      <c r="K158" t="str">
        <v>Handle does not point to underlying &lt;TimeSeriesFromFile&gt; type.</v>
      </c>
      <c r="L158" t="str">
        <v>Handle does not point to underlying &lt;TimeSeriesFromFile&gt; type.</v>
      </c>
      <c r="M158" t="str">
        <v>Handle does not point to underlying &lt;TimeSeriesFromFile&gt; type.</v>
      </c>
      <c r="N158" t="str">
        <v>Handle does not point to underlying &lt;TimeSeriesFromFile&gt; type.</v>
      </c>
      <c r="O158" t="e">
        <f t="shared" si="5"/>
        <v>#VALUE!</v>
      </c>
    </row>
    <row r="159" spans="3:15" x14ac:dyDescent="0.2">
      <c r="C159" s="10" t="str">
        <v>Tick</v>
      </c>
      <c r="D159" s="10" t="str">
        <v>buy/sell</v>
      </c>
      <c r="I159">
        <f t="shared" si="4"/>
        <v>120</v>
      </c>
      <c r="J159" t="str">
        <v>Handle does not point to underlying &lt;TimeSeriesFromFile&gt; type.</v>
      </c>
      <c r="K159" t="str">
        <v>Handle does not point to underlying &lt;TimeSeriesFromFile&gt; type.</v>
      </c>
      <c r="L159" t="str">
        <v>Handle does not point to underlying &lt;TimeSeriesFromFile&gt; type.</v>
      </c>
      <c r="M159" t="str">
        <v>Handle does not point to underlying &lt;TimeSeriesFromFile&gt; type.</v>
      </c>
      <c r="N159" t="str">
        <v>Handle does not point to underlying &lt;TimeSeriesFromFile&gt; type.</v>
      </c>
      <c r="O159" t="e">
        <f t="shared" si="5"/>
        <v>#VALUE!</v>
      </c>
    </row>
    <row r="160" spans="3:15" x14ac:dyDescent="0.2">
      <c r="C160" s="10" t="str">
        <v>Tick</v>
      </c>
      <c r="D160" s="10" t="str">
        <v>buy/sell</v>
      </c>
      <c r="I160">
        <f t="shared" si="4"/>
        <v>121</v>
      </c>
      <c r="J160" t="str">
        <v>Handle does not point to underlying &lt;TimeSeriesFromFile&gt; type.</v>
      </c>
      <c r="K160" t="str">
        <v>Handle does not point to underlying &lt;TimeSeriesFromFile&gt; type.</v>
      </c>
      <c r="L160" t="str">
        <v>Handle does not point to underlying &lt;TimeSeriesFromFile&gt; type.</v>
      </c>
      <c r="M160" t="str">
        <v>Handle does not point to underlying &lt;TimeSeriesFromFile&gt; type.</v>
      </c>
      <c r="N160" t="str">
        <v>Handle does not point to underlying &lt;TimeSeriesFromFile&gt; type.</v>
      </c>
      <c r="O160" t="e">
        <f t="shared" si="5"/>
        <v>#VALUE!</v>
      </c>
    </row>
    <row r="161" spans="3:15" x14ac:dyDescent="0.2">
      <c r="C161" s="10" t="str">
        <v>Tick</v>
      </c>
      <c r="D161" s="10" t="str">
        <v>buy/sell</v>
      </c>
      <c r="I161">
        <f t="shared" si="4"/>
        <v>122</v>
      </c>
      <c r="J161" t="str">
        <v>Handle does not point to underlying &lt;TimeSeriesFromFile&gt; type.</v>
      </c>
      <c r="K161" t="str">
        <v>Handle does not point to underlying &lt;TimeSeriesFromFile&gt; type.</v>
      </c>
      <c r="L161" t="str">
        <v>Handle does not point to underlying &lt;TimeSeriesFromFile&gt; type.</v>
      </c>
      <c r="M161" t="str">
        <v>Handle does not point to underlying &lt;TimeSeriesFromFile&gt; type.</v>
      </c>
      <c r="N161" t="str">
        <v>Handle does not point to underlying &lt;TimeSeriesFromFile&gt; type.</v>
      </c>
      <c r="O161" t="e">
        <f t="shared" si="5"/>
        <v>#VALUE!</v>
      </c>
    </row>
    <row r="162" spans="3:15" x14ac:dyDescent="0.2">
      <c r="C162" s="10" t="str">
        <v>Tick</v>
      </c>
      <c r="D162" s="10" t="str">
        <v>buy/sell</v>
      </c>
      <c r="I162">
        <f t="shared" si="4"/>
        <v>123</v>
      </c>
      <c r="J162" t="str">
        <v>Handle does not point to underlying &lt;TimeSeriesFromFile&gt; type.</v>
      </c>
      <c r="K162" t="str">
        <v>Handle does not point to underlying &lt;TimeSeriesFromFile&gt; type.</v>
      </c>
      <c r="L162" t="str">
        <v>Handle does not point to underlying &lt;TimeSeriesFromFile&gt; type.</v>
      </c>
      <c r="M162" t="str">
        <v>Handle does not point to underlying &lt;TimeSeriesFromFile&gt; type.</v>
      </c>
      <c r="N162" t="str">
        <v>Handle does not point to underlying &lt;TimeSeriesFromFile&gt; type.</v>
      </c>
      <c r="O162" t="e">
        <f t="shared" si="5"/>
        <v>#VALUE!</v>
      </c>
    </row>
    <row r="163" spans="3:15" x14ac:dyDescent="0.2">
      <c r="C163" s="10" t="str">
        <v>Tick</v>
      </c>
      <c r="D163" s="10" t="str">
        <v>buy/sell</v>
      </c>
      <c r="I163">
        <f t="shared" si="4"/>
        <v>124</v>
      </c>
      <c r="J163" t="str">
        <v>Handle does not point to underlying &lt;TimeSeriesFromFile&gt; type.</v>
      </c>
      <c r="K163" t="str">
        <v>Handle does not point to underlying &lt;TimeSeriesFromFile&gt; type.</v>
      </c>
      <c r="L163" t="str">
        <v>Handle does not point to underlying &lt;TimeSeriesFromFile&gt; type.</v>
      </c>
      <c r="M163" t="str">
        <v>Handle does not point to underlying &lt;TimeSeriesFromFile&gt; type.</v>
      </c>
      <c r="N163" t="str">
        <v>Handle does not point to underlying &lt;TimeSeriesFromFile&gt; type.</v>
      </c>
      <c r="O163" t="e">
        <f t="shared" si="5"/>
        <v>#VALUE!</v>
      </c>
    </row>
    <row r="164" spans="3:15" x14ac:dyDescent="0.2">
      <c r="C164" s="10" t="str">
        <v>Tick</v>
      </c>
      <c r="D164" s="10" t="str">
        <v>buy/sell</v>
      </c>
      <c r="I164">
        <f t="shared" si="4"/>
        <v>125</v>
      </c>
      <c r="J164" t="str">
        <v>Handle does not point to underlying &lt;TimeSeriesFromFile&gt; type.</v>
      </c>
      <c r="K164" t="str">
        <v>Handle does not point to underlying &lt;TimeSeriesFromFile&gt; type.</v>
      </c>
      <c r="L164" t="str">
        <v>Handle does not point to underlying &lt;TimeSeriesFromFile&gt; type.</v>
      </c>
      <c r="M164" t="str">
        <v>Handle does not point to underlying &lt;TimeSeriesFromFile&gt; type.</v>
      </c>
      <c r="N164" t="str">
        <v>Handle does not point to underlying &lt;TimeSeriesFromFile&gt; type.</v>
      </c>
      <c r="O164" t="e">
        <f t="shared" si="5"/>
        <v>#VALUE!</v>
      </c>
    </row>
    <row r="165" spans="3:15" x14ac:dyDescent="0.2">
      <c r="C165" s="10" t="str">
        <v>Tick</v>
      </c>
      <c r="D165" s="10" t="str">
        <v>buy/sell</v>
      </c>
      <c r="I165">
        <f t="shared" si="4"/>
        <v>126</v>
      </c>
      <c r="J165" t="str">
        <v>Handle does not point to underlying &lt;TimeSeriesFromFile&gt; type.</v>
      </c>
      <c r="K165" t="str">
        <v>Handle does not point to underlying &lt;TimeSeriesFromFile&gt; type.</v>
      </c>
      <c r="L165" t="str">
        <v>Handle does not point to underlying &lt;TimeSeriesFromFile&gt; type.</v>
      </c>
      <c r="M165" t="str">
        <v>Handle does not point to underlying &lt;TimeSeriesFromFile&gt; type.</v>
      </c>
      <c r="N165" t="str">
        <v>Handle does not point to underlying &lt;TimeSeriesFromFile&gt; type.</v>
      </c>
      <c r="O165" t="e">
        <f t="shared" si="5"/>
        <v>#VALUE!</v>
      </c>
    </row>
    <row r="166" spans="3:15" x14ac:dyDescent="0.2">
      <c r="C166" s="10" t="str">
        <v>Tick</v>
      </c>
      <c r="D166" s="10" t="str">
        <v>buy/sell</v>
      </c>
      <c r="I166">
        <f t="shared" si="4"/>
        <v>127</v>
      </c>
      <c r="J166" t="str">
        <v>Handle does not point to underlying &lt;TimeSeriesFromFile&gt; type.</v>
      </c>
      <c r="K166" t="str">
        <v>Handle does not point to underlying &lt;TimeSeriesFromFile&gt; type.</v>
      </c>
      <c r="L166" t="str">
        <v>Handle does not point to underlying &lt;TimeSeriesFromFile&gt; type.</v>
      </c>
      <c r="M166" t="str">
        <v>Handle does not point to underlying &lt;TimeSeriesFromFile&gt; type.</v>
      </c>
      <c r="N166" t="str">
        <v>Handle does not point to underlying &lt;TimeSeriesFromFile&gt; type.</v>
      </c>
      <c r="O166" t="e">
        <f t="shared" si="5"/>
        <v>#VALUE!</v>
      </c>
    </row>
    <row r="167" spans="3:15" x14ac:dyDescent="0.2">
      <c r="C167" s="10" t="str">
        <v>Tick</v>
      </c>
      <c r="D167" s="10" t="str">
        <v>buy/sell</v>
      </c>
      <c r="I167">
        <f t="shared" si="4"/>
        <v>128</v>
      </c>
      <c r="J167" t="str">
        <v>Handle does not point to underlying &lt;TimeSeriesFromFile&gt; type.</v>
      </c>
      <c r="K167" t="str">
        <v>Handle does not point to underlying &lt;TimeSeriesFromFile&gt; type.</v>
      </c>
      <c r="L167" t="str">
        <v>Handle does not point to underlying &lt;TimeSeriesFromFile&gt; type.</v>
      </c>
      <c r="M167" t="str">
        <v>Handle does not point to underlying &lt;TimeSeriesFromFile&gt; type.</v>
      </c>
      <c r="N167" t="str">
        <v>Handle does not point to underlying &lt;TimeSeriesFromFile&gt; type.</v>
      </c>
      <c r="O167" t="e">
        <f t="shared" si="5"/>
        <v>#VALUE!</v>
      </c>
    </row>
    <row r="168" spans="3:15" x14ac:dyDescent="0.2">
      <c r="C168" s="10" t="str">
        <v>Tick</v>
      </c>
      <c r="D168" s="10" t="str">
        <v>buy/sell</v>
      </c>
      <c r="I168">
        <f t="shared" si="4"/>
        <v>129</v>
      </c>
      <c r="J168" t="str">
        <v>Handle does not point to underlying &lt;TimeSeriesFromFile&gt; type.</v>
      </c>
      <c r="K168" t="str">
        <v>Handle does not point to underlying &lt;TimeSeriesFromFile&gt; type.</v>
      </c>
      <c r="L168" t="str">
        <v>Handle does not point to underlying &lt;TimeSeriesFromFile&gt; type.</v>
      </c>
      <c r="M168" t="str">
        <v>Handle does not point to underlying &lt;TimeSeriesFromFile&gt; type.</v>
      </c>
      <c r="N168" t="str">
        <v>Handle does not point to underlying &lt;TimeSeriesFromFile&gt; type.</v>
      </c>
      <c r="O168" t="e">
        <f t="shared" ref="O168:O231" si="6">M168-N168</f>
        <v>#VALUE!</v>
      </c>
    </row>
    <row r="169" spans="3:15" x14ac:dyDescent="0.2">
      <c r="C169" s="10" t="str">
        <v>Tick</v>
      </c>
      <c r="D169" s="10" t="str">
        <v>buy/sell</v>
      </c>
      <c r="I169">
        <f t="shared" ref="I169:I232" si="7">I168+1</f>
        <v>130</v>
      </c>
      <c r="J169" t="str">
        <v>Handle does not point to underlying &lt;TimeSeriesFromFile&gt; type.</v>
      </c>
      <c r="K169" t="str">
        <v>Handle does not point to underlying &lt;TimeSeriesFromFile&gt; type.</v>
      </c>
      <c r="L169" t="str">
        <v>Handle does not point to underlying &lt;TimeSeriesFromFile&gt; type.</v>
      </c>
      <c r="M169" t="str">
        <v>Handle does not point to underlying &lt;TimeSeriesFromFile&gt; type.</v>
      </c>
      <c r="N169" t="str">
        <v>Handle does not point to underlying &lt;TimeSeriesFromFile&gt; type.</v>
      </c>
      <c r="O169" t="e">
        <f t="shared" si="6"/>
        <v>#VALUE!</v>
      </c>
    </row>
    <row r="170" spans="3:15" x14ac:dyDescent="0.2">
      <c r="C170" s="10" t="str">
        <v>Tick</v>
      </c>
      <c r="D170" s="10" t="str">
        <v>buy/sell</v>
      </c>
      <c r="I170">
        <f t="shared" si="7"/>
        <v>131</v>
      </c>
      <c r="J170" t="str">
        <v>Handle does not point to underlying &lt;TimeSeriesFromFile&gt; type.</v>
      </c>
      <c r="K170" t="str">
        <v>Handle does not point to underlying &lt;TimeSeriesFromFile&gt; type.</v>
      </c>
      <c r="L170" t="str">
        <v>Handle does not point to underlying &lt;TimeSeriesFromFile&gt; type.</v>
      </c>
      <c r="M170" t="str">
        <v>Handle does not point to underlying &lt;TimeSeriesFromFile&gt; type.</v>
      </c>
      <c r="N170" t="str">
        <v>Handle does not point to underlying &lt;TimeSeriesFromFile&gt; type.</v>
      </c>
      <c r="O170" t="e">
        <f t="shared" si="6"/>
        <v>#VALUE!</v>
      </c>
    </row>
    <row r="171" spans="3:15" x14ac:dyDescent="0.2">
      <c r="C171" s="10" t="str">
        <v>Tick</v>
      </c>
      <c r="D171" s="10" t="str">
        <v>buy/sell</v>
      </c>
      <c r="I171">
        <f t="shared" si="7"/>
        <v>132</v>
      </c>
      <c r="J171" t="str">
        <v>Handle does not point to underlying &lt;TimeSeriesFromFile&gt; type.</v>
      </c>
      <c r="K171" t="str">
        <v>Handle does not point to underlying &lt;TimeSeriesFromFile&gt; type.</v>
      </c>
      <c r="L171" t="str">
        <v>Handle does not point to underlying &lt;TimeSeriesFromFile&gt; type.</v>
      </c>
      <c r="M171" t="str">
        <v>Handle does not point to underlying &lt;TimeSeriesFromFile&gt; type.</v>
      </c>
      <c r="N171" t="str">
        <v>Handle does not point to underlying &lt;TimeSeriesFromFile&gt; type.</v>
      </c>
      <c r="O171" t="e">
        <f t="shared" si="6"/>
        <v>#VALUE!</v>
      </c>
    </row>
    <row r="172" spans="3:15" x14ac:dyDescent="0.2">
      <c r="C172" s="10" t="str">
        <v>Tick</v>
      </c>
      <c r="D172" s="10" t="str">
        <v>buy/sell</v>
      </c>
      <c r="I172">
        <f t="shared" si="7"/>
        <v>133</v>
      </c>
      <c r="J172" t="str">
        <v>Handle does not point to underlying &lt;TimeSeriesFromFile&gt; type.</v>
      </c>
      <c r="K172" t="str">
        <v>Handle does not point to underlying &lt;TimeSeriesFromFile&gt; type.</v>
      </c>
      <c r="L172" t="str">
        <v>Handle does not point to underlying &lt;TimeSeriesFromFile&gt; type.</v>
      </c>
      <c r="M172" t="str">
        <v>Handle does not point to underlying &lt;TimeSeriesFromFile&gt; type.</v>
      </c>
      <c r="N172" t="str">
        <v>Handle does not point to underlying &lt;TimeSeriesFromFile&gt; type.</v>
      </c>
      <c r="O172" t="e">
        <f t="shared" si="6"/>
        <v>#VALUE!</v>
      </c>
    </row>
    <row r="173" spans="3:15" x14ac:dyDescent="0.2">
      <c r="C173" s="10" t="str">
        <v>Tick</v>
      </c>
      <c r="D173" s="10" t="str">
        <v>buy/sell</v>
      </c>
      <c r="I173">
        <f t="shared" si="7"/>
        <v>134</v>
      </c>
      <c r="J173" t="str">
        <v>Handle does not point to underlying &lt;TimeSeriesFromFile&gt; type.</v>
      </c>
      <c r="K173" t="str">
        <v>Handle does not point to underlying &lt;TimeSeriesFromFile&gt; type.</v>
      </c>
      <c r="L173" t="str">
        <v>Handle does not point to underlying &lt;TimeSeriesFromFile&gt; type.</v>
      </c>
      <c r="M173" t="str">
        <v>Handle does not point to underlying &lt;TimeSeriesFromFile&gt; type.</v>
      </c>
      <c r="N173" t="str">
        <v>Handle does not point to underlying &lt;TimeSeriesFromFile&gt; type.</v>
      </c>
      <c r="O173" t="e">
        <f t="shared" si="6"/>
        <v>#VALUE!</v>
      </c>
    </row>
    <row r="174" spans="3:15" x14ac:dyDescent="0.2">
      <c r="C174" s="10" t="str">
        <v>Tick</v>
      </c>
      <c r="D174" s="10" t="str">
        <v>buy/sell</v>
      </c>
      <c r="I174">
        <f t="shared" si="7"/>
        <v>135</v>
      </c>
      <c r="J174" t="str">
        <v>Handle does not point to underlying &lt;TimeSeriesFromFile&gt; type.</v>
      </c>
      <c r="K174" t="str">
        <v>Handle does not point to underlying &lt;TimeSeriesFromFile&gt; type.</v>
      </c>
      <c r="L174" t="str">
        <v>Handle does not point to underlying &lt;TimeSeriesFromFile&gt; type.</v>
      </c>
      <c r="M174" t="str">
        <v>Handle does not point to underlying &lt;TimeSeriesFromFile&gt; type.</v>
      </c>
      <c r="N174" t="str">
        <v>Handle does not point to underlying &lt;TimeSeriesFromFile&gt; type.</v>
      </c>
      <c r="O174" t="e">
        <f t="shared" si="6"/>
        <v>#VALUE!</v>
      </c>
    </row>
    <row r="175" spans="3:15" x14ac:dyDescent="0.2">
      <c r="C175" s="10" t="str">
        <v>Tick</v>
      </c>
      <c r="D175" s="10" t="str">
        <v>buy/sell</v>
      </c>
      <c r="I175">
        <f t="shared" si="7"/>
        <v>136</v>
      </c>
      <c r="J175" t="str">
        <v>Handle does not point to underlying &lt;TimeSeriesFromFile&gt; type.</v>
      </c>
      <c r="K175" t="str">
        <v>Handle does not point to underlying &lt;TimeSeriesFromFile&gt; type.</v>
      </c>
      <c r="L175" t="str">
        <v>Handle does not point to underlying &lt;TimeSeriesFromFile&gt; type.</v>
      </c>
      <c r="M175" t="str">
        <v>Handle does not point to underlying &lt;TimeSeriesFromFile&gt; type.</v>
      </c>
      <c r="N175" t="str">
        <v>Handle does not point to underlying &lt;TimeSeriesFromFile&gt; type.</v>
      </c>
      <c r="O175" t="e">
        <f t="shared" si="6"/>
        <v>#VALUE!</v>
      </c>
    </row>
    <row r="176" spans="3:15" x14ac:dyDescent="0.2">
      <c r="C176" s="10" t="str">
        <v>Tick</v>
      </c>
      <c r="D176" s="10" t="str">
        <v>buy/sell</v>
      </c>
      <c r="I176">
        <f t="shared" si="7"/>
        <v>137</v>
      </c>
      <c r="J176" t="str">
        <v>Handle does not point to underlying &lt;TimeSeriesFromFile&gt; type.</v>
      </c>
      <c r="K176" t="str">
        <v>Handle does not point to underlying &lt;TimeSeriesFromFile&gt; type.</v>
      </c>
      <c r="L176" t="str">
        <v>Handle does not point to underlying &lt;TimeSeriesFromFile&gt; type.</v>
      </c>
      <c r="M176" t="str">
        <v>Handle does not point to underlying &lt;TimeSeriesFromFile&gt; type.</v>
      </c>
      <c r="N176" t="str">
        <v>Handle does not point to underlying &lt;TimeSeriesFromFile&gt; type.</v>
      </c>
      <c r="O176" t="e">
        <f t="shared" si="6"/>
        <v>#VALUE!</v>
      </c>
    </row>
    <row r="177" spans="3:16" x14ac:dyDescent="0.2">
      <c r="C177" s="10" t="str">
        <v>Tick</v>
      </c>
      <c r="D177" s="10" t="str">
        <v>buy/sell</v>
      </c>
      <c r="I177">
        <f t="shared" si="7"/>
        <v>138</v>
      </c>
      <c r="J177" t="str">
        <v>Handle does not point to underlying &lt;TimeSeriesFromFile&gt; type.</v>
      </c>
      <c r="K177" t="str">
        <v>Handle does not point to underlying &lt;TimeSeriesFromFile&gt; type.</v>
      </c>
      <c r="L177" t="str">
        <v>Handle does not point to underlying &lt;TimeSeriesFromFile&gt; type.</v>
      </c>
      <c r="M177" t="str">
        <v>Handle does not point to underlying &lt;TimeSeriesFromFile&gt; type.</v>
      </c>
      <c r="N177" t="str">
        <v>Handle does not point to underlying &lt;TimeSeriesFromFile&gt; type.</v>
      </c>
      <c r="O177" t="e">
        <f t="shared" si="6"/>
        <v>#VALUE!</v>
      </c>
    </row>
    <row r="178" spans="3:16" x14ac:dyDescent="0.2">
      <c r="C178" s="10" t="str">
        <v>Tick</v>
      </c>
      <c r="D178" s="10" t="str">
        <v>buy/sell</v>
      </c>
      <c r="I178">
        <f t="shared" si="7"/>
        <v>139</v>
      </c>
      <c r="J178" t="str">
        <v>Handle does not point to underlying &lt;TimeSeriesFromFile&gt; type.</v>
      </c>
      <c r="K178" t="str">
        <v>Handle does not point to underlying &lt;TimeSeriesFromFile&gt; type.</v>
      </c>
      <c r="L178" t="str">
        <v>Handle does not point to underlying &lt;TimeSeriesFromFile&gt; type.</v>
      </c>
      <c r="M178" t="str">
        <v>Handle does not point to underlying &lt;TimeSeriesFromFile&gt; type.</v>
      </c>
      <c r="N178" t="str">
        <v>Handle does not point to underlying &lt;TimeSeriesFromFile&gt; type.</v>
      </c>
      <c r="O178" t="e">
        <f t="shared" si="6"/>
        <v>#VALUE!</v>
      </c>
    </row>
    <row r="179" spans="3:16" x14ac:dyDescent="0.2">
      <c r="C179" s="10" t="str">
        <v>Tick</v>
      </c>
      <c r="D179" s="10" t="str">
        <v>buy/sell</v>
      </c>
      <c r="I179">
        <f t="shared" si="7"/>
        <v>140</v>
      </c>
      <c r="J179" t="str">
        <v>Handle does not point to underlying &lt;TimeSeriesFromFile&gt; type.</v>
      </c>
      <c r="K179" t="str">
        <v>Handle does not point to underlying &lt;TimeSeriesFromFile&gt; type.</v>
      </c>
      <c r="L179" t="str">
        <v>Handle does not point to underlying &lt;TimeSeriesFromFile&gt; type.</v>
      </c>
      <c r="M179" t="str">
        <v>Handle does not point to underlying &lt;TimeSeriesFromFile&gt; type.</v>
      </c>
      <c r="N179" t="str">
        <v>Handle does not point to underlying &lt;TimeSeriesFromFile&gt; type.</v>
      </c>
      <c r="O179" t="e">
        <f t="shared" si="6"/>
        <v>#VALUE!</v>
      </c>
    </row>
    <row r="180" spans="3:16" x14ac:dyDescent="0.2">
      <c r="C180" s="10" t="str">
        <v>Tick</v>
      </c>
      <c r="D180" s="10" t="str">
        <v>buy/sell</v>
      </c>
      <c r="I180" s="6">
        <f t="shared" si="7"/>
        <v>141</v>
      </c>
      <c r="J180" s="6" t="str">
        <v>Handle does not point to underlying &lt;TimeSeriesFromFile&gt; type.</v>
      </c>
      <c r="K180" s="6" t="str">
        <v>Handle does not point to underlying &lt;TimeSeriesFromFile&gt; type.</v>
      </c>
      <c r="L180" s="6" t="str">
        <v>Handle does not point to underlying &lt;TimeSeriesFromFile&gt; type.</v>
      </c>
      <c r="M180" s="6" t="str">
        <v>Handle does not point to underlying &lt;TimeSeriesFromFile&gt; type.</v>
      </c>
      <c r="N180" s="6" t="str">
        <v>Handle does not point to underlying &lt;TimeSeriesFromFile&gt; type.</v>
      </c>
      <c r="O180" s="6" t="e">
        <f t="shared" si="6"/>
        <v>#VALUE!</v>
      </c>
      <c r="P180" s="13" t="s">
        <v>76</v>
      </c>
    </row>
    <row r="181" spans="3:16" x14ac:dyDescent="0.2">
      <c r="C181" s="10" t="str">
        <v>Tick</v>
      </c>
      <c r="D181" s="10" t="str">
        <v>buy/sell</v>
      </c>
      <c r="I181">
        <f t="shared" si="7"/>
        <v>142</v>
      </c>
      <c r="J181" t="str">
        <v>Handle does not point to underlying &lt;TimeSeriesFromFile&gt; type.</v>
      </c>
      <c r="K181" t="str">
        <v>Handle does not point to underlying &lt;TimeSeriesFromFile&gt; type.</v>
      </c>
      <c r="L181" t="str">
        <v>Handle does not point to underlying &lt;TimeSeriesFromFile&gt; type.</v>
      </c>
      <c r="M181" t="str">
        <v>Handle does not point to underlying &lt;TimeSeriesFromFile&gt; type.</v>
      </c>
      <c r="N181" t="str">
        <v>Handle does not point to underlying &lt;TimeSeriesFromFile&gt; type.</v>
      </c>
      <c r="O181" t="e">
        <f t="shared" si="6"/>
        <v>#VALUE!</v>
      </c>
    </row>
    <row r="182" spans="3:16" x14ac:dyDescent="0.2">
      <c r="C182" s="10" t="str">
        <v>Tick</v>
      </c>
      <c r="D182" s="10" t="str">
        <v>buy/sell</v>
      </c>
      <c r="I182">
        <f t="shared" si="7"/>
        <v>143</v>
      </c>
      <c r="J182" t="str">
        <v>Handle does not point to underlying &lt;TimeSeriesFromFile&gt; type.</v>
      </c>
      <c r="K182" t="str">
        <v>Handle does not point to underlying &lt;TimeSeriesFromFile&gt; type.</v>
      </c>
      <c r="L182" t="str">
        <v>Handle does not point to underlying &lt;TimeSeriesFromFile&gt; type.</v>
      </c>
      <c r="M182" t="str">
        <v>Handle does not point to underlying &lt;TimeSeriesFromFile&gt; type.</v>
      </c>
      <c r="N182" t="str">
        <v>Handle does not point to underlying &lt;TimeSeriesFromFile&gt; type.</v>
      </c>
      <c r="O182" t="e">
        <f t="shared" si="6"/>
        <v>#VALUE!</v>
      </c>
    </row>
    <row r="183" spans="3:16" x14ac:dyDescent="0.2">
      <c r="C183" s="10" t="str">
        <v>Tick</v>
      </c>
      <c r="D183" s="10" t="str">
        <v>buy/sell</v>
      </c>
      <c r="I183">
        <f t="shared" si="7"/>
        <v>144</v>
      </c>
      <c r="J183" t="str">
        <v>Handle does not point to underlying &lt;TimeSeriesFromFile&gt; type.</v>
      </c>
      <c r="K183" t="str">
        <v>Handle does not point to underlying &lt;TimeSeriesFromFile&gt; type.</v>
      </c>
      <c r="L183" t="str">
        <v>Handle does not point to underlying &lt;TimeSeriesFromFile&gt; type.</v>
      </c>
      <c r="M183" t="str">
        <v>Handle does not point to underlying &lt;TimeSeriesFromFile&gt; type.</v>
      </c>
      <c r="N183" t="str">
        <v>Handle does not point to underlying &lt;TimeSeriesFromFile&gt; type.</v>
      </c>
      <c r="O183" t="e">
        <f t="shared" si="6"/>
        <v>#VALUE!</v>
      </c>
    </row>
    <row r="184" spans="3:16" x14ac:dyDescent="0.2">
      <c r="C184" s="10" t="str">
        <v>Tick</v>
      </c>
      <c r="D184" s="10" t="str">
        <v>buy/sell</v>
      </c>
      <c r="I184">
        <f t="shared" si="7"/>
        <v>145</v>
      </c>
      <c r="J184" t="str">
        <v>Handle does not point to underlying &lt;TimeSeriesFromFile&gt; type.</v>
      </c>
      <c r="K184" t="str">
        <v>Handle does not point to underlying &lt;TimeSeriesFromFile&gt; type.</v>
      </c>
      <c r="L184" t="str">
        <v>Handle does not point to underlying &lt;TimeSeriesFromFile&gt; type.</v>
      </c>
      <c r="M184" t="str">
        <v>Handle does not point to underlying &lt;TimeSeriesFromFile&gt; type.</v>
      </c>
      <c r="N184" t="str">
        <v>Handle does not point to underlying &lt;TimeSeriesFromFile&gt; type.</v>
      </c>
      <c r="O184" t="e">
        <f t="shared" si="6"/>
        <v>#VALUE!</v>
      </c>
    </row>
    <row r="185" spans="3:16" x14ac:dyDescent="0.2">
      <c r="C185" s="10" t="str">
        <v>Tick</v>
      </c>
      <c r="D185" s="10" t="str">
        <v>buy/sell</v>
      </c>
      <c r="I185">
        <f t="shared" si="7"/>
        <v>146</v>
      </c>
      <c r="J185" t="str">
        <v>Handle does not point to underlying &lt;TimeSeriesFromFile&gt; type.</v>
      </c>
      <c r="K185" t="str">
        <v>Handle does not point to underlying &lt;TimeSeriesFromFile&gt; type.</v>
      </c>
      <c r="L185" t="str">
        <v>Handle does not point to underlying &lt;TimeSeriesFromFile&gt; type.</v>
      </c>
      <c r="M185" t="str">
        <v>Handle does not point to underlying &lt;TimeSeriesFromFile&gt; type.</v>
      </c>
      <c r="N185" t="str">
        <v>Handle does not point to underlying &lt;TimeSeriesFromFile&gt; type.</v>
      </c>
      <c r="O185" t="e">
        <f t="shared" si="6"/>
        <v>#VALUE!</v>
      </c>
    </row>
    <row r="186" spans="3:16" x14ac:dyDescent="0.2">
      <c r="C186" s="10" t="str">
        <v>Tick</v>
      </c>
      <c r="D186" s="10" t="str">
        <v>buy/sell</v>
      </c>
      <c r="I186">
        <f t="shared" si="7"/>
        <v>147</v>
      </c>
      <c r="J186" t="str">
        <v>Handle does not point to underlying &lt;TimeSeriesFromFile&gt; type.</v>
      </c>
      <c r="K186" t="str">
        <v>Handle does not point to underlying &lt;TimeSeriesFromFile&gt; type.</v>
      </c>
      <c r="L186" t="str">
        <v>Handle does not point to underlying &lt;TimeSeriesFromFile&gt; type.</v>
      </c>
      <c r="M186" t="str">
        <v>Handle does not point to underlying &lt;TimeSeriesFromFile&gt; type.</v>
      </c>
      <c r="N186" t="str">
        <v>Handle does not point to underlying &lt;TimeSeriesFromFile&gt; type.</v>
      </c>
      <c r="O186" t="e">
        <f t="shared" si="6"/>
        <v>#VALUE!</v>
      </c>
    </row>
    <row r="187" spans="3:16" x14ac:dyDescent="0.2">
      <c r="C187" s="10" t="str">
        <v>Tick</v>
      </c>
      <c r="D187" s="10" t="str">
        <v>buy/sell</v>
      </c>
      <c r="I187">
        <f t="shared" si="7"/>
        <v>148</v>
      </c>
      <c r="J187" t="str">
        <v>Handle does not point to underlying &lt;TimeSeriesFromFile&gt; type.</v>
      </c>
      <c r="K187" t="str">
        <v>Handle does not point to underlying &lt;TimeSeriesFromFile&gt; type.</v>
      </c>
      <c r="L187" t="str">
        <v>Handle does not point to underlying &lt;TimeSeriesFromFile&gt; type.</v>
      </c>
      <c r="M187" t="str">
        <v>Handle does not point to underlying &lt;TimeSeriesFromFile&gt; type.</v>
      </c>
      <c r="N187" t="str">
        <v>Handle does not point to underlying &lt;TimeSeriesFromFile&gt; type.</v>
      </c>
      <c r="O187" t="e">
        <f t="shared" si="6"/>
        <v>#VALUE!</v>
      </c>
    </row>
    <row r="188" spans="3:16" x14ac:dyDescent="0.2">
      <c r="C188" s="10" t="str">
        <v>Tick</v>
      </c>
      <c r="D188" s="10" t="str">
        <v>buy/sell</v>
      </c>
      <c r="I188">
        <f t="shared" si="7"/>
        <v>149</v>
      </c>
      <c r="J188" t="str">
        <v>Handle does not point to underlying &lt;TimeSeriesFromFile&gt; type.</v>
      </c>
      <c r="K188" t="str">
        <v>Handle does not point to underlying &lt;TimeSeriesFromFile&gt; type.</v>
      </c>
      <c r="L188" t="str">
        <v>Handle does not point to underlying &lt;TimeSeriesFromFile&gt; type.</v>
      </c>
      <c r="M188" t="str">
        <v>Handle does not point to underlying &lt;TimeSeriesFromFile&gt; type.</v>
      </c>
      <c r="N188" t="str">
        <v>Handle does not point to underlying &lt;TimeSeriesFromFile&gt; type.</v>
      </c>
      <c r="O188" t="e">
        <f t="shared" si="6"/>
        <v>#VALUE!</v>
      </c>
    </row>
    <row r="189" spans="3:16" x14ac:dyDescent="0.2">
      <c r="C189" s="10" t="str">
        <v>Tick</v>
      </c>
      <c r="D189" s="10" t="str">
        <v>buy/sell</v>
      </c>
      <c r="I189">
        <f t="shared" si="7"/>
        <v>150</v>
      </c>
      <c r="J189" t="str">
        <v>Handle does not point to underlying &lt;TimeSeriesFromFile&gt; type.</v>
      </c>
      <c r="K189" t="str">
        <v>Handle does not point to underlying &lt;TimeSeriesFromFile&gt; type.</v>
      </c>
      <c r="L189" t="str">
        <v>Handle does not point to underlying &lt;TimeSeriesFromFile&gt; type.</v>
      </c>
      <c r="M189" t="str">
        <v>Handle does not point to underlying &lt;TimeSeriesFromFile&gt; type.</v>
      </c>
      <c r="N189" t="str">
        <v>Handle does not point to underlying &lt;TimeSeriesFromFile&gt; type.</v>
      </c>
      <c r="O189" t="e">
        <f t="shared" si="6"/>
        <v>#VALUE!</v>
      </c>
    </row>
    <row r="190" spans="3:16" x14ac:dyDescent="0.2">
      <c r="C190" s="10" t="str">
        <v>Tick</v>
      </c>
      <c r="D190" s="10" t="str">
        <v>buy/sell</v>
      </c>
      <c r="I190">
        <f t="shared" si="7"/>
        <v>151</v>
      </c>
      <c r="J190" t="str">
        <v>Handle does not point to underlying &lt;TimeSeriesFromFile&gt; type.</v>
      </c>
      <c r="K190" t="str">
        <v>Handle does not point to underlying &lt;TimeSeriesFromFile&gt; type.</v>
      </c>
      <c r="L190" t="str">
        <v>Handle does not point to underlying &lt;TimeSeriesFromFile&gt; type.</v>
      </c>
      <c r="M190" t="str">
        <v>Handle does not point to underlying &lt;TimeSeriesFromFile&gt; type.</v>
      </c>
      <c r="N190" t="str">
        <v>Handle does not point to underlying &lt;TimeSeriesFromFile&gt; type.</v>
      </c>
      <c r="O190" t="e">
        <f t="shared" si="6"/>
        <v>#VALUE!</v>
      </c>
    </row>
    <row r="191" spans="3:16" x14ac:dyDescent="0.2">
      <c r="C191" s="10" t="str">
        <v>Tick</v>
      </c>
      <c r="D191" s="10" t="str">
        <v>buy/sell</v>
      </c>
      <c r="I191">
        <f t="shared" si="7"/>
        <v>152</v>
      </c>
      <c r="J191" t="str">
        <v>Handle does not point to underlying &lt;TimeSeriesFromFile&gt; type.</v>
      </c>
      <c r="K191" t="str">
        <v>Handle does not point to underlying &lt;TimeSeriesFromFile&gt; type.</v>
      </c>
      <c r="L191" t="str">
        <v>Handle does not point to underlying &lt;TimeSeriesFromFile&gt; type.</v>
      </c>
      <c r="M191" t="str">
        <v>Handle does not point to underlying &lt;TimeSeriesFromFile&gt; type.</v>
      </c>
      <c r="N191" t="str">
        <v>Handle does not point to underlying &lt;TimeSeriesFromFile&gt; type.</v>
      </c>
      <c r="O191" t="e">
        <f t="shared" si="6"/>
        <v>#VALUE!</v>
      </c>
    </row>
    <row r="192" spans="3:16" x14ac:dyDescent="0.2">
      <c r="C192" s="10" t="str">
        <v>Tick</v>
      </c>
      <c r="D192" s="10" t="str">
        <v>buy/sell</v>
      </c>
      <c r="I192">
        <f t="shared" si="7"/>
        <v>153</v>
      </c>
      <c r="J192" t="str">
        <v>Handle does not point to underlying &lt;TimeSeriesFromFile&gt; type.</v>
      </c>
      <c r="K192" t="str">
        <v>Handle does not point to underlying &lt;TimeSeriesFromFile&gt; type.</v>
      </c>
      <c r="L192" t="str">
        <v>Handle does not point to underlying &lt;TimeSeriesFromFile&gt; type.</v>
      </c>
      <c r="M192" t="str">
        <v>Handle does not point to underlying &lt;TimeSeriesFromFile&gt; type.</v>
      </c>
      <c r="N192" t="str">
        <v>Handle does not point to underlying &lt;TimeSeriesFromFile&gt; type.</v>
      </c>
      <c r="O192" t="e">
        <f t="shared" si="6"/>
        <v>#VALUE!</v>
      </c>
    </row>
    <row r="193" spans="3:15" x14ac:dyDescent="0.2">
      <c r="C193" s="10" t="str">
        <v>Tick</v>
      </c>
      <c r="D193" s="10" t="str">
        <v>buy/sell</v>
      </c>
      <c r="I193">
        <f t="shared" si="7"/>
        <v>154</v>
      </c>
      <c r="J193" t="str">
        <v>Handle does not point to underlying &lt;TimeSeriesFromFile&gt; type.</v>
      </c>
      <c r="K193" t="str">
        <v>Handle does not point to underlying &lt;TimeSeriesFromFile&gt; type.</v>
      </c>
      <c r="L193" t="str">
        <v>Handle does not point to underlying &lt;TimeSeriesFromFile&gt; type.</v>
      </c>
      <c r="M193" t="str">
        <v>Handle does not point to underlying &lt;TimeSeriesFromFile&gt; type.</v>
      </c>
      <c r="N193" t="str">
        <v>Handle does not point to underlying &lt;TimeSeriesFromFile&gt; type.</v>
      </c>
      <c r="O193" t="e">
        <f t="shared" si="6"/>
        <v>#VALUE!</v>
      </c>
    </row>
    <row r="194" spans="3:15" x14ac:dyDescent="0.2">
      <c r="C194" s="10" t="str">
        <v>Tick</v>
      </c>
      <c r="D194" s="10" t="str">
        <v>buy/sell</v>
      </c>
      <c r="I194">
        <f t="shared" si="7"/>
        <v>155</v>
      </c>
      <c r="J194" t="str">
        <v>Handle does not point to underlying &lt;TimeSeriesFromFile&gt; type.</v>
      </c>
      <c r="K194" t="str">
        <v>Handle does not point to underlying &lt;TimeSeriesFromFile&gt; type.</v>
      </c>
      <c r="L194" t="str">
        <v>Handle does not point to underlying &lt;TimeSeriesFromFile&gt; type.</v>
      </c>
      <c r="M194" t="str">
        <v>Handle does not point to underlying &lt;TimeSeriesFromFile&gt; type.</v>
      </c>
      <c r="N194" t="str">
        <v>Handle does not point to underlying &lt;TimeSeriesFromFile&gt; type.</v>
      </c>
      <c r="O194" t="e">
        <f t="shared" si="6"/>
        <v>#VALUE!</v>
      </c>
    </row>
    <row r="195" spans="3:15" x14ac:dyDescent="0.2">
      <c r="C195" s="10" t="str">
        <v>Tick</v>
      </c>
      <c r="D195" s="10" t="str">
        <v>buy/sell</v>
      </c>
      <c r="I195">
        <f t="shared" si="7"/>
        <v>156</v>
      </c>
      <c r="J195" t="str">
        <v>Handle does not point to underlying &lt;TimeSeriesFromFile&gt; type.</v>
      </c>
      <c r="K195" t="str">
        <v>Handle does not point to underlying &lt;TimeSeriesFromFile&gt; type.</v>
      </c>
      <c r="L195" t="str">
        <v>Handle does not point to underlying &lt;TimeSeriesFromFile&gt; type.</v>
      </c>
      <c r="M195" t="str">
        <v>Handle does not point to underlying &lt;TimeSeriesFromFile&gt; type.</v>
      </c>
      <c r="N195" t="str">
        <v>Handle does not point to underlying &lt;TimeSeriesFromFile&gt; type.</v>
      </c>
      <c r="O195" t="e">
        <f t="shared" si="6"/>
        <v>#VALUE!</v>
      </c>
    </row>
    <row r="196" spans="3:15" x14ac:dyDescent="0.2">
      <c r="C196" s="10" t="str">
        <v>Tick</v>
      </c>
      <c r="D196" s="10" t="str">
        <v>buy/sell</v>
      </c>
      <c r="I196">
        <f t="shared" si="7"/>
        <v>157</v>
      </c>
      <c r="J196" t="str">
        <v>Handle does not point to underlying &lt;TimeSeriesFromFile&gt; type.</v>
      </c>
      <c r="K196" t="str">
        <v>Handle does not point to underlying &lt;TimeSeriesFromFile&gt; type.</v>
      </c>
      <c r="L196" t="str">
        <v>Handle does not point to underlying &lt;TimeSeriesFromFile&gt; type.</v>
      </c>
      <c r="M196" t="str">
        <v>Handle does not point to underlying &lt;TimeSeriesFromFile&gt; type.</v>
      </c>
      <c r="N196" t="str">
        <v>Handle does not point to underlying &lt;TimeSeriesFromFile&gt; type.</v>
      </c>
      <c r="O196" t="e">
        <f t="shared" si="6"/>
        <v>#VALUE!</v>
      </c>
    </row>
    <row r="197" spans="3:15" x14ac:dyDescent="0.2">
      <c r="C197" s="10" t="str">
        <v>Tick</v>
      </c>
      <c r="D197" s="10" t="str">
        <v>buy/sell</v>
      </c>
      <c r="I197">
        <f t="shared" si="7"/>
        <v>158</v>
      </c>
      <c r="J197" t="str">
        <v>Handle does not point to underlying &lt;TimeSeriesFromFile&gt; type.</v>
      </c>
      <c r="K197" t="str">
        <v>Handle does not point to underlying &lt;TimeSeriesFromFile&gt; type.</v>
      </c>
      <c r="L197" t="str">
        <v>Handle does not point to underlying &lt;TimeSeriesFromFile&gt; type.</v>
      </c>
      <c r="M197" t="str">
        <v>Handle does not point to underlying &lt;TimeSeriesFromFile&gt; type.</v>
      </c>
      <c r="N197" t="str">
        <v>Handle does not point to underlying &lt;TimeSeriesFromFile&gt; type.</v>
      </c>
      <c r="O197" t="e">
        <f t="shared" si="6"/>
        <v>#VALUE!</v>
      </c>
    </row>
    <row r="198" spans="3:15" x14ac:dyDescent="0.2">
      <c r="C198" s="10" t="str">
        <v>Tick</v>
      </c>
      <c r="D198" s="10" t="str">
        <v>buy/sell</v>
      </c>
      <c r="I198">
        <f t="shared" si="7"/>
        <v>159</v>
      </c>
      <c r="J198" t="str">
        <v>Handle does not point to underlying &lt;TimeSeriesFromFile&gt; type.</v>
      </c>
      <c r="K198" t="str">
        <v>Handle does not point to underlying &lt;TimeSeriesFromFile&gt; type.</v>
      </c>
      <c r="L198" t="str">
        <v>Handle does not point to underlying &lt;TimeSeriesFromFile&gt; type.</v>
      </c>
      <c r="M198" t="str">
        <v>Handle does not point to underlying &lt;TimeSeriesFromFile&gt; type.</v>
      </c>
      <c r="N198" t="str">
        <v>Handle does not point to underlying &lt;TimeSeriesFromFile&gt; type.</v>
      </c>
      <c r="O198" t="e">
        <f t="shared" si="6"/>
        <v>#VALUE!</v>
      </c>
    </row>
    <row r="199" spans="3:15" x14ac:dyDescent="0.2">
      <c r="C199" s="10" t="str">
        <v>Tick</v>
      </c>
      <c r="D199" s="10" t="str">
        <v>buy/sell</v>
      </c>
      <c r="I199">
        <f t="shared" si="7"/>
        <v>160</v>
      </c>
      <c r="J199" t="str">
        <v>Handle does not point to underlying &lt;TimeSeriesFromFile&gt; type.</v>
      </c>
      <c r="K199" t="str">
        <v>Handle does not point to underlying &lt;TimeSeriesFromFile&gt; type.</v>
      </c>
      <c r="L199" t="str">
        <v>Handle does not point to underlying &lt;TimeSeriesFromFile&gt; type.</v>
      </c>
      <c r="M199" t="str">
        <v>Handle does not point to underlying &lt;TimeSeriesFromFile&gt; type.</v>
      </c>
      <c r="N199" t="str">
        <v>Handle does not point to underlying &lt;TimeSeriesFromFile&gt; type.</v>
      </c>
      <c r="O199" t="e">
        <f t="shared" si="6"/>
        <v>#VALUE!</v>
      </c>
    </row>
    <row r="200" spans="3:15" x14ac:dyDescent="0.2">
      <c r="C200" s="10" t="str">
        <v>Tick</v>
      </c>
      <c r="D200" s="10" t="str">
        <v>buy/sell</v>
      </c>
      <c r="I200">
        <f t="shared" si="7"/>
        <v>161</v>
      </c>
      <c r="J200" t="str">
        <v>Handle does not point to underlying &lt;TimeSeriesFromFile&gt; type.</v>
      </c>
      <c r="K200" t="str">
        <v>Handle does not point to underlying &lt;TimeSeriesFromFile&gt; type.</v>
      </c>
      <c r="L200" t="str">
        <v>Handle does not point to underlying &lt;TimeSeriesFromFile&gt; type.</v>
      </c>
      <c r="M200" t="str">
        <v>Handle does not point to underlying &lt;TimeSeriesFromFile&gt; type.</v>
      </c>
      <c r="N200" t="str">
        <v>Handle does not point to underlying &lt;TimeSeriesFromFile&gt; type.</v>
      </c>
      <c r="O200" t="e">
        <f t="shared" si="6"/>
        <v>#VALUE!</v>
      </c>
    </row>
    <row r="201" spans="3:15" x14ac:dyDescent="0.2">
      <c r="C201" s="10" t="str">
        <v>Tick</v>
      </c>
      <c r="D201" s="10" t="str">
        <v>buy/sell</v>
      </c>
      <c r="I201">
        <f t="shared" si="7"/>
        <v>162</v>
      </c>
      <c r="J201" t="str">
        <v>Handle does not point to underlying &lt;TimeSeriesFromFile&gt; type.</v>
      </c>
      <c r="K201" t="str">
        <v>Handle does not point to underlying &lt;TimeSeriesFromFile&gt; type.</v>
      </c>
      <c r="L201" t="str">
        <v>Handle does not point to underlying &lt;TimeSeriesFromFile&gt; type.</v>
      </c>
      <c r="M201" t="str">
        <v>Handle does not point to underlying &lt;TimeSeriesFromFile&gt; type.</v>
      </c>
      <c r="N201" t="str">
        <v>Handle does not point to underlying &lt;TimeSeriesFromFile&gt; type.</v>
      </c>
      <c r="O201" t="e">
        <f t="shared" si="6"/>
        <v>#VALUE!</v>
      </c>
    </row>
    <row r="202" spans="3:15" x14ac:dyDescent="0.2">
      <c r="C202" s="10" t="str">
        <v>Tick</v>
      </c>
      <c r="D202" s="10" t="str">
        <v>buy/sell</v>
      </c>
      <c r="I202">
        <f t="shared" si="7"/>
        <v>163</v>
      </c>
      <c r="J202" t="str">
        <v>Handle does not point to underlying &lt;TimeSeriesFromFile&gt; type.</v>
      </c>
      <c r="K202" t="str">
        <v>Handle does not point to underlying &lt;TimeSeriesFromFile&gt; type.</v>
      </c>
      <c r="L202" t="str">
        <v>Handle does not point to underlying &lt;TimeSeriesFromFile&gt; type.</v>
      </c>
      <c r="M202" t="str">
        <v>Handle does not point to underlying &lt;TimeSeriesFromFile&gt; type.</v>
      </c>
      <c r="N202" t="str">
        <v>Handle does not point to underlying &lt;TimeSeriesFromFile&gt; type.</v>
      </c>
      <c r="O202" t="e">
        <f t="shared" si="6"/>
        <v>#VALUE!</v>
      </c>
    </row>
    <row r="203" spans="3:15" x14ac:dyDescent="0.2">
      <c r="C203" s="10" t="str">
        <v>Tick</v>
      </c>
      <c r="D203" s="10" t="str">
        <v>buy/sell</v>
      </c>
      <c r="I203">
        <f t="shared" si="7"/>
        <v>164</v>
      </c>
      <c r="J203" t="str">
        <v>Handle does not point to underlying &lt;TimeSeriesFromFile&gt; type.</v>
      </c>
      <c r="K203" t="str">
        <v>Handle does not point to underlying &lt;TimeSeriesFromFile&gt; type.</v>
      </c>
      <c r="L203" t="str">
        <v>Handle does not point to underlying &lt;TimeSeriesFromFile&gt; type.</v>
      </c>
      <c r="M203" t="str">
        <v>Handle does not point to underlying &lt;TimeSeriesFromFile&gt; type.</v>
      </c>
      <c r="N203" t="str">
        <v>Handle does not point to underlying &lt;TimeSeriesFromFile&gt; type.</v>
      </c>
      <c r="O203" t="e">
        <f t="shared" si="6"/>
        <v>#VALUE!</v>
      </c>
    </row>
    <row r="204" spans="3:15" x14ac:dyDescent="0.2">
      <c r="C204" s="10" t="str">
        <v>Tick</v>
      </c>
      <c r="D204" s="10" t="str">
        <v>buy/sell</v>
      </c>
      <c r="I204">
        <f t="shared" si="7"/>
        <v>165</v>
      </c>
      <c r="J204" t="str">
        <v>Handle does not point to underlying &lt;TimeSeriesFromFile&gt; type.</v>
      </c>
      <c r="K204" t="str">
        <v>Handle does not point to underlying &lt;TimeSeriesFromFile&gt; type.</v>
      </c>
      <c r="L204" t="str">
        <v>Handle does not point to underlying &lt;TimeSeriesFromFile&gt; type.</v>
      </c>
      <c r="M204" t="str">
        <v>Handle does not point to underlying &lt;TimeSeriesFromFile&gt; type.</v>
      </c>
      <c r="N204" t="str">
        <v>Handle does not point to underlying &lt;TimeSeriesFromFile&gt; type.</v>
      </c>
      <c r="O204" t="e">
        <f t="shared" si="6"/>
        <v>#VALUE!</v>
      </c>
    </row>
    <row r="205" spans="3:15" x14ac:dyDescent="0.2">
      <c r="C205" s="10" t="str">
        <v>Tick</v>
      </c>
      <c r="D205" s="10" t="str">
        <v>buy/sell</v>
      </c>
      <c r="I205">
        <f t="shared" si="7"/>
        <v>166</v>
      </c>
      <c r="J205" t="str">
        <v>Handle does not point to underlying &lt;TimeSeriesFromFile&gt; type.</v>
      </c>
      <c r="K205" t="str">
        <v>Handle does not point to underlying &lt;TimeSeriesFromFile&gt; type.</v>
      </c>
      <c r="L205" t="str">
        <v>Handle does not point to underlying &lt;TimeSeriesFromFile&gt; type.</v>
      </c>
      <c r="M205" t="str">
        <v>Handle does not point to underlying &lt;TimeSeriesFromFile&gt; type.</v>
      </c>
      <c r="N205" t="str">
        <v>Handle does not point to underlying &lt;TimeSeriesFromFile&gt; type.</v>
      </c>
      <c r="O205" t="e">
        <f t="shared" si="6"/>
        <v>#VALUE!</v>
      </c>
    </row>
    <row r="206" spans="3:15" x14ac:dyDescent="0.2">
      <c r="C206" s="10" t="str">
        <v>Tick</v>
      </c>
      <c r="D206" s="10" t="str">
        <v>buy/sell</v>
      </c>
      <c r="I206">
        <f t="shared" si="7"/>
        <v>167</v>
      </c>
      <c r="J206" t="str">
        <v>Handle does not point to underlying &lt;TimeSeriesFromFile&gt; type.</v>
      </c>
      <c r="K206" t="str">
        <v>Handle does not point to underlying &lt;TimeSeriesFromFile&gt; type.</v>
      </c>
      <c r="L206" t="str">
        <v>Handle does not point to underlying &lt;TimeSeriesFromFile&gt; type.</v>
      </c>
      <c r="M206" t="str">
        <v>Handle does not point to underlying &lt;TimeSeriesFromFile&gt; type.</v>
      </c>
      <c r="N206" t="str">
        <v>Handle does not point to underlying &lt;TimeSeriesFromFile&gt; type.</v>
      </c>
      <c r="O206" t="e">
        <f t="shared" si="6"/>
        <v>#VALUE!</v>
      </c>
    </row>
    <row r="207" spans="3:15" x14ac:dyDescent="0.2">
      <c r="C207" s="10" t="str">
        <v>Tick</v>
      </c>
      <c r="D207" s="10" t="str">
        <v>buy/sell</v>
      </c>
      <c r="I207">
        <f t="shared" si="7"/>
        <v>168</v>
      </c>
      <c r="J207" t="str">
        <v>Handle does not point to underlying &lt;TimeSeriesFromFile&gt; type.</v>
      </c>
      <c r="K207" t="str">
        <v>Handle does not point to underlying &lt;TimeSeriesFromFile&gt; type.</v>
      </c>
      <c r="L207" t="str">
        <v>Handle does not point to underlying &lt;TimeSeriesFromFile&gt; type.</v>
      </c>
      <c r="M207" t="str">
        <v>Handle does not point to underlying &lt;TimeSeriesFromFile&gt; type.</v>
      </c>
      <c r="N207" t="str">
        <v>Handle does not point to underlying &lt;TimeSeriesFromFile&gt; type.</v>
      </c>
      <c r="O207" t="e">
        <f t="shared" si="6"/>
        <v>#VALUE!</v>
      </c>
    </row>
    <row r="208" spans="3:15" x14ac:dyDescent="0.2">
      <c r="C208" s="10" t="str">
        <v>Tick</v>
      </c>
      <c r="D208" s="10" t="str">
        <v>buy/sell</v>
      </c>
      <c r="I208">
        <f t="shared" si="7"/>
        <v>169</v>
      </c>
      <c r="J208" t="str">
        <v>Handle does not point to underlying &lt;TimeSeriesFromFile&gt; type.</v>
      </c>
      <c r="K208" t="str">
        <v>Handle does not point to underlying &lt;TimeSeriesFromFile&gt; type.</v>
      </c>
      <c r="L208" t="str">
        <v>Handle does not point to underlying &lt;TimeSeriesFromFile&gt; type.</v>
      </c>
      <c r="M208" t="str">
        <v>Handle does not point to underlying &lt;TimeSeriesFromFile&gt; type.</v>
      </c>
      <c r="N208" t="str">
        <v>Handle does not point to underlying &lt;TimeSeriesFromFile&gt; type.</v>
      </c>
      <c r="O208" t="e">
        <f t="shared" si="6"/>
        <v>#VALUE!</v>
      </c>
    </row>
    <row r="209" spans="3:15" x14ac:dyDescent="0.2">
      <c r="C209" s="10" t="str">
        <v>Tick</v>
      </c>
      <c r="D209" s="10" t="str">
        <v>buy/sell</v>
      </c>
      <c r="I209">
        <f t="shared" si="7"/>
        <v>170</v>
      </c>
      <c r="J209" t="str">
        <v>Handle does not point to underlying &lt;TimeSeriesFromFile&gt; type.</v>
      </c>
      <c r="K209" t="str">
        <v>Handle does not point to underlying &lt;TimeSeriesFromFile&gt; type.</v>
      </c>
      <c r="L209" t="str">
        <v>Handle does not point to underlying &lt;TimeSeriesFromFile&gt; type.</v>
      </c>
      <c r="M209" t="str">
        <v>Handle does not point to underlying &lt;TimeSeriesFromFile&gt; type.</v>
      </c>
      <c r="N209" t="str">
        <v>Handle does not point to underlying &lt;TimeSeriesFromFile&gt; type.</v>
      </c>
      <c r="O209" t="e">
        <f t="shared" si="6"/>
        <v>#VALUE!</v>
      </c>
    </row>
    <row r="210" spans="3:15" x14ac:dyDescent="0.2">
      <c r="C210" s="10" t="str">
        <v>Tick</v>
      </c>
      <c r="D210" s="10" t="str">
        <v>buy/sell</v>
      </c>
      <c r="I210">
        <f t="shared" si="7"/>
        <v>171</v>
      </c>
      <c r="J210" t="str">
        <v>Handle does not point to underlying &lt;TimeSeriesFromFile&gt; type.</v>
      </c>
      <c r="K210" t="str">
        <v>Handle does not point to underlying &lt;TimeSeriesFromFile&gt; type.</v>
      </c>
      <c r="L210" t="str">
        <v>Handle does not point to underlying &lt;TimeSeriesFromFile&gt; type.</v>
      </c>
      <c r="M210" t="str">
        <v>Handle does not point to underlying &lt;TimeSeriesFromFile&gt; type.</v>
      </c>
      <c r="N210" t="str">
        <v>Handle does not point to underlying &lt;TimeSeriesFromFile&gt; type.</v>
      </c>
      <c r="O210" t="e">
        <f t="shared" si="6"/>
        <v>#VALUE!</v>
      </c>
    </row>
    <row r="211" spans="3:15" x14ac:dyDescent="0.2">
      <c r="C211" s="10" t="str">
        <v>Tick</v>
      </c>
      <c r="D211" s="10" t="str">
        <v>buy/sell</v>
      </c>
      <c r="I211">
        <f t="shared" si="7"/>
        <v>172</v>
      </c>
      <c r="J211" t="str">
        <v>Handle does not point to underlying &lt;TimeSeriesFromFile&gt; type.</v>
      </c>
      <c r="K211" t="str">
        <v>Handle does not point to underlying &lt;TimeSeriesFromFile&gt; type.</v>
      </c>
      <c r="L211" t="str">
        <v>Handle does not point to underlying &lt;TimeSeriesFromFile&gt; type.</v>
      </c>
      <c r="M211" t="str">
        <v>Handle does not point to underlying &lt;TimeSeriesFromFile&gt; type.</v>
      </c>
      <c r="N211" t="str">
        <v>Handle does not point to underlying &lt;TimeSeriesFromFile&gt; type.</v>
      </c>
      <c r="O211" t="e">
        <f t="shared" si="6"/>
        <v>#VALUE!</v>
      </c>
    </row>
    <row r="212" spans="3:15" x14ac:dyDescent="0.2">
      <c r="C212" s="10" t="str">
        <v>Tick</v>
      </c>
      <c r="D212" s="10" t="str">
        <v>buy/sell</v>
      </c>
      <c r="I212">
        <f t="shared" si="7"/>
        <v>173</v>
      </c>
      <c r="J212" t="str">
        <v>Handle does not point to underlying &lt;TimeSeriesFromFile&gt; type.</v>
      </c>
      <c r="K212" t="str">
        <v>Handle does not point to underlying &lt;TimeSeriesFromFile&gt; type.</v>
      </c>
      <c r="L212" t="str">
        <v>Handle does not point to underlying &lt;TimeSeriesFromFile&gt; type.</v>
      </c>
      <c r="M212" t="str">
        <v>Handle does not point to underlying &lt;TimeSeriesFromFile&gt; type.</v>
      </c>
      <c r="N212" t="str">
        <v>Handle does not point to underlying &lt;TimeSeriesFromFile&gt; type.</v>
      </c>
      <c r="O212" t="e">
        <f t="shared" si="6"/>
        <v>#VALUE!</v>
      </c>
    </row>
    <row r="213" spans="3:15" x14ac:dyDescent="0.2">
      <c r="C213" s="10" t="str">
        <v>Tick</v>
      </c>
      <c r="D213" s="10" t="str">
        <v>buy/sell</v>
      </c>
      <c r="I213">
        <f t="shared" si="7"/>
        <v>174</v>
      </c>
      <c r="J213" t="str">
        <v>Handle does not point to underlying &lt;TimeSeriesFromFile&gt; type.</v>
      </c>
      <c r="K213" t="str">
        <v>Handle does not point to underlying &lt;TimeSeriesFromFile&gt; type.</v>
      </c>
      <c r="L213" t="str">
        <v>Handle does not point to underlying &lt;TimeSeriesFromFile&gt; type.</v>
      </c>
      <c r="M213" t="str">
        <v>Handle does not point to underlying &lt;TimeSeriesFromFile&gt; type.</v>
      </c>
      <c r="N213" t="str">
        <v>Handle does not point to underlying &lt;TimeSeriesFromFile&gt; type.</v>
      </c>
      <c r="O213" t="e">
        <f t="shared" si="6"/>
        <v>#VALUE!</v>
      </c>
    </row>
    <row r="214" spans="3:15" x14ac:dyDescent="0.2">
      <c r="C214" s="10" t="str">
        <v>Tick</v>
      </c>
      <c r="D214" s="10" t="str">
        <v>buy/sell</v>
      </c>
      <c r="I214">
        <f t="shared" si="7"/>
        <v>175</v>
      </c>
      <c r="J214" t="str">
        <v>Handle does not point to underlying &lt;TimeSeriesFromFile&gt; type.</v>
      </c>
      <c r="K214" t="str">
        <v>Handle does not point to underlying &lt;TimeSeriesFromFile&gt; type.</v>
      </c>
      <c r="L214" t="str">
        <v>Handle does not point to underlying &lt;TimeSeriesFromFile&gt; type.</v>
      </c>
      <c r="M214" t="str">
        <v>Handle does not point to underlying &lt;TimeSeriesFromFile&gt; type.</v>
      </c>
      <c r="N214" t="str">
        <v>Handle does not point to underlying &lt;TimeSeriesFromFile&gt; type.</v>
      </c>
      <c r="O214" t="e">
        <f t="shared" si="6"/>
        <v>#VALUE!</v>
      </c>
    </row>
    <row r="215" spans="3:15" x14ac:dyDescent="0.2">
      <c r="C215" s="10" t="str">
        <v>Tick</v>
      </c>
      <c r="D215" s="10" t="str">
        <v>buy/sell</v>
      </c>
      <c r="I215">
        <f t="shared" si="7"/>
        <v>176</v>
      </c>
      <c r="J215" t="str">
        <v>Handle does not point to underlying &lt;TimeSeriesFromFile&gt; type.</v>
      </c>
      <c r="K215" t="str">
        <v>Handle does not point to underlying &lt;TimeSeriesFromFile&gt; type.</v>
      </c>
      <c r="L215" t="str">
        <v>Handle does not point to underlying &lt;TimeSeriesFromFile&gt; type.</v>
      </c>
      <c r="M215" t="str">
        <v>Handle does not point to underlying &lt;TimeSeriesFromFile&gt; type.</v>
      </c>
      <c r="N215" t="str">
        <v>Handle does not point to underlying &lt;TimeSeriesFromFile&gt; type.</v>
      </c>
      <c r="O215" t="e">
        <f t="shared" si="6"/>
        <v>#VALUE!</v>
      </c>
    </row>
    <row r="216" spans="3:15" x14ac:dyDescent="0.2">
      <c r="C216" s="10" t="str">
        <v>Tick</v>
      </c>
      <c r="D216" s="10" t="str">
        <v>buy/sell</v>
      </c>
      <c r="I216">
        <f t="shared" si="7"/>
        <v>177</v>
      </c>
      <c r="J216" t="str">
        <v>Handle does not point to underlying &lt;TimeSeriesFromFile&gt; type.</v>
      </c>
      <c r="K216" t="str">
        <v>Handle does not point to underlying &lt;TimeSeriesFromFile&gt; type.</v>
      </c>
      <c r="L216" t="str">
        <v>Handle does not point to underlying &lt;TimeSeriesFromFile&gt; type.</v>
      </c>
      <c r="M216" t="str">
        <v>Handle does not point to underlying &lt;TimeSeriesFromFile&gt; type.</v>
      </c>
      <c r="N216" t="str">
        <v>Handle does not point to underlying &lt;TimeSeriesFromFile&gt; type.</v>
      </c>
      <c r="O216" t="e">
        <f t="shared" si="6"/>
        <v>#VALUE!</v>
      </c>
    </row>
    <row r="217" spans="3:15" x14ac:dyDescent="0.2">
      <c r="C217" s="10" t="str">
        <v>Tick</v>
      </c>
      <c r="D217" s="10" t="str">
        <v>buy/sell</v>
      </c>
      <c r="I217">
        <f t="shared" si="7"/>
        <v>178</v>
      </c>
      <c r="J217" t="str">
        <v>Handle does not point to underlying &lt;TimeSeriesFromFile&gt; type.</v>
      </c>
      <c r="K217" t="str">
        <v>Handle does not point to underlying &lt;TimeSeriesFromFile&gt; type.</v>
      </c>
      <c r="L217" t="str">
        <v>Handle does not point to underlying &lt;TimeSeriesFromFile&gt; type.</v>
      </c>
      <c r="M217" t="str">
        <v>Handle does not point to underlying &lt;TimeSeriesFromFile&gt; type.</v>
      </c>
      <c r="N217" t="str">
        <v>Handle does not point to underlying &lt;TimeSeriesFromFile&gt; type.</v>
      </c>
      <c r="O217" t="e">
        <f t="shared" si="6"/>
        <v>#VALUE!</v>
      </c>
    </row>
    <row r="218" spans="3:15" x14ac:dyDescent="0.2">
      <c r="C218" s="10" t="str">
        <v>Tick</v>
      </c>
      <c r="D218" s="10" t="str">
        <v>buy/sell</v>
      </c>
      <c r="I218">
        <f t="shared" si="7"/>
        <v>179</v>
      </c>
      <c r="J218" t="str">
        <v>Handle does not point to underlying &lt;TimeSeriesFromFile&gt; type.</v>
      </c>
      <c r="K218" t="str">
        <v>Handle does not point to underlying &lt;TimeSeriesFromFile&gt; type.</v>
      </c>
      <c r="L218" t="str">
        <v>Handle does not point to underlying &lt;TimeSeriesFromFile&gt; type.</v>
      </c>
      <c r="M218" t="str">
        <v>Handle does not point to underlying &lt;TimeSeriesFromFile&gt; type.</v>
      </c>
      <c r="N218" t="str">
        <v>Handle does not point to underlying &lt;TimeSeriesFromFile&gt; type.</v>
      </c>
      <c r="O218" t="e">
        <f t="shared" si="6"/>
        <v>#VALUE!</v>
      </c>
    </row>
    <row r="219" spans="3:15" x14ac:dyDescent="0.2">
      <c r="C219" s="10" t="str">
        <v>Tick</v>
      </c>
      <c r="D219" s="10" t="str">
        <v>buy/sell</v>
      </c>
      <c r="I219">
        <f t="shared" si="7"/>
        <v>180</v>
      </c>
      <c r="J219" t="str">
        <v>Handle does not point to underlying &lt;TimeSeriesFromFile&gt; type.</v>
      </c>
      <c r="K219" t="str">
        <v>Handle does not point to underlying &lt;TimeSeriesFromFile&gt; type.</v>
      </c>
      <c r="L219" t="str">
        <v>Handle does not point to underlying &lt;TimeSeriesFromFile&gt; type.</v>
      </c>
      <c r="M219" t="str">
        <v>Handle does not point to underlying &lt;TimeSeriesFromFile&gt; type.</v>
      </c>
      <c r="N219" t="str">
        <v>Handle does not point to underlying &lt;TimeSeriesFromFile&gt; type.</v>
      </c>
      <c r="O219" t="e">
        <f t="shared" si="6"/>
        <v>#VALUE!</v>
      </c>
    </row>
    <row r="220" spans="3:15" x14ac:dyDescent="0.2">
      <c r="C220" s="10" t="str">
        <v>Tick</v>
      </c>
      <c r="D220" s="10" t="str">
        <v>buy/sell</v>
      </c>
      <c r="I220">
        <f t="shared" si="7"/>
        <v>181</v>
      </c>
      <c r="J220" t="str">
        <v>Handle does not point to underlying &lt;TimeSeriesFromFile&gt; type.</v>
      </c>
      <c r="K220" t="str">
        <v>Handle does not point to underlying &lt;TimeSeriesFromFile&gt; type.</v>
      </c>
      <c r="L220" t="str">
        <v>Handle does not point to underlying &lt;TimeSeriesFromFile&gt; type.</v>
      </c>
      <c r="M220" t="str">
        <v>Handle does not point to underlying &lt;TimeSeriesFromFile&gt; type.</v>
      </c>
      <c r="N220" t="str">
        <v>Handle does not point to underlying &lt;TimeSeriesFromFile&gt; type.</v>
      </c>
      <c r="O220" t="e">
        <f t="shared" si="6"/>
        <v>#VALUE!</v>
      </c>
    </row>
    <row r="221" spans="3:15" x14ac:dyDescent="0.2">
      <c r="C221" s="10" t="str">
        <v>Tick</v>
      </c>
      <c r="D221" s="10" t="str">
        <v>buy/sell</v>
      </c>
      <c r="I221">
        <f t="shared" si="7"/>
        <v>182</v>
      </c>
      <c r="J221" t="str">
        <v>Handle does not point to underlying &lt;TimeSeriesFromFile&gt; type.</v>
      </c>
      <c r="K221" t="str">
        <v>Handle does not point to underlying &lt;TimeSeriesFromFile&gt; type.</v>
      </c>
      <c r="L221" t="str">
        <v>Handle does not point to underlying &lt;TimeSeriesFromFile&gt; type.</v>
      </c>
      <c r="M221" t="str">
        <v>Handle does not point to underlying &lt;TimeSeriesFromFile&gt; type.</v>
      </c>
      <c r="N221" t="str">
        <v>Handle does not point to underlying &lt;TimeSeriesFromFile&gt; type.</v>
      </c>
      <c r="O221" t="e">
        <f t="shared" si="6"/>
        <v>#VALUE!</v>
      </c>
    </row>
    <row r="222" spans="3:15" x14ac:dyDescent="0.2">
      <c r="C222" s="10" t="str">
        <v>Tick</v>
      </c>
      <c r="D222" s="10" t="str">
        <v>buy/sell</v>
      </c>
      <c r="I222">
        <f t="shared" si="7"/>
        <v>183</v>
      </c>
      <c r="J222" t="str">
        <v>Handle does not point to underlying &lt;TimeSeriesFromFile&gt; type.</v>
      </c>
      <c r="K222" t="str">
        <v>Handle does not point to underlying &lt;TimeSeriesFromFile&gt; type.</v>
      </c>
      <c r="L222" t="str">
        <v>Handle does not point to underlying &lt;TimeSeriesFromFile&gt; type.</v>
      </c>
      <c r="M222" t="str">
        <v>Handle does not point to underlying &lt;TimeSeriesFromFile&gt; type.</v>
      </c>
      <c r="N222" t="str">
        <v>Handle does not point to underlying &lt;TimeSeriesFromFile&gt; type.</v>
      </c>
      <c r="O222" t="e">
        <f t="shared" si="6"/>
        <v>#VALUE!</v>
      </c>
    </row>
    <row r="223" spans="3:15" x14ac:dyDescent="0.2">
      <c r="C223" s="10" t="str">
        <v>Tick</v>
      </c>
      <c r="D223" s="10" t="str">
        <v>buy/sell</v>
      </c>
      <c r="I223">
        <f t="shared" si="7"/>
        <v>184</v>
      </c>
      <c r="J223" t="str">
        <v>Handle does not point to underlying &lt;TimeSeriesFromFile&gt; type.</v>
      </c>
      <c r="K223" t="str">
        <v>Handle does not point to underlying &lt;TimeSeriesFromFile&gt; type.</v>
      </c>
      <c r="L223" t="str">
        <v>Handle does not point to underlying &lt;TimeSeriesFromFile&gt; type.</v>
      </c>
      <c r="M223" t="str">
        <v>Handle does not point to underlying &lt;TimeSeriesFromFile&gt; type.</v>
      </c>
      <c r="N223" t="str">
        <v>Handle does not point to underlying &lt;TimeSeriesFromFile&gt; type.</v>
      </c>
      <c r="O223" t="e">
        <f t="shared" si="6"/>
        <v>#VALUE!</v>
      </c>
    </row>
    <row r="224" spans="3:15" x14ac:dyDescent="0.2">
      <c r="C224" s="10" t="str">
        <v>Tick</v>
      </c>
      <c r="D224" s="10" t="str">
        <v>buy/sell</v>
      </c>
      <c r="I224">
        <f t="shared" si="7"/>
        <v>185</v>
      </c>
      <c r="J224" t="str">
        <v>Handle does not point to underlying &lt;TimeSeriesFromFile&gt; type.</v>
      </c>
      <c r="K224" t="str">
        <v>Handle does not point to underlying &lt;TimeSeriesFromFile&gt; type.</v>
      </c>
      <c r="L224" t="str">
        <v>Handle does not point to underlying &lt;TimeSeriesFromFile&gt; type.</v>
      </c>
      <c r="M224" t="str">
        <v>Handle does not point to underlying &lt;TimeSeriesFromFile&gt; type.</v>
      </c>
      <c r="N224" t="str">
        <v>Handle does not point to underlying &lt;TimeSeriesFromFile&gt; type.</v>
      </c>
      <c r="O224" t="e">
        <f t="shared" si="6"/>
        <v>#VALUE!</v>
      </c>
    </row>
    <row r="225" spans="3:15" x14ac:dyDescent="0.2">
      <c r="C225" s="10" t="str">
        <v>Tick</v>
      </c>
      <c r="D225" s="10" t="str">
        <v>buy/sell</v>
      </c>
      <c r="I225">
        <f t="shared" si="7"/>
        <v>186</v>
      </c>
      <c r="J225" t="str">
        <v>Handle does not point to underlying &lt;TimeSeriesFromFile&gt; type.</v>
      </c>
      <c r="K225" t="str">
        <v>Handle does not point to underlying &lt;TimeSeriesFromFile&gt; type.</v>
      </c>
      <c r="L225" t="str">
        <v>Handle does not point to underlying &lt;TimeSeriesFromFile&gt; type.</v>
      </c>
      <c r="M225" t="str">
        <v>Handle does not point to underlying &lt;TimeSeriesFromFile&gt; type.</v>
      </c>
      <c r="N225" t="str">
        <v>Handle does not point to underlying &lt;TimeSeriesFromFile&gt; type.</v>
      </c>
      <c r="O225" t="e">
        <f t="shared" si="6"/>
        <v>#VALUE!</v>
      </c>
    </row>
    <row r="226" spans="3:15" x14ac:dyDescent="0.2">
      <c r="C226" s="10" t="str">
        <v>Tick</v>
      </c>
      <c r="D226" s="10" t="str">
        <v>buy/sell</v>
      </c>
      <c r="I226">
        <f t="shared" si="7"/>
        <v>187</v>
      </c>
      <c r="J226" t="str">
        <v>Handle does not point to underlying &lt;TimeSeriesFromFile&gt; type.</v>
      </c>
      <c r="K226" t="str">
        <v>Handle does not point to underlying &lt;TimeSeriesFromFile&gt; type.</v>
      </c>
      <c r="L226" t="str">
        <v>Handle does not point to underlying &lt;TimeSeriesFromFile&gt; type.</v>
      </c>
      <c r="M226" t="str">
        <v>Handle does not point to underlying &lt;TimeSeriesFromFile&gt; type.</v>
      </c>
      <c r="N226" t="str">
        <v>Handle does not point to underlying &lt;TimeSeriesFromFile&gt; type.</v>
      </c>
      <c r="O226" t="e">
        <f t="shared" si="6"/>
        <v>#VALUE!</v>
      </c>
    </row>
    <row r="227" spans="3:15" x14ac:dyDescent="0.2">
      <c r="C227" s="10" t="str">
        <v>Tick</v>
      </c>
      <c r="D227" s="10" t="str">
        <v>buy/sell</v>
      </c>
      <c r="I227">
        <f t="shared" si="7"/>
        <v>188</v>
      </c>
      <c r="J227" t="str">
        <v>Handle does not point to underlying &lt;TimeSeriesFromFile&gt; type.</v>
      </c>
      <c r="K227" t="str">
        <v>Handle does not point to underlying &lt;TimeSeriesFromFile&gt; type.</v>
      </c>
      <c r="L227" t="str">
        <v>Handle does not point to underlying &lt;TimeSeriesFromFile&gt; type.</v>
      </c>
      <c r="M227" t="str">
        <v>Handle does not point to underlying &lt;TimeSeriesFromFile&gt; type.</v>
      </c>
      <c r="N227" t="str">
        <v>Handle does not point to underlying &lt;TimeSeriesFromFile&gt; type.</v>
      </c>
      <c r="O227" t="e">
        <f t="shared" si="6"/>
        <v>#VALUE!</v>
      </c>
    </row>
    <row r="228" spans="3:15" x14ac:dyDescent="0.2">
      <c r="C228" s="10" t="str">
        <v>Tick</v>
      </c>
      <c r="D228" s="10" t="str">
        <v>buy/sell</v>
      </c>
      <c r="I228">
        <f t="shared" si="7"/>
        <v>189</v>
      </c>
      <c r="J228" t="str">
        <v>Handle does not point to underlying &lt;TimeSeriesFromFile&gt; type.</v>
      </c>
      <c r="K228" t="str">
        <v>Handle does not point to underlying &lt;TimeSeriesFromFile&gt; type.</v>
      </c>
      <c r="L228" t="str">
        <v>Handle does not point to underlying &lt;TimeSeriesFromFile&gt; type.</v>
      </c>
      <c r="M228" t="str">
        <v>Handle does not point to underlying &lt;TimeSeriesFromFile&gt; type.</v>
      </c>
      <c r="N228" t="str">
        <v>Handle does not point to underlying &lt;TimeSeriesFromFile&gt; type.</v>
      </c>
      <c r="O228" t="e">
        <f t="shared" si="6"/>
        <v>#VALUE!</v>
      </c>
    </row>
    <row r="229" spans="3:15" x14ac:dyDescent="0.2">
      <c r="C229" s="10" t="str">
        <v>Tick</v>
      </c>
      <c r="D229" s="10" t="str">
        <v>buy/sell</v>
      </c>
      <c r="I229">
        <f t="shared" si="7"/>
        <v>190</v>
      </c>
      <c r="J229" t="str">
        <v>Handle does not point to underlying &lt;TimeSeriesFromFile&gt; type.</v>
      </c>
      <c r="K229" t="str">
        <v>Handle does not point to underlying &lt;TimeSeriesFromFile&gt; type.</v>
      </c>
      <c r="L229" t="str">
        <v>Handle does not point to underlying &lt;TimeSeriesFromFile&gt; type.</v>
      </c>
      <c r="M229" t="str">
        <v>Handle does not point to underlying &lt;TimeSeriesFromFile&gt; type.</v>
      </c>
      <c r="N229" t="str">
        <v>Handle does not point to underlying &lt;TimeSeriesFromFile&gt; type.</v>
      </c>
      <c r="O229" t="e">
        <f t="shared" si="6"/>
        <v>#VALUE!</v>
      </c>
    </row>
    <row r="230" spans="3:15" x14ac:dyDescent="0.2">
      <c r="C230" s="10" t="str">
        <v>Tick</v>
      </c>
      <c r="D230" s="10" t="str">
        <v>buy/sell</v>
      </c>
      <c r="I230">
        <f t="shared" si="7"/>
        <v>191</v>
      </c>
      <c r="J230" t="str">
        <v>Handle does not point to underlying &lt;TimeSeriesFromFile&gt; type.</v>
      </c>
      <c r="K230" t="str">
        <v>Handle does not point to underlying &lt;TimeSeriesFromFile&gt; type.</v>
      </c>
      <c r="L230" t="str">
        <v>Handle does not point to underlying &lt;TimeSeriesFromFile&gt; type.</v>
      </c>
      <c r="M230" t="str">
        <v>Handle does not point to underlying &lt;TimeSeriesFromFile&gt; type.</v>
      </c>
      <c r="N230" t="str">
        <v>Handle does not point to underlying &lt;TimeSeriesFromFile&gt; type.</v>
      </c>
      <c r="O230" t="e">
        <f t="shared" si="6"/>
        <v>#VALUE!</v>
      </c>
    </row>
    <row r="231" spans="3:15" x14ac:dyDescent="0.2">
      <c r="C231" s="10" t="str">
        <v>Tick</v>
      </c>
      <c r="D231" s="10" t="str">
        <v>buy/sell</v>
      </c>
      <c r="I231">
        <f t="shared" si="7"/>
        <v>192</v>
      </c>
      <c r="J231" t="str">
        <v>Handle does not point to underlying &lt;TimeSeriesFromFile&gt; type.</v>
      </c>
      <c r="K231" t="str">
        <v>Handle does not point to underlying &lt;TimeSeriesFromFile&gt; type.</v>
      </c>
      <c r="L231" t="str">
        <v>Handle does not point to underlying &lt;TimeSeriesFromFile&gt; type.</v>
      </c>
      <c r="M231" t="str">
        <v>Handle does not point to underlying &lt;TimeSeriesFromFile&gt; type.</v>
      </c>
      <c r="N231" t="str">
        <v>Handle does not point to underlying &lt;TimeSeriesFromFile&gt; type.</v>
      </c>
      <c r="O231" t="e">
        <f t="shared" si="6"/>
        <v>#VALUE!</v>
      </c>
    </row>
    <row r="232" spans="3:15" x14ac:dyDescent="0.2">
      <c r="C232" s="10" t="str">
        <v>Tick</v>
      </c>
      <c r="D232" s="10" t="str">
        <v>buy/sell</v>
      </c>
      <c r="I232">
        <f t="shared" si="7"/>
        <v>193</v>
      </c>
      <c r="J232" t="str">
        <v>Handle does not point to underlying &lt;TimeSeriesFromFile&gt; type.</v>
      </c>
      <c r="K232" t="str">
        <v>Handle does not point to underlying &lt;TimeSeriesFromFile&gt; type.</v>
      </c>
      <c r="L232" t="str">
        <v>Handle does not point to underlying &lt;TimeSeriesFromFile&gt; type.</v>
      </c>
      <c r="M232" t="str">
        <v>Handle does not point to underlying &lt;TimeSeriesFromFile&gt; type.</v>
      </c>
      <c r="N232" t="str">
        <v>Handle does not point to underlying &lt;TimeSeriesFromFile&gt; type.</v>
      </c>
      <c r="O232" t="e">
        <f t="shared" ref="O232:O295" si="8">M232-N232</f>
        <v>#VALUE!</v>
      </c>
    </row>
    <row r="233" spans="3:15" x14ac:dyDescent="0.2">
      <c r="C233" s="10" t="str">
        <v>Tick</v>
      </c>
      <c r="D233" s="10" t="str">
        <v>buy/sell</v>
      </c>
      <c r="I233">
        <f t="shared" ref="I233:I296" si="9">I232+1</f>
        <v>194</v>
      </c>
      <c r="J233" t="str">
        <v>Handle does not point to underlying &lt;TimeSeriesFromFile&gt; type.</v>
      </c>
      <c r="K233" t="str">
        <v>Handle does not point to underlying &lt;TimeSeriesFromFile&gt; type.</v>
      </c>
      <c r="L233" t="str">
        <v>Handle does not point to underlying &lt;TimeSeriesFromFile&gt; type.</v>
      </c>
      <c r="M233" t="str">
        <v>Handle does not point to underlying &lt;TimeSeriesFromFile&gt; type.</v>
      </c>
      <c r="N233" t="str">
        <v>Handle does not point to underlying &lt;TimeSeriesFromFile&gt; type.</v>
      </c>
      <c r="O233" t="e">
        <f t="shared" si="8"/>
        <v>#VALUE!</v>
      </c>
    </row>
    <row r="234" spans="3:15" x14ac:dyDescent="0.2">
      <c r="C234" s="10" t="str">
        <v>Tick</v>
      </c>
      <c r="D234" s="10" t="str">
        <v>buy/sell</v>
      </c>
      <c r="I234">
        <f t="shared" si="9"/>
        <v>195</v>
      </c>
      <c r="J234" t="str">
        <v>Handle does not point to underlying &lt;TimeSeriesFromFile&gt; type.</v>
      </c>
      <c r="K234" t="str">
        <v>Handle does not point to underlying &lt;TimeSeriesFromFile&gt; type.</v>
      </c>
      <c r="L234" t="str">
        <v>Handle does not point to underlying &lt;TimeSeriesFromFile&gt; type.</v>
      </c>
      <c r="M234" t="str">
        <v>Handle does not point to underlying &lt;TimeSeriesFromFile&gt; type.</v>
      </c>
      <c r="N234" t="str">
        <v>Handle does not point to underlying &lt;TimeSeriesFromFile&gt; type.</v>
      </c>
      <c r="O234" t="e">
        <f t="shared" si="8"/>
        <v>#VALUE!</v>
      </c>
    </row>
    <row r="235" spans="3:15" x14ac:dyDescent="0.2">
      <c r="C235" s="10" t="str">
        <v>Tick</v>
      </c>
      <c r="D235" s="10" t="str">
        <v>buy/sell</v>
      </c>
      <c r="I235">
        <f t="shared" si="9"/>
        <v>196</v>
      </c>
      <c r="J235" t="str">
        <v>Handle does not point to underlying &lt;TimeSeriesFromFile&gt; type.</v>
      </c>
      <c r="K235" t="str">
        <v>Handle does not point to underlying &lt;TimeSeriesFromFile&gt; type.</v>
      </c>
      <c r="L235" t="str">
        <v>Handle does not point to underlying &lt;TimeSeriesFromFile&gt; type.</v>
      </c>
      <c r="M235" t="str">
        <v>Handle does not point to underlying &lt;TimeSeriesFromFile&gt; type.</v>
      </c>
      <c r="N235" t="str">
        <v>Handle does not point to underlying &lt;TimeSeriesFromFile&gt; type.</v>
      </c>
      <c r="O235" t="e">
        <f t="shared" si="8"/>
        <v>#VALUE!</v>
      </c>
    </row>
    <row r="236" spans="3:15" x14ac:dyDescent="0.2">
      <c r="C236" s="10" t="str">
        <v>Tick</v>
      </c>
      <c r="D236" s="10" t="str">
        <v>buy/sell</v>
      </c>
      <c r="I236">
        <f t="shared" si="9"/>
        <v>197</v>
      </c>
      <c r="J236" t="str">
        <v>Handle does not point to underlying &lt;TimeSeriesFromFile&gt; type.</v>
      </c>
      <c r="K236" t="str">
        <v>Handle does not point to underlying &lt;TimeSeriesFromFile&gt; type.</v>
      </c>
      <c r="L236" t="str">
        <v>Handle does not point to underlying &lt;TimeSeriesFromFile&gt; type.</v>
      </c>
      <c r="M236" t="str">
        <v>Handle does not point to underlying &lt;TimeSeriesFromFile&gt; type.</v>
      </c>
      <c r="N236" t="str">
        <v>Handle does not point to underlying &lt;TimeSeriesFromFile&gt; type.</v>
      </c>
      <c r="O236" t="e">
        <f t="shared" si="8"/>
        <v>#VALUE!</v>
      </c>
    </row>
    <row r="237" spans="3:15" x14ac:dyDescent="0.2">
      <c r="C237" s="10" t="str">
        <v>Tick</v>
      </c>
      <c r="D237" s="10" t="str">
        <v>buy/sell</v>
      </c>
      <c r="I237">
        <f t="shared" si="9"/>
        <v>198</v>
      </c>
      <c r="J237" t="str">
        <v>Handle does not point to underlying &lt;TimeSeriesFromFile&gt; type.</v>
      </c>
      <c r="K237" t="str">
        <v>Handle does not point to underlying &lt;TimeSeriesFromFile&gt; type.</v>
      </c>
      <c r="L237" t="str">
        <v>Handle does not point to underlying &lt;TimeSeriesFromFile&gt; type.</v>
      </c>
      <c r="M237" t="str">
        <v>Handle does not point to underlying &lt;TimeSeriesFromFile&gt; type.</v>
      </c>
      <c r="N237" t="str">
        <v>Handle does not point to underlying &lt;TimeSeriesFromFile&gt; type.</v>
      </c>
      <c r="O237" t="e">
        <f t="shared" si="8"/>
        <v>#VALUE!</v>
      </c>
    </row>
    <row r="238" spans="3:15" x14ac:dyDescent="0.2">
      <c r="C238" s="10" t="str">
        <v>Tick</v>
      </c>
      <c r="D238" s="10" t="str">
        <v>buy/sell</v>
      </c>
      <c r="I238">
        <f t="shared" si="9"/>
        <v>199</v>
      </c>
      <c r="J238" t="str">
        <v>Handle does not point to underlying &lt;TimeSeriesFromFile&gt; type.</v>
      </c>
      <c r="K238" t="str">
        <v>Handle does not point to underlying &lt;TimeSeriesFromFile&gt; type.</v>
      </c>
      <c r="L238" t="str">
        <v>Handle does not point to underlying &lt;TimeSeriesFromFile&gt; type.</v>
      </c>
      <c r="M238" t="str">
        <v>Handle does not point to underlying &lt;TimeSeriesFromFile&gt; type.</v>
      </c>
      <c r="N238" t="str">
        <v>Handle does not point to underlying &lt;TimeSeriesFromFile&gt; type.</v>
      </c>
      <c r="O238" t="e">
        <f t="shared" si="8"/>
        <v>#VALUE!</v>
      </c>
    </row>
    <row r="239" spans="3:15" x14ac:dyDescent="0.2">
      <c r="C239" s="10" t="str">
        <v>Tick</v>
      </c>
      <c r="D239" s="10" t="str">
        <v>buy/sell</v>
      </c>
      <c r="I239">
        <f t="shared" si="9"/>
        <v>200</v>
      </c>
      <c r="J239" t="str">
        <v>Handle does not point to underlying &lt;TimeSeriesFromFile&gt; type.</v>
      </c>
      <c r="K239" t="str">
        <v>Handle does not point to underlying &lt;TimeSeriesFromFile&gt; type.</v>
      </c>
      <c r="L239" t="str">
        <v>Handle does not point to underlying &lt;TimeSeriesFromFile&gt; type.</v>
      </c>
      <c r="M239" t="str">
        <v>Handle does not point to underlying &lt;TimeSeriesFromFile&gt; type.</v>
      </c>
      <c r="N239" t="str">
        <v>Handle does not point to underlying &lt;TimeSeriesFromFile&gt; type.</v>
      </c>
      <c r="O239" t="e">
        <f t="shared" si="8"/>
        <v>#VALUE!</v>
      </c>
    </row>
    <row r="240" spans="3:15" x14ac:dyDescent="0.2">
      <c r="C240" s="10" t="str">
        <v>Tick</v>
      </c>
      <c r="D240" s="10" t="str">
        <v>buy/sell</v>
      </c>
      <c r="I240">
        <f t="shared" si="9"/>
        <v>201</v>
      </c>
      <c r="J240" t="str">
        <v>Handle does not point to underlying &lt;TimeSeriesFromFile&gt; type.</v>
      </c>
      <c r="K240" t="str">
        <v>Handle does not point to underlying &lt;TimeSeriesFromFile&gt; type.</v>
      </c>
      <c r="L240" t="str">
        <v>Handle does not point to underlying &lt;TimeSeriesFromFile&gt; type.</v>
      </c>
      <c r="M240" t="str">
        <v>Handle does not point to underlying &lt;TimeSeriesFromFile&gt; type.</v>
      </c>
      <c r="N240" t="str">
        <v>Handle does not point to underlying &lt;TimeSeriesFromFile&gt; type.</v>
      </c>
      <c r="O240" t="e">
        <f t="shared" si="8"/>
        <v>#VALUE!</v>
      </c>
    </row>
    <row r="241" spans="3:15" x14ac:dyDescent="0.2">
      <c r="C241" s="10" t="str">
        <v>Tick</v>
      </c>
      <c r="D241" s="10" t="str">
        <v>buy/sell</v>
      </c>
      <c r="I241">
        <f t="shared" si="9"/>
        <v>202</v>
      </c>
      <c r="J241" t="str">
        <v>Handle does not point to underlying &lt;TimeSeriesFromFile&gt; type.</v>
      </c>
      <c r="K241" t="str">
        <v>Handle does not point to underlying &lt;TimeSeriesFromFile&gt; type.</v>
      </c>
      <c r="L241" t="str">
        <v>Handle does not point to underlying &lt;TimeSeriesFromFile&gt; type.</v>
      </c>
      <c r="M241" t="str">
        <v>Handle does not point to underlying &lt;TimeSeriesFromFile&gt; type.</v>
      </c>
      <c r="N241" t="str">
        <v>Handle does not point to underlying &lt;TimeSeriesFromFile&gt; type.</v>
      </c>
      <c r="O241" t="e">
        <f t="shared" si="8"/>
        <v>#VALUE!</v>
      </c>
    </row>
    <row r="242" spans="3:15" x14ac:dyDescent="0.2">
      <c r="C242" s="10" t="str">
        <v>Tick</v>
      </c>
      <c r="D242" s="10" t="str">
        <v>buy/sell</v>
      </c>
      <c r="I242">
        <f t="shared" si="9"/>
        <v>203</v>
      </c>
      <c r="J242" t="str">
        <v>Handle does not point to underlying &lt;TimeSeriesFromFile&gt; type.</v>
      </c>
      <c r="K242" t="str">
        <v>Handle does not point to underlying &lt;TimeSeriesFromFile&gt; type.</v>
      </c>
      <c r="L242" t="str">
        <v>Handle does not point to underlying &lt;TimeSeriesFromFile&gt; type.</v>
      </c>
      <c r="M242" t="str">
        <v>Handle does not point to underlying &lt;TimeSeriesFromFile&gt; type.</v>
      </c>
      <c r="N242" t="str">
        <v>Handle does not point to underlying &lt;TimeSeriesFromFile&gt; type.</v>
      </c>
      <c r="O242" t="e">
        <f t="shared" si="8"/>
        <v>#VALUE!</v>
      </c>
    </row>
    <row r="243" spans="3:15" x14ac:dyDescent="0.2">
      <c r="C243" s="10" t="str">
        <v>Tick</v>
      </c>
      <c r="D243" s="10" t="str">
        <v>buy/sell</v>
      </c>
      <c r="I243">
        <f t="shared" si="9"/>
        <v>204</v>
      </c>
      <c r="J243" t="str">
        <v>Handle does not point to underlying &lt;TimeSeriesFromFile&gt; type.</v>
      </c>
      <c r="K243" t="str">
        <v>Handle does not point to underlying &lt;TimeSeriesFromFile&gt; type.</v>
      </c>
      <c r="L243" t="str">
        <v>Handle does not point to underlying &lt;TimeSeriesFromFile&gt; type.</v>
      </c>
      <c r="M243" t="str">
        <v>Handle does not point to underlying &lt;TimeSeriesFromFile&gt; type.</v>
      </c>
      <c r="N243" t="str">
        <v>Handle does not point to underlying &lt;TimeSeriesFromFile&gt; type.</v>
      </c>
      <c r="O243" t="e">
        <f t="shared" si="8"/>
        <v>#VALUE!</v>
      </c>
    </row>
    <row r="244" spans="3:15" x14ac:dyDescent="0.2">
      <c r="C244" s="10" t="str">
        <v>Tick</v>
      </c>
      <c r="D244" s="10" t="str">
        <v>buy/sell</v>
      </c>
      <c r="I244">
        <f t="shared" si="9"/>
        <v>205</v>
      </c>
      <c r="J244" t="str">
        <v>Handle does not point to underlying &lt;TimeSeriesFromFile&gt; type.</v>
      </c>
      <c r="K244" t="str">
        <v>Handle does not point to underlying &lt;TimeSeriesFromFile&gt; type.</v>
      </c>
      <c r="L244" t="str">
        <v>Handle does not point to underlying &lt;TimeSeriesFromFile&gt; type.</v>
      </c>
      <c r="M244" t="str">
        <v>Handle does not point to underlying &lt;TimeSeriesFromFile&gt; type.</v>
      </c>
      <c r="N244" t="str">
        <v>Handle does not point to underlying &lt;TimeSeriesFromFile&gt; type.</v>
      </c>
      <c r="O244" t="e">
        <f t="shared" si="8"/>
        <v>#VALUE!</v>
      </c>
    </row>
    <row r="245" spans="3:15" x14ac:dyDescent="0.2">
      <c r="C245" s="10" t="str">
        <v>Tick</v>
      </c>
      <c r="D245" s="10" t="str">
        <v>buy/sell</v>
      </c>
      <c r="I245">
        <f t="shared" si="9"/>
        <v>206</v>
      </c>
      <c r="J245" t="str">
        <v>Handle does not point to underlying &lt;TimeSeriesFromFile&gt; type.</v>
      </c>
      <c r="K245" t="str">
        <v>Handle does not point to underlying &lt;TimeSeriesFromFile&gt; type.</v>
      </c>
      <c r="L245" t="str">
        <v>Handle does not point to underlying &lt;TimeSeriesFromFile&gt; type.</v>
      </c>
      <c r="M245" t="str">
        <v>Handle does not point to underlying &lt;TimeSeriesFromFile&gt; type.</v>
      </c>
      <c r="N245" t="str">
        <v>Handle does not point to underlying &lt;TimeSeriesFromFile&gt; type.</v>
      </c>
      <c r="O245" t="e">
        <f t="shared" si="8"/>
        <v>#VALUE!</v>
      </c>
    </row>
    <row r="246" spans="3:15" x14ac:dyDescent="0.2">
      <c r="C246" s="10" t="str">
        <v>Tick</v>
      </c>
      <c r="D246" s="10" t="str">
        <v>buy/sell</v>
      </c>
      <c r="I246">
        <f t="shared" si="9"/>
        <v>207</v>
      </c>
      <c r="J246" t="str">
        <v>Handle does not point to underlying &lt;TimeSeriesFromFile&gt; type.</v>
      </c>
      <c r="K246" t="str">
        <v>Handle does not point to underlying &lt;TimeSeriesFromFile&gt; type.</v>
      </c>
      <c r="L246" t="str">
        <v>Handle does not point to underlying &lt;TimeSeriesFromFile&gt; type.</v>
      </c>
      <c r="M246" t="str">
        <v>Handle does not point to underlying &lt;TimeSeriesFromFile&gt; type.</v>
      </c>
      <c r="N246" t="str">
        <v>Handle does not point to underlying &lt;TimeSeriesFromFile&gt; type.</v>
      </c>
      <c r="O246" t="e">
        <f t="shared" si="8"/>
        <v>#VALUE!</v>
      </c>
    </row>
    <row r="247" spans="3:15" x14ac:dyDescent="0.2">
      <c r="C247" s="10" t="str">
        <v>Tick</v>
      </c>
      <c r="D247" s="10" t="str">
        <v>buy/sell</v>
      </c>
      <c r="I247">
        <f t="shared" si="9"/>
        <v>208</v>
      </c>
      <c r="J247" t="str">
        <v>Handle does not point to underlying &lt;TimeSeriesFromFile&gt; type.</v>
      </c>
      <c r="K247" t="str">
        <v>Handle does not point to underlying &lt;TimeSeriesFromFile&gt; type.</v>
      </c>
      <c r="L247" t="str">
        <v>Handle does not point to underlying &lt;TimeSeriesFromFile&gt; type.</v>
      </c>
      <c r="M247" t="str">
        <v>Handle does not point to underlying &lt;TimeSeriesFromFile&gt; type.</v>
      </c>
      <c r="N247" t="str">
        <v>Handle does not point to underlying &lt;TimeSeriesFromFile&gt; type.</v>
      </c>
      <c r="O247" t="e">
        <f t="shared" si="8"/>
        <v>#VALUE!</v>
      </c>
    </row>
    <row r="248" spans="3:15" x14ac:dyDescent="0.2">
      <c r="C248" s="10" t="str">
        <v>Tick</v>
      </c>
      <c r="D248" s="10" t="str">
        <v>buy/sell</v>
      </c>
      <c r="I248">
        <f t="shared" si="9"/>
        <v>209</v>
      </c>
      <c r="J248" t="str">
        <v>Handle does not point to underlying &lt;TimeSeriesFromFile&gt; type.</v>
      </c>
      <c r="K248" t="str">
        <v>Handle does not point to underlying &lt;TimeSeriesFromFile&gt; type.</v>
      </c>
      <c r="L248" t="str">
        <v>Handle does not point to underlying &lt;TimeSeriesFromFile&gt; type.</v>
      </c>
      <c r="M248" t="str">
        <v>Handle does not point to underlying &lt;TimeSeriesFromFile&gt; type.</v>
      </c>
      <c r="N248" t="str">
        <v>Handle does not point to underlying &lt;TimeSeriesFromFile&gt; type.</v>
      </c>
      <c r="O248" t="e">
        <f t="shared" si="8"/>
        <v>#VALUE!</v>
      </c>
    </row>
    <row r="249" spans="3:15" x14ac:dyDescent="0.2">
      <c r="C249" s="10" t="str">
        <v>Tick</v>
      </c>
      <c r="D249" s="10" t="str">
        <v>buy/sell</v>
      </c>
      <c r="I249">
        <f t="shared" si="9"/>
        <v>210</v>
      </c>
      <c r="J249" t="str">
        <v>Handle does not point to underlying &lt;TimeSeriesFromFile&gt; type.</v>
      </c>
      <c r="K249" t="str">
        <v>Handle does not point to underlying &lt;TimeSeriesFromFile&gt; type.</v>
      </c>
      <c r="L249" t="str">
        <v>Handle does not point to underlying &lt;TimeSeriesFromFile&gt; type.</v>
      </c>
      <c r="M249" t="str">
        <v>Handle does not point to underlying &lt;TimeSeriesFromFile&gt; type.</v>
      </c>
      <c r="N249" t="str">
        <v>Handle does not point to underlying &lt;TimeSeriesFromFile&gt; type.</v>
      </c>
      <c r="O249" t="e">
        <f t="shared" si="8"/>
        <v>#VALUE!</v>
      </c>
    </row>
    <row r="250" spans="3:15" x14ac:dyDescent="0.2">
      <c r="C250" s="10" t="str">
        <v>Tick</v>
      </c>
      <c r="D250" s="10" t="str">
        <v>buy/sell</v>
      </c>
      <c r="I250">
        <f t="shared" si="9"/>
        <v>211</v>
      </c>
      <c r="J250" t="str">
        <v>Handle does not point to underlying &lt;TimeSeriesFromFile&gt; type.</v>
      </c>
      <c r="K250" t="str">
        <v>Handle does not point to underlying &lt;TimeSeriesFromFile&gt; type.</v>
      </c>
      <c r="L250" t="str">
        <v>Handle does not point to underlying &lt;TimeSeriesFromFile&gt; type.</v>
      </c>
      <c r="M250" t="str">
        <v>Handle does not point to underlying &lt;TimeSeriesFromFile&gt; type.</v>
      </c>
      <c r="N250" t="str">
        <v>Handle does not point to underlying &lt;TimeSeriesFromFile&gt; type.</v>
      </c>
      <c r="O250" t="e">
        <f t="shared" si="8"/>
        <v>#VALUE!</v>
      </c>
    </row>
    <row r="251" spans="3:15" x14ac:dyDescent="0.2">
      <c r="C251" s="10" t="str">
        <v>Tick</v>
      </c>
      <c r="D251" s="10" t="str">
        <v>buy/sell</v>
      </c>
      <c r="I251">
        <f t="shared" si="9"/>
        <v>212</v>
      </c>
      <c r="J251" t="str">
        <v>Handle does not point to underlying &lt;TimeSeriesFromFile&gt; type.</v>
      </c>
      <c r="K251" t="str">
        <v>Handle does not point to underlying &lt;TimeSeriesFromFile&gt; type.</v>
      </c>
      <c r="L251" t="str">
        <v>Handle does not point to underlying &lt;TimeSeriesFromFile&gt; type.</v>
      </c>
      <c r="M251" t="str">
        <v>Handle does not point to underlying &lt;TimeSeriesFromFile&gt; type.</v>
      </c>
      <c r="N251" t="str">
        <v>Handle does not point to underlying &lt;TimeSeriesFromFile&gt; type.</v>
      </c>
      <c r="O251" t="e">
        <f t="shared" si="8"/>
        <v>#VALUE!</v>
      </c>
    </row>
    <row r="252" spans="3:15" x14ac:dyDescent="0.2">
      <c r="C252" s="10" t="str">
        <v>Tick</v>
      </c>
      <c r="D252" s="10" t="str">
        <v>buy/sell</v>
      </c>
      <c r="I252">
        <f t="shared" si="9"/>
        <v>213</v>
      </c>
      <c r="J252" t="str">
        <v>Handle does not point to underlying &lt;TimeSeriesFromFile&gt; type.</v>
      </c>
      <c r="K252" t="str">
        <v>Handle does not point to underlying &lt;TimeSeriesFromFile&gt; type.</v>
      </c>
      <c r="L252" t="str">
        <v>Handle does not point to underlying &lt;TimeSeriesFromFile&gt; type.</v>
      </c>
      <c r="M252" t="str">
        <v>Handle does not point to underlying &lt;TimeSeriesFromFile&gt; type.</v>
      </c>
      <c r="N252" t="str">
        <v>Handle does not point to underlying &lt;TimeSeriesFromFile&gt; type.</v>
      </c>
      <c r="O252" t="e">
        <f t="shared" si="8"/>
        <v>#VALUE!</v>
      </c>
    </row>
    <row r="253" spans="3:15" x14ac:dyDescent="0.2">
      <c r="C253" s="10" t="str">
        <v>Tick</v>
      </c>
      <c r="D253" s="10" t="str">
        <v>buy/sell</v>
      </c>
      <c r="I253">
        <f t="shared" si="9"/>
        <v>214</v>
      </c>
      <c r="J253" t="str">
        <v>Handle does not point to underlying &lt;TimeSeriesFromFile&gt; type.</v>
      </c>
      <c r="K253" t="str">
        <v>Handle does not point to underlying &lt;TimeSeriesFromFile&gt; type.</v>
      </c>
      <c r="L253" t="str">
        <v>Handle does not point to underlying &lt;TimeSeriesFromFile&gt; type.</v>
      </c>
      <c r="M253" t="str">
        <v>Handle does not point to underlying &lt;TimeSeriesFromFile&gt; type.</v>
      </c>
      <c r="N253" t="str">
        <v>Handle does not point to underlying &lt;TimeSeriesFromFile&gt; type.</v>
      </c>
      <c r="O253" t="e">
        <f t="shared" si="8"/>
        <v>#VALUE!</v>
      </c>
    </row>
    <row r="254" spans="3:15" x14ac:dyDescent="0.2">
      <c r="C254" s="10" t="str">
        <v>Tick</v>
      </c>
      <c r="D254" s="10" t="str">
        <v>buy/sell</v>
      </c>
      <c r="I254">
        <f t="shared" si="9"/>
        <v>215</v>
      </c>
      <c r="J254" t="str">
        <v>Handle does not point to underlying &lt;TimeSeriesFromFile&gt; type.</v>
      </c>
      <c r="K254" t="str">
        <v>Handle does not point to underlying &lt;TimeSeriesFromFile&gt; type.</v>
      </c>
      <c r="L254" t="str">
        <v>Handle does not point to underlying &lt;TimeSeriesFromFile&gt; type.</v>
      </c>
      <c r="M254" t="str">
        <v>Handle does not point to underlying &lt;TimeSeriesFromFile&gt; type.</v>
      </c>
      <c r="N254" t="str">
        <v>Handle does not point to underlying &lt;TimeSeriesFromFile&gt; type.</v>
      </c>
      <c r="O254" t="e">
        <f t="shared" si="8"/>
        <v>#VALUE!</v>
      </c>
    </row>
    <row r="255" spans="3:15" x14ac:dyDescent="0.2">
      <c r="C255" s="10" t="str">
        <v>Tick</v>
      </c>
      <c r="D255" s="10" t="str">
        <v>buy/sell</v>
      </c>
      <c r="I255">
        <f t="shared" si="9"/>
        <v>216</v>
      </c>
      <c r="J255" t="str">
        <v>Handle does not point to underlying &lt;TimeSeriesFromFile&gt; type.</v>
      </c>
      <c r="K255" t="str">
        <v>Handle does not point to underlying &lt;TimeSeriesFromFile&gt; type.</v>
      </c>
      <c r="L255" t="str">
        <v>Handle does not point to underlying &lt;TimeSeriesFromFile&gt; type.</v>
      </c>
      <c r="M255" t="str">
        <v>Handle does not point to underlying &lt;TimeSeriesFromFile&gt; type.</v>
      </c>
      <c r="N255" t="str">
        <v>Handle does not point to underlying &lt;TimeSeriesFromFile&gt; type.</v>
      </c>
      <c r="O255" t="e">
        <f t="shared" si="8"/>
        <v>#VALUE!</v>
      </c>
    </row>
    <row r="256" spans="3:15" x14ac:dyDescent="0.2">
      <c r="C256" s="10" t="str">
        <v>Tick</v>
      </c>
      <c r="D256" s="10" t="str">
        <v>buy/sell</v>
      </c>
      <c r="I256">
        <f t="shared" si="9"/>
        <v>217</v>
      </c>
      <c r="J256" t="str">
        <v>Handle does not point to underlying &lt;TimeSeriesFromFile&gt; type.</v>
      </c>
      <c r="K256" t="str">
        <v>Handle does not point to underlying &lt;TimeSeriesFromFile&gt; type.</v>
      </c>
      <c r="L256" t="str">
        <v>Handle does not point to underlying &lt;TimeSeriesFromFile&gt; type.</v>
      </c>
      <c r="M256" t="str">
        <v>Handle does not point to underlying &lt;TimeSeriesFromFile&gt; type.</v>
      </c>
      <c r="N256" t="str">
        <v>Handle does not point to underlying &lt;TimeSeriesFromFile&gt; type.</v>
      </c>
      <c r="O256" t="e">
        <f t="shared" si="8"/>
        <v>#VALUE!</v>
      </c>
    </row>
    <row r="257" spans="3:15" x14ac:dyDescent="0.2">
      <c r="C257" s="10" t="str">
        <v>Tick</v>
      </c>
      <c r="D257" s="10" t="str">
        <v>buy/sell</v>
      </c>
      <c r="I257">
        <f t="shared" si="9"/>
        <v>218</v>
      </c>
      <c r="J257" t="str">
        <v>Handle does not point to underlying &lt;TimeSeriesFromFile&gt; type.</v>
      </c>
      <c r="K257" t="str">
        <v>Handle does not point to underlying &lt;TimeSeriesFromFile&gt; type.</v>
      </c>
      <c r="L257" t="str">
        <v>Handle does not point to underlying &lt;TimeSeriesFromFile&gt; type.</v>
      </c>
      <c r="M257" t="str">
        <v>Handle does not point to underlying &lt;TimeSeriesFromFile&gt; type.</v>
      </c>
      <c r="N257" t="str">
        <v>Handle does not point to underlying &lt;TimeSeriesFromFile&gt; type.</v>
      </c>
      <c r="O257" t="e">
        <f t="shared" si="8"/>
        <v>#VALUE!</v>
      </c>
    </row>
    <row r="258" spans="3:15" x14ac:dyDescent="0.2">
      <c r="C258" s="10" t="str">
        <v>Tick</v>
      </c>
      <c r="D258" s="10" t="str">
        <v>buy/sell</v>
      </c>
      <c r="I258">
        <f t="shared" si="9"/>
        <v>219</v>
      </c>
      <c r="J258" t="str">
        <v>Handle does not point to underlying &lt;TimeSeriesFromFile&gt; type.</v>
      </c>
      <c r="K258" t="str">
        <v>Handle does not point to underlying &lt;TimeSeriesFromFile&gt; type.</v>
      </c>
      <c r="L258" t="str">
        <v>Handle does not point to underlying &lt;TimeSeriesFromFile&gt; type.</v>
      </c>
      <c r="M258" t="str">
        <v>Handle does not point to underlying &lt;TimeSeriesFromFile&gt; type.</v>
      </c>
      <c r="N258" t="str">
        <v>Handle does not point to underlying &lt;TimeSeriesFromFile&gt; type.</v>
      </c>
      <c r="O258" t="e">
        <f t="shared" si="8"/>
        <v>#VALUE!</v>
      </c>
    </row>
    <row r="259" spans="3:15" x14ac:dyDescent="0.2">
      <c r="C259" s="10" t="str">
        <v>Tick</v>
      </c>
      <c r="D259" s="10" t="str">
        <v>buy/sell</v>
      </c>
      <c r="I259">
        <f t="shared" si="9"/>
        <v>220</v>
      </c>
      <c r="J259" t="str">
        <v>Handle does not point to underlying &lt;TimeSeriesFromFile&gt; type.</v>
      </c>
      <c r="K259" t="str">
        <v>Handle does not point to underlying &lt;TimeSeriesFromFile&gt; type.</v>
      </c>
      <c r="L259" t="str">
        <v>Handle does not point to underlying &lt;TimeSeriesFromFile&gt; type.</v>
      </c>
      <c r="M259" t="str">
        <v>Handle does not point to underlying &lt;TimeSeriesFromFile&gt; type.</v>
      </c>
      <c r="N259" t="str">
        <v>Handle does not point to underlying &lt;TimeSeriesFromFile&gt; type.</v>
      </c>
      <c r="O259" t="e">
        <f t="shared" si="8"/>
        <v>#VALUE!</v>
      </c>
    </row>
    <row r="260" spans="3:15" x14ac:dyDescent="0.2">
      <c r="C260" s="10" t="str">
        <v>Tick</v>
      </c>
      <c r="D260" s="10" t="str">
        <v>buy/sell</v>
      </c>
      <c r="I260">
        <f t="shared" si="9"/>
        <v>221</v>
      </c>
      <c r="J260" t="str">
        <v>Handle does not point to underlying &lt;TimeSeriesFromFile&gt; type.</v>
      </c>
      <c r="K260" t="str">
        <v>Handle does not point to underlying &lt;TimeSeriesFromFile&gt; type.</v>
      </c>
      <c r="L260" t="str">
        <v>Handle does not point to underlying &lt;TimeSeriesFromFile&gt; type.</v>
      </c>
      <c r="M260" t="str">
        <v>Handle does not point to underlying &lt;TimeSeriesFromFile&gt; type.</v>
      </c>
      <c r="N260" t="str">
        <v>Handle does not point to underlying &lt;TimeSeriesFromFile&gt; type.</v>
      </c>
      <c r="O260" t="e">
        <f t="shared" si="8"/>
        <v>#VALUE!</v>
      </c>
    </row>
    <row r="261" spans="3:15" x14ac:dyDescent="0.2">
      <c r="C261" s="10" t="str">
        <v>Tick</v>
      </c>
      <c r="D261" s="10" t="str">
        <v>buy/sell</v>
      </c>
      <c r="I261">
        <f t="shared" si="9"/>
        <v>222</v>
      </c>
      <c r="J261" t="str">
        <v>Handle does not point to underlying &lt;TimeSeriesFromFile&gt; type.</v>
      </c>
      <c r="K261" t="str">
        <v>Handle does not point to underlying &lt;TimeSeriesFromFile&gt; type.</v>
      </c>
      <c r="L261" t="str">
        <v>Handle does not point to underlying &lt;TimeSeriesFromFile&gt; type.</v>
      </c>
      <c r="M261" t="str">
        <v>Handle does not point to underlying &lt;TimeSeriesFromFile&gt; type.</v>
      </c>
      <c r="N261" t="str">
        <v>Handle does not point to underlying &lt;TimeSeriesFromFile&gt; type.</v>
      </c>
      <c r="O261" t="e">
        <f t="shared" si="8"/>
        <v>#VALUE!</v>
      </c>
    </row>
    <row r="262" spans="3:15" x14ac:dyDescent="0.2">
      <c r="C262" s="10" t="str">
        <v>Tick</v>
      </c>
      <c r="D262" s="10" t="str">
        <v>buy/sell</v>
      </c>
      <c r="I262">
        <f t="shared" si="9"/>
        <v>223</v>
      </c>
      <c r="J262" t="str">
        <v>Handle does not point to underlying &lt;TimeSeriesFromFile&gt; type.</v>
      </c>
      <c r="K262" t="str">
        <v>Handle does not point to underlying &lt;TimeSeriesFromFile&gt; type.</v>
      </c>
      <c r="L262" t="str">
        <v>Handle does not point to underlying &lt;TimeSeriesFromFile&gt; type.</v>
      </c>
      <c r="M262" t="str">
        <v>Handle does not point to underlying &lt;TimeSeriesFromFile&gt; type.</v>
      </c>
      <c r="N262" t="str">
        <v>Handle does not point to underlying &lt;TimeSeriesFromFile&gt; type.</v>
      </c>
      <c r="O262" t="e">
        <f t="shared" si="8"/>
        <v>#VALUE!</v>
      </c>
    </row>
    <row r="263" spans="3:15" x14ac:dyDescent="0.2">
      <c r="C263" s="10" t="str">
        <v>Tick</v>
      </c>
      <c r="D263" s="10" t="str">
        <v>buy/sell</v>
      </c>
      <c r="I263">
        <f t="shared" si="9"/>
        <v>224</v>
      </c>
      <c r="J263" t="str">
        <v>Handle does not point to underlying &lt;TimeSeriesFromFile&gt; type.</v>
      </c>
      <c r="K263" t="str">
        <v>Handle does not point to underlying &lt;TimeSeriesFromFile&gt; type.</v>
      </c>
      <c r="L263" t="str">
        <v>Handle does not point to underlying &lt;TimeSeriesFromFile&gt; type.</v>
      </c>
      <c r="M263" t="str">
        <v>Handle does not point to underlying &lt;TimeSeriesFromFile&gt; type.</v>
      </c>
      <c r="N263" t="str">
        <v>Handle does not point to underlying &lt;TimeSeriesFromFile&gt; type.</v>
      </c>
      <c r="O263" t="e">
        <f t="shared" si="8"/>
        <v>#VALUE!</v>
      </c>
    </row>
    <row r="264" spans="3:15" x14ac:dyDescent="0.2">
      <c r="C264" s="10" t="str">
        <v>Tick</v>
      </c>
      <c r="D264" s="10" t="str">
        <v>buy/sell</v>
      </c>
      <c r="I264">
        <f t="shared" si="9"/>
        <v>225</v>
      </c>
      <c r="J264" t="str">
        <v>Handle does not point to underlying &lt;TimeSeriesFromFile&gt; type.</v>
      </c>
      <c r="K264" t="str">
        <v>Handle does not point to underlying &lt;TimeSeriesFromFile&gt; type.</v>
      </c>
      <c r="L264" t="str">
        <v>Handle does not point to underlying &lt;TimeSeriesFromFile&gt; type.</v>
      </c>
      <c r="M264" t="str">
        <v>Handle does not point to underlying &lt;TimeSeriesFromFile&gt; type.</v>
      </c>
      <c r="N264" t="str">
        <v>Handle does not point to underlying &lt;TimeSeriesFromFile&gt; type.</v>
      </c>
      <c r="O264" t="e">
        <f t="shared" si="8"/>
        <v>#VALUE!</v>
      </c>
    </row>
    <row r="265" spans="3:15" x14ac:dyDescent="0.2">
      <c r="C265" s="10" t="str">
        <v>Tick</v>
      </c>
      <c r="D265" s="10" t="str">
        <v>buy/sell</v>
      </c>
      <c r="I265">
        <f t="shared" si="9"/>
        <v>226</v>
      </c>
      <c r="J265" t="str">
        <v>Handle does not point to underlying &lt;TimeSeriesFromFile&gt; type.</v>
      </c>
      <c r="K265" t="str">
        <v>Handle does not point to underlying &lt;TimeSeriesFromFile&gt; type.</v>
      </c>
      <c r="L265" t="str">
        <v>Handle does not point to underlying &lt;TimeSeriesFromFile&gt; type.</v>
      </c>
      <c r="M265" t="str">
        <v>Handle does not point to underlying &lt;TimeSeriesFromFile&gt; type.</v>
      </c>
      <c r="N265" t="str">
        <v>Handle does not point to underlying &lt;TimeSeriesFromFile&gt; type.</v>
      </c>
      <c r="O265" t="e">
        <f t="shared" si="8"/>
        <v>#VALUE!</v>
      </c>
    </row>
    <row r="266" spans="3:15" x14ac:dyDescent="0.2">
      <c r="C266" s="10" t="str">
        <v>Tick</v>
      </c>
      <c r="D266" s="10" t="str">
        <v>buy/sell</v>
      </c>
      <c r="I266">
        <f t="shared" si="9"/>
        <v>227</v>
      </c>
      <c r="J266" t="str">
        <v>Handle does not point to underlying &lt;TimeSeriesFromFile&gt; type.</v>
      </c>
      <c r="K266" t="str">
        <v>Handle does not point to underlying &lt;TimeSeriesFromFile&gt; type.</v>
      </c>
      <c r="L266" t="str">
        <v>Handle does not point to underlying &lt;TimeSeriesFromFile&gt; type.</v>
      </c>
      <c r="M266" t="str">
        <v>Handle does not point to underlying &lt;TimeSeriesFromFile&gt; type.</v>
      </c>
      <c r="N266" t="str">
        <v>Handle does not point to underlying &lt;TimeSeriesFromFile&gt; type.</v>
      </c>
      <c r="O266" t="e">
        <f t="shared" si="8"/>
        <v>#VALUE!</v>
      </c>
    </row>
    <row r="267" spans="3:15" x14ac:dyDescent="0.2">
      <c r="C267" s="10" t="str">
        <v>Tick</v>
      </c>
      <c r="D267" s="10" t="str">
        <v>buy/sell</v>
      </c>
      <c r="I267">
        <f t="shared" si="9"/>
        <v>228</v>
      </c>
      <c r="J267" t="str">
        <v>Handle does not point to underlying &lt;TimeSeriesFromFile&gt; type.</v>
      </c>
      <c r="K267" t="str">
        <v>Handle does not point to underlying &lt;TimeSeriesFromFile&gt; type.</v>
      </c>
      <c r="L267" t="str">
        <v>Handle does not point to underlying &lt;TimeSeriesFromFile&gt; type.</v>
      </c>
      <c r="M267" t="str">
        <v>Handle does not point to underlying &lt;TimeSeriesFromFile&gt; type.</v>
      </c>
      <c r="N267" t="str">
        <v>Handle does not point to underlying &lt;TimeSeriesFromFile&gt; type.</v>
      </c>
      <c r="O267" t="e">
        <f t="shared" si="8"/>
        <v>#VALUE!</v>
      </c>
    </row>
    <row r="268" spans="3:15" x14ac:dyDescent="0.2">
      <c r="C268" s="10" t="str">
        <v>Tick</v>
      </c>
      <c r="D268" s="10" t="str">
        <v>buy/sell</v>
      </c>
      <c r="I268">
        <f t="shared" si="9"/>
        <v>229</v>
      </c>
      <c r="J268" t="str">
        <v>Handle does not point to underlying &lt;TimeSeriesFromFile&gt; type.</v>
      </c>
      <c r="K268" t="str">
        <v>Handle does not point to underlying &lt;TimeSeriesFromFile&gt; type.</v>
      </c>
      <c r="L268" t="str">
        <v>Handle does not point to underlying &lt;TimeSeriesFromFile&gt; type.</v>
      </c>
      <c r="M268" t="str">
        <v>Handle does not point to underlying &lt;TimeSeriesFromFile&gt; type.</v>
      </c>
      <c r="N268" t="str">
        <v>Handle does not point to underlying &lt;TimeSeriesFromFile&gt; type.</v>
      </c>
      <c r="O268" t="e">
        <f t="shared" si="8"/>
        <v>#VALUE!</v>
      </c>
    </row>
    <row r="269" spans="3:15" x14ac:dyDescent="0.2">
      <c r="C269" s="10" t="str">
        <v>Tick</v>
      </c>
      <c r="D269" s="10" t="str">
        <v>buy/sell</v>
      </c>
      <c r="I269">
        <f t="shared" si="9"/>
        <v>230</v>
      </c>
      <c r="J269" t="str">
        <v>Handle does not point to underlying &lt;TimeSeriesFromFile&gt; type.</v>
      </c>
      <c r="K269" t="str">
        <v>Handle does not point to underlying &lt;TimeSeriesFromFile&gt; type.</v>
      </c>
      <c r="L269" t="str">
        <v>Handle does not point to underlying &lt;TimeSeriesFromFile&gt; type.</v>
      </c>
      <c r="M269" t="str">
        <v>Handle does not point to underlying &lt;TimeSeriesFromFile&gt; type.</v>
      </c>
      <c r="N269" t="str">
        <v>Handle does not point to underlying &lt;TimeSeriesFromFile&gt; type.</v>
      </c>
      <c r="O269" t="e">
        <f t="shared" si="8"/>
        <v>#VALUE!</v>
      </c>
    </row>
    <row r="270" spans="3:15" x14ac:dyDescent="0.2">
      <c r="C270" s="10" t="str">
        <v>Tick</v>
      </c>
      <c r="D270" s="10" t="str">
        <v>buy/sell</v>
      </c>
      <c r="I270">
        <f t="shared" si="9"/>
        <v>231</v>
      </c>
      <c r="J270" t="str">
        <v>Handle does not point to underlying &lt;TimeSeriesFromFile&gt; type.</v>
      </c>
      <c r="K270" t="str">
        <v>Handle does not point to underlying &lt;TimeSeriesFromFile&gt; type.</v>
      </c>
      <c r="L270" t="str">
        <v>Handle does not point to underlying &lt;TimeSeriesFromFile&gt; type.</v>
      </c>
      <c r="M270" t="str">
        <v>Handle does not point to underlying &lt;TimeSeriesFromFile&gt; type.</v>
      </c>
      <c r="N270" t="str">
        <v>Handle does not point to underlying &lt;TimeSeriesFromFile&gt; type.</v>
      </c>
      <c r="O270" t="e">
        <f t="shared" si="8"/>
        <v>#VALUE!</v>
      </c>
    </row>
    <row r="271" spans="3:15" x14ac:dyDescent="0.2">
      <c r="C271" s="10" t="str">
        <v>Tick</v>
      </c>
      <c r="D271" s="10" t="str">
        <v>buy/sell</v>
      </c>
      <c r="I271">
        <f t="shared" si="9"/>
        <v>232</v>
      </c>
      <c r="J271" t="str">
        <v>Handle does not point to underlying &lt;TimeSeriesFromFile&gt; type.</v>
      </c>
      <c r="K271" t="str">
        <v>Handle does not point to underlying &lt;TimeSeriesFromFile&gt; type.</v>
      </c>
      <c r="L271" t="str">
        <v>Handle does not point to underlying &lt;TimeSeriesFromFile&gt; type.</v>
      </c>
      <c r="M271" t="str">
        <v>Handle does not point to underlying &lt;TimeSeriesFromFile&gt; type.</v>
      </c>
      <c r="N271" t="str">
        <v>Handle does not point to underlying &lt;TimeSeriesFromFile&gt; type.</v>
      </c>
      <c r="O271" t="e">
        <f t="shared" si="8"/>
        <v>#VALUE!</v>
      </c>
    </row>
    <row r="272" spans="3:15" x14ac:dyDescent="0.2">
      <c r="C272" s="10" t="str">
        <v>Tick</v>
      </c>
      <c r="D272" s="10" t="str">
        <v>buy/sell</v>
      </c>
      <c r="I272">
        <f t="shared" si="9"/>
        <v>233</v>
      </c>
      <c r="J272" t="str">
        <v>Handle does not point to underlying &lt;TimeSeriesFromFile&gt; type.</v>
      </c>
      <c r="K272" t="str">
        <v>Handle does not point to underlying &lt;TimeSeriesFromFile&gt; type.</v>
      </c>
      <c r="L272" t="str">
        <v>Handle does not point to underlying &lt;TimeSeriesFromFile&gt; type.</v>
      </c>
      <c r="M272" t="str">
        <v>Handle does not point to underlying &lt;TimeSeriesFromFile&gt; type.</v>
      </c>
      <c r="N272" t="str">
        <v>Handle does not point to underlying &lt;TimeSeriesFromFile&gt; type.</v>
      </c>
      <c r="O272" t="e">
        <f t="shared" si="8"/>
        <v>#VALUE!</v>
      </c>
    </row>
    <row r="273" spans="3:15" x14ac:dyDescent="0.2">
      <c r="C273" s="10" t="str">
        <v>Tick</v>
      </c>
      <c r="D273" s="10" t="str">
        <v>buy/sell</v>
      </c>
      <c r="I273">
        <f t="shared" si="9"/>
        <v>234</v>
      </c>
      <c r="J273" t="str">
        <v>Handle does not point to underlying &lt;TimeSeriesFromFile&gt; type.</v>
      </c>
      <c r="K273" t="str">
        <v>Handle does not point to underlying &lt;TimeSeriesFromFile&gt; type.</v>
      </c>
      <c r="L273" t="str">
        <v>Handle does not point to underlying &lt;TimeSeriesFromFile&gt; type.</v>
      </c>
      <c r="M273" t="str">
        <v>Handle does not point to underlying &lt;TimeSeriesFromFile&gt; type.</v>
      </c>
      <c r="N273" t="str">
        <v>Handle does not point to underlying &lt;TimeSeriesFromFile&gt; type.</v>
      </c>
      <c r="O273" t="e">
        <f t="shared" si="8"/>
        <v>#VALUE!</v>
      </c>
    </row>
    <row r="274" spans="3:15" x14ac:dyDescent="0.2">
      <c r="C274" s="10" t="str">
        <v>Tick</v>
      </c>
      <c r="D274" s="10" t="str">
        <v>buy/sell</v>
      </c>
      <c r="I274">
        <f t="shared" si="9"/>
        <v>235</v>
      </c>
      <c r="J274" t="str">
        <v>Handle does not point to underlying &lt;TimeSeriesFromFile&gt; type.</v>
      </c>
      <c r="K274" t="str">
        <v>Handle does not point to underlying &lt;TimeSeriesFromFile&gt; type.</v>
      </c>
      <c r="L274" t="str">
        <v>Handle does not point to underlying &lt;TimeSeriesFromFile&gt; type.</v>
      </c>
      <c r="M274" t="str">
        <v>Handle does not point to underlying &lt;TimeSeriesFromFile&gt; type.</v>
      </c>
      <c r="N274" t="str">
        <v>Handle does not point to underlying &lt;TimeSeriesFromFile&gt; type.</v>
      </c>
      <c r="O274" t="e">
        <f t="shared" si="8"/>
        <v>#VALUE!</v>
      </c>
    </row>
    <row r="275" spans="3:15" x14ac:dyDescent="0.2">
      <c r="C275" s="10" t="str">
        <v>Tick</v>
      </c>
      <c r="D275" s="10" t="str">
        <v>buy/sell</v>
      </c>
      <c r="I275">
        <f t="shared" si="9"/>
        <v>236</v>
      </c>
      <c r="J275" t="str">
        <v>Handle does not point to underlying &lt;TimeSeriesFromFile&gt; type.</v>
      </c>
      <c r="K275" t="str">
        <v>Handle does not point to underlying &lt;TimeSeriesFromFile&gt; type.</v>
      </c>
      <c r="L275" t="str">
        <v>Handle does not point to underlying &lt;TimeSeriesFromFile&gt; type.</v>
      </c>
      <c r="M275" t="str">
        <v>Handle does not point to underlying &lt;TimeSeriesFromFile&gt; type.</v>
      </c>
      <c r="N275" t="str">
        <v>Handle does not point to underlying &lt;TimeSeriesFromFile&gt; type.</v>
      </c>
      <c r="O275" t="e">
        <f t="shared" si="8"/>
        <v>#VALUE!</v>
      </c>
    </row>
    <row r="276" spans="3:15" x14ac:dyDescent="0.2">
      <c r="C276" s="10" t="str">
        <v>Tick</v>
      </c>
      <c r="D276" s="10" t="str">
        <v>buy/sell</v>
      </c>
      <c r="I276">
        <f t="shared" si="9"/>
        <v>237</v>
      </c>
      <c r="J276" t="str">
        <v>Handle does not point to underlying &lt;TimeSeriesFromFile&gt; type.</v>
      </c>
      <c r="K276" t="str">
        <v>Handle does not point to underlying &lt;TimeSeriesFromFile&gt; type.</v>
      </c>
      <c r="L276" t="str">
        <v>Handle does not point to underlying &lt;TimeSeriesFromFile&gt; type.</v>
      </c>
      <c r="M276" t="str">
        <v>Handle does not point to underlying &lt;TimeSeriesFromFile&gt; type.</v>
      </c>
      <c r="N276" t="str">
        <v>Handle does not point to underlying &lt;TimeSeriesFromFile&gt; type.</v>
      </c>
      <c r="O276" t="e">
        <f t="shared" si="8"/>
        <v>#VALUE!</v>
      </c>
    </row>
    <row r="277" spans="3:15" x14ac:dyDescent="0.2">
      <c r="C277" s="10" t="str">
        <v>Tick</v>
      </c>
      <c r="D277" s="10" t="str">
        <v>buy/sell</v>
      </c>
      <c r="I277">
        <f t="shared" si="9"/>
        <v>238</v>
      </c>
      <c r="J277" t="str">
        <v>Handle does not point to underlying &lt;TimeSeriesFromFile&gt; type.</v>
      </c>
      <c r="K277" t="str">
        <v>Handle does not point to underlying &lt;TimeSeriesFromFile&gt; type.</v>
      </c>
      <c r="L277" t="str">
        <v>Handle does not point to underlying &lt;TimeSeriesFromFile&gt; type.</v>
      </c>
      <c r="M277" t="str">
        <v>Handle does not point to underlying &lt;TimeSeriesFromFile&gt; type.</v>
      </c>
      <c r="N277" t="str">
        <v>Handle does not point to underlying &lt;TimeSeriesFromFile&gt; type.</v>
      </c>
      <c r="O277" t="e">
        <f t="shared" si="8"/>
        <v>#VALUE!</v>
      </c>
    </row>
    <row r="278" spans="3:15" x14ac:dyDescent="0.2">
      <c r="C278" s="10" t="str">
        <v>Tick</v>
      </c>
      <c r="D278" s="10" t="str">
        <v>buy/sell</v>
      </c>
      <c r="I278">
        <f t="shared" si="9"/>
        <v>239</v>
      </c>
      <c r="J278" t="str">
        <v>Handle does not point to underlying &lt;TimeSeriesFromFile&gt; type.</v>
      </c>
      <c r="K278" t="str">
        <v>Handle does not point to underlying &lt;TimeSeriesFromFile&gt; type.</v>
      </c>
      <c r="L278" t="str">
        <v>Handle does not point to underlying &lt;TimeSeriesFromFile&gt; type.</v>
      </c>
      <c r="M278" t="str">
        <v>Handle does not point to underlying &lt;TimeSeriesFromFile&gt; type.</v>
      </c>
      <c r="N278" t="str">
        <v>Handle does not point to underlying &lt;TimeSeriesFromFile&gt; type.</v>
      </c>
      <c r="O278" t="e">
        <f t="shared" si="8"/>
        <v>#VALUE!</v>
      </c>
    </row>
    <row r="279" spans="3:15" x14ac:dyDescent="0.2">
      <c r="C279" s="10" t="str">
        <v>Tick</v>
      </c>
      <c r="D279" s="10" t="str">
        <v>buy/sell</v>
      </c>
      <c r="I279">
        <f t="shared" si="9"/>
        <v>240</v>
      </c>
      <c r="J279" t="str">
        <v>Handle does not point to underlying &lt;TimeSeriesFromFile&gt; type.</v>
      </c>
      <c r="K279" t="str">
        <v>Handle does not point to underlying &lt;TimeSeriesFromFile&gt; type.</v>
      </c>
      <c r="L279" t="str">
        <v>Handle does not point to underlying &lt;TimeSeriesFromFile&gt; type.</v>
      </c>
      <c r="M279" t="str">
        <v>Handle does not point to underlying &lt;TimeSeriesFromFile&gt; type.</v>
      </c>
      <c r="N279" t="str">
        <v>Handle does not point to underlying &lt;TimeSeriesFromFile&gt; type.</v>
      </c>
      <c r="O279" t="e">
        <f t="shared" si="8"/>
        <v>#VALUE!</v>
      </c>
    </row>
    <row r="280" spans="3:15" x14ac:dyDescent="0.2">
      <c r="C280" s="10" t="str">
        <v>Tick</v>
      </c>
      <c r="D280" s="10" t="str">
        <v>buy/sell</v>
      </c>
      <c r="I280">
        <f t="shared" si="9"/>
        <v>241</v>
      </c>
      <c r="J280" t="str">
        <v>Handle does not point to underlying &lt;TimeSeriesFromFile&gt; type.</v>
      </c>
      <c r="K280" t="str">
        <v>Handle does not point to underlying &lt;TimeSeriesFromFile&gt; type.</v>
      </c>
      <c r="L280" t="str">
        <v>Handle does not point to underlying &lt;TimeSeriesFromFile&gt; type.</v>
      </c>
      <c r="M280" t="str">
        <v>Handle does not point to underlying &lt;TimeSeriesFromFile&gt; type.</v>
      </c>
      <c r="N280" t="str">
        <v>Handle does not point to underlying &lt;TimeSeriesFromFile&gt; type.</v>
      </c>
      <c r="O280" t="e">
        <f t="shared" si="8"/>
        <v>#VALUE!</v>
      </c>
    </row>
    <row r="281" spans="3:15" x14ac:dyDescent="0.2">
      <c r="C281" s="10" t="str">
        <v>Tick</v>
      </c>
      <c r="D281" s="10" t="str">
        <v>buy/sell</v>
      </c>
      <c r="I281">
        <f t="shared" si="9"/>
        <v>242</v>
      </c>
      <c r="J281" t="str">
        <v>Handle does not point to underlying &lt;TimeSeriesFromFile&gt; type.</v>
      </c>
      <c r="K281" t="str">
        <v>Handle does not point to underlying &lt;TimeSeriesFromFile&gt; type.</v>
      </c>
      <c r="L281" t="str">
        <v>Handle does not point to underlying &lt;TimeSeriesFromFile&gt; type.</v>
      </c>
      <c r="M281" t="str">
        <v>Handle does not point to underlying &lt;TimeSeriesFromFile&gt; type.</v>
      </c>
      <c r="N281" t="str">
        <v>Handle does not point to underlying &lt;TimeSeriesFromFile&gt; type.</v>
      </c>
      <c r="O281" t="e">
        <f t="shared" si="8"/>
        <v>#VALUE!</v>
      </c>
    </row>
    <row r="282" spans="3:15" x14ac:dyDescent="0.2">
      <c r="C282" s="10" t="str">
        <v>Tick</v>
      </c>
      <c r="D282" s="10" t="str">
        <v>buy/sell</v>
      </c>
      <c r="I282">
        <f t="shared" si="9"/>
        <v>243</v>
      </c>
      <c r="J282" t="str">
        <v>Handle does not point to underlying &lt;TimeSeriesFromFile&gt; type.</v>
      </c>
      <c r="K282" t="str">
        <v>Handle does not point to underlying &lt;TimeSeriesFromFile&gt; type.</v>
      </c>
      <c r="L282" t="str">
        <v>Handle does not point to underlying &lt;TimeSeriesFromFile&gt; type.</v>
      </c>
      <c r="M282" t="str">
        <v>Handle does not point to underlying &lt;TimeSeriesFromFile&gt; type.</v>
      </c>
      <c r="N282" t="str">
        <v>Handle does not point to underlying &lt;TimeSeriesFromFile&gt; type.</v>
      </c>
      <c r="O282" t="e">
        <f t="shared" si="8"/>
        <v>#VALUE!</v>
      </c>
    </row>
    <row r="283" spans="3:15" x14ac:dyDescent="0.2">
      <c r="C283" s="10" t="str">
        <v>Tick</v>
      </c>
      <c r="D283" s="10" t="str">
        <v>buy/sell</v>
      </c>
      <c r="I283">
        <f t="shared" si="9"/>
        <v>244</v>
      </c>
      <c r="J283" t="str">
        <v>Handle does not point to underlying &lt;TimeSeriesFromFile&gt; type.</v>
      </c>
      <c r="K283" t="str">
        <v>Handle does not point to underlying &lt;TimeSeriesFromFile&gt; type.</v>
      </c>
      <c r="L283" t="str">
        <v>Handle does not point to underlying &lt;TimeSeriesFromFile&gt; type.</v>
      </c>
      <c r="M283" t="str">
        <v>Handle does not point to underlying &lt;TimeSeriesFromFile&gt; type.</v>
      </c>
      <c r="N283" t="str">
        <v>Handle does not point to underlying &lt;TimeSeriesFromFile&gt; type.</v>
      </c>
      <c r="O283" t="e">
        <f t="shared" si="8"/>
        <v>#VALUE!</v>
      </c>
    </row>
    <row r="284" spans="3:15" x14ac:dyDescent="0.2">
      <c r="C284" s="10" t="str">
        <v>Tick</v>
      </c>
      <c r="D284" s="10" t="str">
        <v>buy/sell</v>
      </c>
      <c r="I284">
        <f t="shared" si="9"/>
        <v>245</v>
      </c>
      <c r="J284" t="str">
        <v>Handle does not point to underlying &lt;TimeSeriesFromFile&gt; type.</v>
      </c>
      <c r="K284" t="str">
        <v>Handle does not point to underlying &lt;TimeSeriesFromFile&gt; type.</v>
      </c>
      <c r="L284" t="str">
        <v>Handle does not point to underlying &lt;TimeSeriesFromFile&gt; type.</v>
      </c>
      <c r="M284" t="str">
        <v>Handle does not point to underlying &lt;TimeSeriesFromFile&gt; type.</v>
      </c>
      <c r="N284" t="str">
        <v>Handle does not point to underlying &lt;TimeSeriesFromFile&gt; type.</v>
      </c>
      <c r="O284" t="e">
        <f t="shared" si="8"/>
        <v>#VALUE!</v>
      </c>
    </row>
    <row r="285" spans="3:15" x14ac:dyDescent="0.2">
      <c r="C285" s="10" t="str">
        <v>Tick</v>
      </c>
      <c r="D285" s="10" t="str">
        <v>buy/sell</v>
      </c>
      <c r="I285">
        <f t="shared" si="9"/>
        <v>246</v>
      </c>
      <c r="J285" t="str">
        <v>Handle does not point to underlying &lt;TimeSeriesFromFile&gt; type.</v>
      </c>
      <c r="K285" t="str">
        <v>Handle does not point to underlying &lt;TimeSeriesFromFile&gt; type.</v>
      </c>
      <c r="L285" t="str">
        <v>Handle does not point to underlying &lt;TimeSeriesFromFile&gt; type.</v>
      </c>
      <c r="M285" t="str">
        <v>Handle does not point to underlying &lt;TimeSeriesFromFile&gt; type.</v>
      </c>
      <c r="N285" t="str">
        <v>Handle does not point to underlying &lt;TimeSeriesFromFile&gt; type.</v>
      </c>
      <c r="O285" t="e">
        <f t="shared" si="8"/>
        <v>#VALUE!</v>
      </c>
    </row>
    <row r="286" spans="3:15" x14ac:dyDescent="0.2">
      <c r="C286" s="10" t="str">
        <v>Tick</v>
      </c>
      <c r="D286" s="10" t="str">
        <v>buy/sell</v>
      </c>
      <c r="I286">
        <f t="shared" si="9"/>
        <v>247</v>
      </c>
      <c r="J286" t="str">
        <v>Handle does not point to underlying &lt;TimeSeriesFromFile&gt; type.</v>
      </c>
      <c r="K286" t="str">
        <v>Handle does not point to underlying &lt;TimeSeriesFromFile&gt; type.</v>
      </c>
      <c r="L286" t="str">
        <v>Handle does not point to underlying &lt;TimeSeriesFromFile&gt; type.</v>
      </c>
      <c r="M286" t="str">
        <v>Handle does not point to underlying &lt;TimeSeriesFromFile&gt; type.</v>
      </c>
      <c r="N286" t="str">
        <v>Handle does not point to underlying &lt;TimeSeriesFromFile&gt; type.</v>
      </c>
      <c r="O286" t="e">
        <f t="shared" si="8"/>
        <v>#VALUE!</v>
      </c>
    </row>
    <row r="287" spans="3:15" x14ac:dyDescent="0.2">
      <c r="C287" s="10" t="str">
        <v>Tick</v>
      </c>
      <c r="D287" s="10" t="str">
        <v>buy/sell</v>
      </c>
      <c r="I287">
        <f t="shared" si="9"/>
        <v>248</v>
      </c>
      <c r="J287" t="str">
        <v>Handle does not point to underlying &lt;TimeSeriesFromFile&gt; type.</v>
      </c>
      <c r="K287" t="str">
        <v>Handle does not point to underlying &lt;TimeSeriesFromFile&gt; type.</v>
      </c>
      <c r="L287" t="str">
        <v>Handle does not point to underlying &lt;TimeSeriesFromFile&gt; type.</v>
      </c>
      <c r="M287" t="str">
        <v>Handle does not point to underlying &lt;TimeSeriesFromFile&gt; type.</v>
      </c>
      <c r="N287" t="str">
        <v>Handle does not point to underlying &lt;TimeSeriesFromFile&gt; type.</v>
      </c>
      <c r="O287" t="e">
        <f t="shared" si="8"/>
        <v>#VALUE!</v>
      </c>
    </row>
    <row r="288" spans="3:15" x14ac:dyDescent="0.2">
      <c r="C288" s="10" t="str">
        <v>Tick</v>
      </c>
      <c r="D288" s="10" t="str">
        <v>buy/sell</v>
      </c>
      <c r="I288">
        <f t="shared" si="9"/>
        <v>249</v>
      </c>
      <c r="J288" t="str">
        <v>Handle does not point to underlying &lt;TimeSeriesFromFile&gt; type.</v>
      </c>
      <c r="K288" t="str">
        <v>Handle does not point to underlying &lt;TimeSeriesFromFile&gt; type.</v>
      </c>
      <c r="L288" t="str">
        <v>Handle does not point to underlying &lt;TimeSeriesFromFile&gt; type.</v>
      </c>
      <c r="M288" t="str">
        <v>Handle does not point to underlying &lt;TimeSeriesFromFile&gt; type.</v>
      </c>
      <c r="N288" t="str">
        <v>Handle does not point to underlying &lt;TimeSeriesFromFile&gt; type.</v>
      </c>
      <c r="O288" t="e">
        <f t="shared" si="8"/>
        <v>#VALUE!</v>
      </c>
    </row>
    <row r="289" spans="3:15" x14ac:dyDescent="0.2">
      <c r="C289" s="10" t="str">
        <v>Tick</v>
      </c>
      <c r="D289" s="10" t="str">
        <v>buy/sell</v>
      </c>
      <c r="I289">
        <f t="shared" si="9"/>
        <v>250</v>
      </c>
      <c r="J289" t="str">
        <v>Handle does not point to underlying &lt;TimeSeriesFromFile&gt; type.</v>
      </c>
      <c r="K289" t="str">
        <v>Handle does not point to underlying &lt;TimeSeriesFromFile&gt; type.</v>
      </c>
      <c r="L289" t="str">
        <v>Handle does not point to underlying &lt;TimeSeriesFromFile&gt; type.</v>
      </c>
      <c r="M289" t="str">
        <v>Handle does not point to underlying &lt;TimeSeriesFromFile&gt; type.</v>
      </c>
      <c r="N289" t="str">
        <v>Handle does not point to underlying &lt;TimeSeriesFromFile&gt; type.</v>
      </c>
      <c r="O289" t="e">
        <f t="shared" si="8"/>
        <v>#VALUE!</v>
      </c>
    </row>
    <row r="290" spans="3:15" x14ac:dyDescent="0.2">
      <c r="C290" s="10" t="str">
        <v>Tick</v>
      </c>
      <c r="D290" s="10" t="str">
        <v>buy/sell</v>
      </c>
      <c r="I290">
        <f t="shared" si="9"/>
        <v>251</v>
      </c>
      <c r="J290" t="str">
        <v>Handle does not point to underlying &lt;TimeSeriesFromFile&gt; type.</v>
      </c>
      <c r="K290" t="str">
        <v>Handle does not point to underlying &lt;TimeSeriesFromFile&gt; type.</v>
      </c>
      <c r="L290" t="str">
        <v>Handle does not point to underlying &lt;TimeSeriesFromFile&gt; type.</v>
      </c>
      <c r="M290" t="str">
        <v>Handle does not point to underlying &lt;TimeSeriesFromFile&gt; type.</v>
      </c>
      <c r="N290" t="str">
        <v>Handle does not point to underlying &lt;TimeSeriesFromFile&gt; type.</v>
      </c>
      <c r="O290" t="e">
        <f t="shared" si="8"/>
        <v>#VALUE!</v>
      </c>
    </row>
    <row r="291" spans="3:15" x14ac:dyDescent="0.2">
      <c r="C291" s="10" t="str">
        <v>Tick</v>
      </c>
      <c r="D291" s="10" t="str">
        <v>buy/sell</v>
      </c>
      <c r="I291">
        <f t="shared" si="9"/>
        <v>252</v>
      </c>
      <c r="J291" t="str">
        <v>Handle does not point to underlying &lt;TimeSeriesFromFile&gt; type.</v>
      </c>
      <c r="K291" t="str">
        <v>Handle does not point to underlying &lt;TimeSeriesFromFile&gt; type.</v>
      </c>
      <c r="L291" t="str">
        <v>Handle does not point to underlying &lt;TimeSeriesFromFile&gt; type.</v>
      </c>
      <c r="M291" t="str">
        <v>Handle does not point to underlying &lt;TimeSeriesFromFile&gt; type.</v>
      </c>
      <c r="N291" t="str">
        <v>Handle does not point to underlying &lt;TimeSeriesFromFile&gt; type.</v>
      </c>
      <c r="O291" t="e">
        <f t="shared" si="8"/>
        <v>#VALUE!</v>
      </c>
    </row>
    <row r="292" spans="3:15" x14ac:dyDescent="0.2">
      <c r="C292" s="10" t="str">
        <v>Tick</v>
      </c>
      <c r="D292" s="10" t="str">
        <v>buy/sell</v>
      </c>
      <c r="I292">
        <f t="shared" si="9"/>
        <v>253</v>
      </c>
      <c r="J292" t="str">
        <v>Handle does not point to underlying &lt;TimeSeriesFromFile&gt; type.</v>
      </c>
      <c r="K292" t="str">
        <v>Handle does not point to underlying &lt;TimeSeriesFromFile&gt; type.</v>
      </c>
      <c r="L292" t="str">
        <v>Handle does not point to underlying &lt;TimeSeriesFromFile&gt; type.</v>
      </c>
      <c r="M292" t="str">
        <v>Handle does not point to underlying &lt;TimeSeriesFromFile&gt; type.</v>
      </c>
      <c r="N292" t="str">
        <v>Handle does not point to underlying &lt;TimeSeriesFromFile&gt; type.</v>
      </c>
      <c r="O292" t="e">
        <f t="shared" si="8"/>
        <v>#VALUE!</v>
      </c>
    </row>
    <row r="293" spans="3:15" x14ac:dyDescent="0.2">
      <c r="C293" s="10" t="str">
        <v>Tick</v>
      </c>
      <c r="D293" s="10" t="str">
        <v>buy/sell</v>
      </c>
      <c r="I293">
        <f t="shared" si="9"/>
        <v>254</v>
      </c>
      <c r="J293" t="str">
        <v>Handle does not point to underlying &lt;TimeSeriesFromFile&gt; type.</v>
      </c>
      <c r="K293" t="str">
        <v>Handle does not point to underlying &lt;TimeSeriesFromFile&gt; type.</v>
      </c>
      <c r="L293" t="str">
        <v>Handle does not point to underlying &lt;TimeSeriesFromFile&gt; type.</v>
      </c>
      <c r="M293" t="str">
        <v>Handle does not point to underlying &lt;TimeSeriesFromFile&gt; type.</v>
      </c>
      <c r="N293" t="str">
        <v>Handle does not point to underlying &lt;TimeSeriesFromFile&gt; type.</v>
      </c>
      <c r="O293" t="e">
        <f t="shared" si="8"/>
        <v>#VALUE!</v>
      </c>
    </row>
    <row r="294" spans="3:15" x14ac:dyDescent="0.2">
      <c r="C294" s="10" t="str">
        <v>Tick</v>
      </c>
      <c r="D294" s="10" t="str">
        <v>buy/sell</v>
      </c>
      <c r="I294">
        <f t="shared" si="9"/>
        <v>255</v>
      </c>
      <c r="J294" t="str">
        <v>Handle does not point to underlying &lt;TimeSeriesFromFile&gt; type.</v>
      </c>
      <c r="K294" t="str">
        <v>Handle does not point to underlying &lt;TimeSeriesFromFile&gt; type.</v>
      </c>
      <c r="L294" t="str">
        <v>Handle does not point to underlying &lt;TimeSeriesFromFile&gt; type.</v>
      </c>
      <c r="M294" t="str">
        <v>Handle does not point to underlying &lt;TimeSeriesFromFile&gt; type.</v>
      </c>
      <c r="N294" t="str">
        <v>Handle does not point to underlying &lt;TimeSeriesFromFile&gt; type.</v>
      </c>
      <c r="O294" t="e">
        <f t="shared" si="8"/>
        <v>#VALUE!</v>
      </c>
    </row>
    <row r="295" spans="3:15" x14ac:dyDescent="0.2">
      <c r="C295" s="10" t="str">
        <v>Tick</v>
      </c>
      <c r="D295" s="10" t="str">
        <v>buy/sell</v>
      </c>
      <c r="I295">
        <f t="shared" si="9"/>
        <v>256</v>
      </c>
      <c r="J295" t="str">
        <v>Handle does not point to underlying &lt;TimeSeriesFromFile&gt; type.</v>
      </c>
      <c r="K295" t="str">
        <v>Handle does not point to underlying &lt;TimeSeriesFromFile&gt; type.</v>
      </c>
      <c r="L295" t="str">
        <v>Handle does not point to underlying &lt;TimeSeriesFromFile&gt; type.</v>
      </c>
      <c r="M295" t="str">
        <v>Handle does not point to underlying &lt;TimeSeriesFromFile&gt; type.</v>
      </c>
      <c r="N295" t="str">
        <v>Handle does not point to underlying &lt;TimeSeriesFromFile&gt; type.</v>
      </c>
      <c r="O295" t="e">
        <f t="shared" si="8"/>
        <v>#VALUE!</v>
      </c>
    </row>
    <row r="296" spans="3:15" x14ac:dyDescent="0.2">
      <c r="C296" s="10" t="str">
        <v>Tick</v>
      </c>
      <c r="D296" s="10" t="str">
        <v>buy/sell</v>
      </c>
      <c r="I296">
        <f t="shared" si="9"/>
        <v>257</v>
      </c>
      <c r="J296" t="str">
        <v>Handle does not point to underlying &lt;TimeSeriesFromFile&gt; type.</v>
      </c>
      <c r="K296" t="str">
        <v>Handle does not point to underlying &lt;TimeSeriesFromFile&gt; type.</v>
      </c>
      <c r="L296" t="str">
        <v>Handle does not point to underlying &lt;TimeSeriesFromFile&gt; type.</v>
      </c>
      <c r="M296" t="str">
        <v>Handle does not point to underlying &lt;TimeSeriesFromFile&gt; type.</v>
      </c>
      <c r="N296" t="str">
        <v>Handle does not point to underlying &lt;TimeSeriesFromFile&gt; type.</v>
      </c>
      <c r="O296" t="e">
        <f t="shared" ref="O296:O359" si="10">M296-N296</f>
        <v>#VALUE!</v>
      </c>
    </row>
    <row r="297" spans="3:15" x14ac:dyDescent="0.2">
      <c r="C297" s="10" t="str">
        <v>Tick</v>
      </c>
      <c r="D297" s="10" t="str">
        <v>buy/sell</v>
      </c>
      <c r="I297">
        <f t="shared" ref="I297:I360" si="11">I296+1</f>
        <v>258</v>
      </c>
      <c r="J297" t="str">
        <v>Handle does not point to underlying &lt;TimeSeriesFromFile&gt; type.</v>
      </c>
      <c r="K297" t="str">
        <v>Handle does not point to underlying &lt;TimeSeriesFromFile&gt; type.</v>
      </c>
      <c r="L297" t="str">
        <v>Handle does not point to underlying &lt;TimeSeriesFromFile&gt; type.</v>
      </c>
      <c r="M297" t="str">
        <v>Handle does not point to underlying &lt;TimeSeriesFromFile&gt; type.</v>
      </c>
      <c r="N297" t="str">
        <v>Handle does not point to underlying &lt;TimeSeriesFromFile&gt; type.</v>
      </c>
      <c r="O297" t="e">
        <f t="shared" si="10"/>
        <v>#VALUE!</v>
      </c>
    </row>
    <row r="298" spans="3:15" x14ac:dyDescent="0.2">
      <c r="C298" s="10" t="str">
        <v>Tick</v>
      </c>
      <c r="D298" s="10" t="str">
        <v>buy/sell</v>
      </c>
      <c r="I298">
        <f t="shared" si="11"/>
        <v>259</v>
      </c>
      <c r="J298" t="str">
        <v>Handle does not point to underlying &lt;TimeSeriesFromFile&gt; type.</v>
      </c>
      <c r="K298" t="str">
        <v>Handle does not point to underlying &lt;TimeSeriesFromFile&gt; type.</v>
      </c>
      <c r="L298" t="str">
        <v>Handle does not point to underlying &lt;TimeSeriesFromFile&gt; type.</v>
      </c>
      <c r="M298" t="str">
        <v>Handle does not point to underlying &lt;TimeSeriesFromFile&gt; type.</v>
      </c>
      <c r="N298" t="str">
        <v>Handle does not point to underlying &lt;TimeSeriesFromFile&gt; type.</v>
      </c>
      <c r="O298" t="e">
        <f t="shared" si="10"/>
        <v>#VALUE!</v>
      </c>
    </row>
    <row r="299" spans="3:15" x14ac:dyDescent="0.2">
      <c r="C299" s="10" t="str">
        <v>Tick</v>
      </c>
      <c r="D299" s="10" t="str">
        <v>buy/sell</v>
      </c>
      <c r="I299">
        <f t="shared" si="11"/>
        <v>260</v>
      </c>
      <c r="J299" t="str">
        <v>Handle does not point to underlying &lt;TimeSeriesFromFile&gt; type.</v>
      </c>
      <c r="K299" t="str">
        <v>Handle does not point to underlying &lt;TimeSeriesFromFile&gt; type.</v>
      </c>
      <c r="L299" t="str">
        <v>Handle does not point to underlying &lt;TimeSeriesFromFile&gt; type.</v>
      </c>
      <c r="M299" t="str">
        <v>Handle does not point to underlying &lt;TimeSeriesFromFile&gt; type.</v>
      </c>
      <c r="N299" t="str">
        <v>Handle does not point to underlying &lt;TimeSeriesFromFile&gt; type.</v>
      </c>
      <c r="O299" t="e">
        <f t="shared" si="10"/>
        <v>#VALUE!</v>
      </c>
    </row>
    <row r="300" spans="3:15" x14ac:dyDescent="0.2">
      <c r="C300" s="10" t="str">
        <v>Tick</v>
      </c>
      <c r="D300" s="10" t="str">
        <v>buy/sell</v>
      </c>
      <c r="I300">
        <f t="shared" si="11"/>
        <v>261</v>
      </c>
      <c r="J300" t="str">
        <v>Handle does not point to underlying &lt;TimeSeriesFromFile&gt; type.</v>
      </c>
      <c r="K300" t="str">
        <v>Handle does not point to underlying &lt;TimeSeriesFromFile&gt; type.</v>
      </c>
      <c r="L300" t="str">
        <v>Handle does not point to underlying &lt;TimeSeriesFromFile&gt; type.</v>
      </c>
      <c r="M300" t="str">
        <v>Handle does not point to underlying &lt;TimeSeriesFromFile&gt; type.</v>
      </c>
      <c r="N300" t="str">
        <v>Handle does not point to underlying &lt;TimeSeriesFromFile&gt; type.</v>
      </c>
      <c r="O300" t="e">
        <f t="shared" si="10"/>
        <v>#VALUE!</v>
      </c>
    </row>
    <row r="301" spans="3:15" x14ac:dyDescent="0.2">
      <c r="C301" s="10" t="str">
        <v>Tick</v>
      </c>
      <c r="D301" s="10" t="str">
        <v>buy/sell</v>
      </c>
      <c r="I301">
        <f t="shared" si="11"/>
        <v>262</v>
      </c>
      <c r="J301" t="str">
        <v>Handle does not point to underlying &lt;TimeSeriesFromFile&gt; type.</v>
      </c>
      <c r="K301" t="str">
        <v>Handle does not point to underlying &lt;TimeSeriesFromFile&gt; type.</v>
      </c>
      <c r="L301" t="str">
        <v>Handle does not point to underlying &lt;TimeSeriesFromFile&gt; type.</v>
      </c>
      <c r="M301" t="str">
        <v>Handle does not point to underlying &lt;TimeSeriesFromFile&gt; type.</v>
      </c>
      <c r="N301" t="str">
        <v>Handle does not point to underlying &lt;TimeSeriesFromFile&gt; type.</v>
      </c>
      <c r="O301" t="e">
        <f t="shared" si="10"/>
        <v>#VALUE!</v>
      </c>
    </row>
    <row r="302" spans="3:15" x14ac:dyDescent="0.2">
      <c r="C302" s="10" t="str">
        <v>Tick</v>
      </c>
      <c r="D302" s="10" t="str">
        <v>buy/sell</v>
      </c>
      <c r="I302">
        <f t="shared" si="11"/>
        <v>263</v>
      </c>
      <c r="J302" t="str">
        <v>Handle does not point to underlying &lt;TimeSeriesFromFile&gt; type.</v>
      </c>
      <c r="K302" t="str">
        <v>Handle does not point to underlying &lt;TimeSeriesFromFile&gt; type.</v>
      </c>
      <c r="L302" t="str">
        <v>Handle does not point to underlying &lt;TimeSeriesFromFile&gt; type.</v>
      </c>
      <c r="M302" t="str">
        <v>Handle does not point to underlying &lt;TimeSeriesFromFile&gt; type.</v>
      </c>
      <c r="N302" t="str">
        <v>Handle does not point to underlying &lt;TimeSeriesFromFile&gt; type.</v>
      </c>
      <c r="O302" t="e">
        <f t="shared" si="10"/>
        <v>#VALUE!</v>
      </c>
    </row>
    <row r="303" spans="3:15" x14ac:dyDescent="0.2">
      <c r="C303" s="10" t="str">
        <v>Tick</v>
      </c>
      <c r="D303" s="10" t="str">
        <v>buy/sell</v>
      </c>
      <c r="I303">
        <f t="shared" si="11"/>
        <v>264</v>
      </c>
      <c r="J303" t="str">
        <v>Handle does not point to underlying &lt;TimeSeriesFromFile&gt; type.</v>
      </c>
      <c r="K303" t="str">
        <v>Handle does not point to underlying &lt;TimeSeriesFromFile&gt; type.</v>
      </c>
      <c r="L303" t="str">
        <v>Handle does not point to underlying &lt;TimeSeriesFromFile&gt; type.</v>
      </c>
      <c r="M303" t="str">
        <v>Handle does not point to underlying &lt;TimeSeriesFromFile&gt; type.</v>
      </c>
      <c r="N303" t="str">
        <v>Handle does not point to underlying &lt;TimeSeriesFromFile&gt; type.</v>
      </c>
      <c r="O303" t="e">
        <f t="shared" si="10"/>
        <v>#VALUE!</v>
      </c>
    </row>
    <row r="304" spans="3:15" x14ac:dyDescent="0.2">
      <c r="C304" s="10" t="str">
        <v>Tick</v>
      </c>
      <c r="D304" s="10" t="str">
        <v>buy/sell</v>
      </c>
      <c r="I304">
        <f t="shared" si="11"/>
        <v>265</v>
      </c>
      <c r="J304" t="str">
        <v>Handle does not point to underlying &lt;TimeSeriesFromFile&gt; type.</v>
      </c>
      <c r="K304" t="str">
        <v>Handle does not point to underlying &lt;TimeSeriesFromFile&gt; type.</v>
      </c>
      <c r="L304" t="str">
        <v>Handle does not point to underlying &lt;TimeSeriesFromFile&gt; type.</v>
      </c>
      <c r="M304" t="str">
        <v>Handle does not point to underlying &lt;TimeSeriesFromFile&gt; type.</v>
      </c>
      <c r="N304" t="str">
        <v>Handle does not point to underlying &lt;TimeSeriesFromFile&gt; type.</v>
      </c>
      <c r="O304" t="e">
        <f t="shared" si="10"/>
        <v>#VALUE!</v>
      </c>
    </row>
    <row r="305" spans="3:15" x14ac:dyDescent="0.2">
      <c r="C305" s="10" t="str">
        <v>Tick</v>
      </c>
      <c r="D305" s="10" t="str">
        <v>buy/sell</v>
      </c>
      <c r="I305">
        <f t="shared" si="11"/>
        <v>266</v>
      </c>
      <c r="J305" t="str">
        <v>Handle does not point to underlying &lt;TimeSeriesFromFile&gt; type.</v>
      </c>
      <c r="K305" t="str">
        <v>Handle does not point to underlying &lt;TimeSeriesFromFile&gt; type.</v>
      </c>
      <c r="L305" t="str">
        <v>Handle does not point to underlying &lt;TimeSeriesFromFile&gt; type.</v>
      </c>
      <c r="M305" t="str">
        <v>Handle does not point to underlying &lt;TimeSeriesFromFile&gt; type.</v>
      </c>
      <c r="N305" t="str">
        <v>Handle does not point to underlying &lt;TimeSeriesFromFile&gt; type.</v>
      </c>
      <c r="O305" t="e">
        <f t="shared" si="10"/>
        <v>#VALUE!</v>
      </c>
    </row>
    <row r="306" spans="3:15" x14ac:dyDescent="0.2">
      <c r="C306" s="10" t="str">
        <v>Tick</v>
      </c>
      <c r="D306" s="10" t="str">
        <v>buy/sell</v>
      </c>
      <c r="I306">
        <f t="shared" si="11"/>
        <v>267</v>
      </c>
      <c r="J306" t="str">
        <v>Handle does not point to underlying &lt;TimeSeriesFromFile&gt; type.</v>
      </c>
      <c r="K306" t="str">
        <v>Handle does not point to underlying &lt;TimeSeriesFromFile&gt; type.</v>
      </c>
      <c r="L306" t="str">
        <v>Handle does not point to underlying &lt;TimeSeriesFromFile&gt; type.</v>
      </c>
      <c r="M306" t="str">
        <v>Handle does not point to underlying &lt;TimeSeriesFromFile&gt; type.</v>
      </c>
      <c r="N306" t="str">
        <v>Handle does not point to underlying &lt;TimeSeriesFromFile&gt; type.</v>
      </c>
      <c r="O306" t="e">
        <f t="shared" si="10"/>
        <v>#VALUE!</v>
      </c>
    </row>
    <row r="307" spans="3:15" x14ac:dyDescent="0.2">
      <c r="C307" s="10" t="str">
        <v>Tick</v>
      </c>
      <c r="D307" s="10" t="str">
        <v>buy/sell</v>
      </c>
      <c r="I307">
        <f t="shared" si="11"/>
        <v>268</v>
      </c>
      <c r="J307" t="str">
        <v>Handle does not point to underlying &lt;TimeSeriesFromFile&gt; type.</v>
      </c>
      <c r="K307" t="str">
        <v>Handle does not point to underlying &lt;TimeSeriesFromFile&gt; type.</v>
      </c>
      <c r="L307" t="str">
        <v>Handle does not point to underlying &lt;TimeSeriesFromFile&gt; type.</v>
      </c>
      <c r="M307" t="str">
        <v>Handle does not point to underlying &lt;TimeSeriesFromFile&gt; type.</v>
      </c>
      <c r="N307" t="str">
        <v>Handle does not point to underlying &lt;TimeSeriesFromFile&gt; type.</v>
      </c>
      <c r="O307" t="e">
        <f t="shared" si="10"/>
        <v>#VALUE!</v>
      </c>
    </row>
    <row r="308" spans="3:15" x14ac:dyDescent="0.2">
      <c r="I308">
        <f t="shared" si="11"/>
        <v>269</v>
      </c>
      <c r="J308" t="str">
        <v>Handle does not point to underlying &lt;TimeSeriesFromFile&gt; type.</v>
      </c>
      <c r="K308" t="str">
        <v>Handle does not point to underlying &lt;TimeSeriesFromFile&gt; type.</v>
      </c>
      <c r="L308" t="str">
        <v>Handle does not point to underlying &lt;TimeSeriesFromFile&gt; type.</v>
      </c>
      <c r="M308" t="str">
        <v>Handle does not point to underlying &lt;TimeSeriesFromFile&gt; type.</v>
      </c>
      <c r="N308" t="str">
        <v>Handle does not point to underlying &lt;TimeSeriesFromFile&gt; type.</v>
      </c>
      <c r="O308" t="e">
        <f t="shared" si="10"/>
        <v>#VALUE!</v>
      </c>
    </row>
    <row r="309" spans="3:15" x14ac:dyDescent="0.2">
      <c r="I309">
        <f t="shared" si="11"/>
        <v>270</v>
      </c>
      <c r="J309" t="str">
        <v>Handle does not point to underlying &lt;TimeSeriesFromFile&gt; type.</v>
      </c>
      <c r="K309" t="str">
        <v>Handle does not point to underlying &lt;TimeSeriesFromFile&gt; type.</v>
      </c>
      <c r="L309" t="str">
        <v>Handle does not point to underlying &lt;TimeSeriesFromFile&gt; type.</v>
      </c>
      <c r="M309" t="str">
        <v>Handle does not point to underlying &lt;TimeSeriesFromFile&gt; type.</v>
      </c>
      <c r="N309" t="str">
        <v>Handle does not point to underlying &lt;TimeSeriesFromFile&gt; type.</v>
      </c>
      <c r="O309" t="e">
        <f t="shared" si="10"/>
        <v>#VALUE!</v>
      </c>
    </row>
    <row r="310" spans="3:15" x14ac:dyDescent="0.2">
      <c r="I310">
        <f t="shared" si="11"/>
        <v>271</v>
      </c>
      <c r="J310" t="str">
        <v>Handle does not point to underlying &lt;TimeSeriesFromFile&gt; type.</v>
      </c>
      <c r="K310" t="str">
        <v>Handle does not point to underlying &lt;TimeSeriesFromFile&gt; type.</v>
      </c>
      <c r="L310" t="str">
        <v>Handle does not point to underlying &lt;TimeSeriesFromFile&gt; type.</v>
      </c>
      <c r="M310" t="str">
        <v>Handle does not point to underlying &lt;TimeSeriesFromFile&gt; type.</v>
      </c>
      <c r="N310" t="str">
        <v>Handle does not point to underlying &lt;TimeSeriesFromFile&gt; type.</v>
      </c>
      <c r="O310" t="e">
        <f t="shared" si="10"/>
        <v>#VALUE!</v>
      </c>
    </row>
    <row r="311" spans="3:15" x14ac:dyDescent="0.2">
      <c r="I311">
        <f t="shared" si="11"/>
        <v>272</v>
      </c>
      <c r="J311" t="str">
        <v>Handle does not point to underlying &lt;TimeSeriesFromFile&gt; type.</v>
      </c>
      <c r="K311" t="str">
        <v>Handle does not point to underlying &lt;TimeSeriesFromFile&gt; type.</v>
      </c>
      <c r="L311" t="str">
        <v>Handle does not point to underlying &lt;TimeSeriesFromFile&gt; type.</v>
      </c>
      <c r="M311" t="str">
        <v>Handle does not point to underlying &lt;TimeSeriesFromFile&gt; type.</v>
      </c>
      <c r="N311" t="str">
        <v>Handle does not point to underlying &lt;TimeSeriesFromFile&gt; type.</v>
      </c>
      <c r="O311" t="e">
        <f t="shared" si="10"/>
        <v>#VALUE!</v>
      </c>
    </row>
    <row r="312" spans="3:15" x14ac:dyDescent="0.2">
      <c r="I312">
        <f t="shared" si="11"/>
        <v>273</v>
      </c>
      <c r="J312" t="str">
        <v>Handle does not point to underlying &lt;TimeSeriesFromFile&gt; type.</v>
      </c>
      <c r="K312" t="str">
        <v>Handle does not point to underlying &lt;TimeSeriesFromFile&gt; type.</v>
      </c>
      <c r="L312" t="str">
        <v>Handle does not point to underlying &lt;TimeSeriesFromFile&gt; type.</v>
      </c>
      <c r="M312" t="str">
        <v>Handle does not point to underlying &lt;TimeSeriesFromFile&gt; type.</v>
      </c>
      <c r="N312" t="str">
        <v>Handle does not point to underlying &lt;TimeSeriesFromFile&gt; type.</v>
      </c>
      <c r="O312" t="e">
        <f t="shared" si="10"/>
        <v>#VALUE!</v>
      </c>
    </row>
    <row r="313" spans="3:15" x14ac:dyDescent="0.2">
      <c r="I313">
        <f t="shared" si="11"/>
        <v>274</v>
      </c>
      <c r="J313" t="str">
        <v>Handle does not point to underlying &lt;TimeSeriesFromFile&gt; type.</v>
      </c>
      <c r="K313" t="str">
        <v>Handle does not point to underlying &lt;TimeSeriesFromFile&gt; type.</v>
      </c>
      <c r="L313" t="str">
        <v>Handle does not point to underlying &lt;TimeSeriesFromFile&gt; type.</v>
      </c>
      <c r="M313" t="str">
        <v>Handle does not point to underlying &lt;TimeSeriesFromFile&gt; type.</v>
      </c>
      <c r="N313" t="str">
        <v>Handle does not point to underlying &lt;TimeSeriesFromFile&gt; type.</v>
      </c>
      <c r="O313" t="e">
        <f t="shared" si="10"/>
        <v>#VALUE!</v>
      </c>
    </row>
    <row r="314" spans="3:15" x14ac:dyDescent="0.2">
      <c r="I314">
        <f t="shared" si="11"/>
        <v>275</v>
      </c>
      <c r="J314" t="str">
        <v>Handle does not point to underlying &lt;TimeSeriesFromFile&gt; type.</v>
      </c>
      <c r="K314" t="str">
        <v>Handle does not point to underlying &lt;TimeSeriesFromFile&gt; type.</v>
      </c>
      <c r="L314" t="str">
        <v>Handle does not point to underlying &lt;TimeSeriesFromFile&gt; type.</v>
      </c>
      <c r="M314" t="str">
        <v>Handle does not point to underlying &lt;TimeSeriesFromFile&gt; type.</v>
      </c>
      <c r="N314" t="str">
        <v>Handle does not point to underlying &lt;TimeSeriesFromFile&gt; type.</v>
      </c>
      <c r="O314" t="e">
        <f t="shared" si="10"/>
        <v>#VALUE!</v>
      </c>
    </row>
    <row r="315" spans="3:15" x14ac:dyDescent="0.2">
      <c r="I315">
        <f t="shared" si="11"/>
        <v>276</v>
      </c>
      <c r="J315" t="str">
        <v>Handle does not point to underlying &lt;TimeSeriesFromFile&gt; type.</v>
      </c>
      <c r="K315" t="str">
        <v>Handle does not point to underlying &lt;TimeSeriesFromFile&gt; type.</v>
      </c>
      <c r="L315" t="str">
        <v>Handle does not point to underlying &lt;TimeSeriesFromFile&gt; type.</v>
      </c>
      <c r="M315" t="str">
        <v>Handle does not point to underlying &lt;TimeSeriesFromFile&gt; type.</v>
      </c>
      <c r="N315" t="str">
        <v>Handle does not point to underlying &lt;TimeSeriesFromFile&gt; type.</v>
      </c>
      <c r="O315" t="e">
        <f t="shared" si="10"/>
        <v>#VALUE!</v>
      </c>
    </row>
    <row r="316" spans="3:15" x14ac:dyDescent="0.2">
      <c r="I316">
        <f t="shared" si="11"/>
        <v>277</v>
      </c>
      <c r="J316" t="str">
        <v>Handle does not point to underlying &lt;TimeSeriesFromFile&gt; type.</v>
      </c>
      <c r="K316" t="str">
        <v>Handle does not point to underlying &lt;TimeSeriesFromFile&gt; type.</v>
      </c>
      <c r="L316" t="str">
        <v>Handle does not point to underlying &lt;TimeSeriesFromFile&gt; type.</v>
      </c>
      <c r="M316" t="str">
        <v>Handle does not point to underlying &lt;TimeSeriesFromFile&gt; type.</v>
      </c>
      <c r="N316" t="str">
        <v>Handle does not point to underlying &lt;TimeSeriesFromFile&gt; type.</v>
      </c>
      <c r="O316" t="e">
        <f t="shared" si="10"/>
        <v>#VALUE!</v>
      </c>
    </row>
    <row r="317" spans="3:15" x14ac:dyDescent="0.2">
      <c r="I317">
        <f t="shared" si="11"/>
        <v>278</v>
      </c>
      <c r="J317" t="str">
        <v>Handle does not point to underlying &lt;TimeSeriesFromFile&gt; type.</v>
      </c>
      <c r="K317" t="str">
        <v>Handle does not point to underlying &lt;TimeSeriesFromFile&gt; type.</v>
      </c>
      <c r="L317" t="str">
        <v>Handle does not point to underlying &lt;TimeSeriesFromFile&gt; type.</v>
      </c>
      <c r="M317" t="str">
        <v>Handle does not point to underlying &lt;TimeSeriesFromFile&gt; type.</v>
      </c>
      <c r="N317" t="str">
        <v>Handle does not point to underlying &lt;TimeSeriesFromFile&gt; type.</v>
      </c>
      <c r="O317" t="e">
        <f t="shared" si="10"/>
        <v>#VALUE!</v>
      </c>
    </row>
    <row r="318" spans="3:15" x14ac:dyDescent="0.2">
      <c r="I318">
        <f t="shared" si="11"/>
        <v>279</v>
      </c>
      <c r="J318" t="str">
        <v>Handle does not point to underlying &lt;TimeSeriesFromFile&gt; type.</v>
      </c>
      <c r="K318" t="str">
        <v>Handle does not point to underlying &lt;TimeSeriesFromFile&gt; type.</v>
      </c>
      <c r="L318" t="str">
        <v>Handle does not point to underlying &lt;TimeSeriesFromFile&gt; type.</v>
      </c>
      <c r="M318" t="str">
        <v>Handle does not point to underlying &lt;TimeSeriesFromFile&gt; type.</v>
      </c>
      <c r="N318" t="str">
        <v>Handle does not point to underlying &lt;TimeSeriesFromFile&gt; type.</v>
      </c>
      <c r="O318" t="e">
        <f t="shared" si="10"/>
        <v>#VALUE!</v>
      </c>
    </row>
    <row r="319" spans="3:15" x14ac:dyDescent="0.2">
      <c r="I319">
        <f t="shared" si="11"/>
        <v>280</v>
      </c>
      <c r="J319" t="str">
        <v>Handle does not point to underlying &lt;TimeSeriesFromFile&gt; type.</v>
      </c>
      <c r="K319" t="str">
        <v>Handle does not point to underlying &lt;TimeSeriesFromFile&gt; type.</v>
      </c>
      <c r="L319" t="str">
        <v>Handle does not point to underlying &lt;TimeSeriesFromFile&gt; type.</v>
      </c>
      <c r="M319" t="str">
        <v>Handle does not point to underlying &lt;TimeSeriesFromFile&gt; type.</v>
      </c>
      <c r="N319" t="str">
        <v>Handle does not point to underlying &lt;TimeSeriesFromFile&gt; type.</v>
      </c>
      <c r="O319" t="e">
        <f t="shared" si="10"/>
        <v>#VALUE!</v>
      </c>
    </row>
    <row r="320" spans="3:15" x14ac:dyDescent="0.2">
      <c r="I320">
        <f t="shared" si="11"/>
        <v>281</v>
      </c>
      <c r="J320" t="str">
        <v>Handle does not point to underlying &lt;TimeSeriesFromFile&gt; type.</v>
      </c>
      <c r="K320" t="str">
        <v>Handle does not point to underlying &lt;TimeSeriesFromFile&gt; type.</v>
      </c>
      <c r="L320" t="str">
        <v>Handle does not point to underlying &lt;TimeSeriesFromFile&gt; type.</v>
      </c>
      <c r="M320" t="str">
        <v>Handle does not point to underlying &lt;TimeSeriesFromFile&gt; type.</v>
      </c>
      <c r="N320" t="str">
        <v>Handle does not point to underlying &lt;TimeSeriesFromFile&gt; type.</v>
      </c>
      <c r="O320" t="e">
        <f t="shared" si="10"/>
        <v>#VALUE!</v>
      </c>
    </row>
    <row r="321" spans="9:15" x14ac:dyDescent="0.2">
      <c r="I321">
        <f t="shared" si="11"/>
        <v>282</v>
      </c>
      <c r="J321" t="str">
        <v>Handle does not point to underlying &lt;TimeSeriesFromFile&gt; type.</v>
      </c>
      <c r="K321" t="str">
        <v>Handle does not point to underlying &lt;TimeSeriesFromFile&gt; type.</v>
      </c>
      <c r="L321" t="str">
        <v>Handle does not point to underlying &lt;TimeSeriesFromFile&gt; type.</v>
      </c>
      <c r="M321" t="str">
        <v>Handle does not point to underlying &lt;TimeSeriesFromFile&gt; type.</v>
      </c>
      <c r="N321" t="str">
        <v>Handle does not point to underlying &lt;TimeSeriesFromFile&gt; type.</v>
      </c>
      <c r="O321" t="e">
        <f t="shared" si="10"/>
        <v>#VALUE!</v>
      </c>
    </row>
    <row r="322" spans="9:15" x14ac:dyDescent="0.2">
      <c r="I322">
        <f t="shared" si="11"/>
        <v>283</v>
      </c>
      <c r="J322" t="str">
        <v>Handle does not point to underlying &lt;TimeSeriesFromFile&gt; type.</v>
      </c>
      <c r="K322" t="str">
        <v>Handle does not point to underlying &lt;TimeSeriesFromFile&gt; type.</v>
      </c>
      <c r="L322" t="str">
        <v>Handle does not point to underlying &lt;TimeSeriesFromFile&gt; type.</v>
      </c>
      <c r="M322" t="str">
        <v>Handle does not point to underlying &lt;TimeSeriesFromFile&gt; type.</v>
      </c>
      <c r="N322" t="str">
        <v>Handle does not point to underlying &lt;TimeSeriesFromFile&gt; type.</v>
      </c>
      <c r="O322" t="e">
        <f t="shared" si="10"/>
        <v>#VALUE!</v>
      </c>
    </row>
    <row r="323" spans="9:15" x14ac:dyDescent="0.2">
      <c r="I323">
        <f t="shared" si="11"/>
        <v>284</v>
      </c>
      <c r="J323" t="str">
        <v>Handle does not point to underlying &lt;TimeSeriesFromFile&gt; type.</v>
      </c>
      <c r="K323" t="str">
        <v>Handle does not point to underlying &lt;TimeSeriesFromFile&gt; type.</v>
      </c>
      <c r="L323" t="str">
        <v>Handle does not point to underlying &lt;TimeSeriesFromFile&gt; type.</v>
      </c>
      <c r="M323" t="str">
        <v>Handle does not point to underlying &lt;TimeSeriesFromFile&gt; type.</v>
      </c>
      <c r="N323" t="str">
        <v>Handle does not point to underlying &lt;TimeSeriesFromFile&gt; type.</v>
      </c>
      <c r="O323" t="e">
        <f t="shared" si="10"/>
        <v>#VALUE!</v>
      </c>
    </row>
    <row r="324" spans="9:15" x14ac:dyDescent="0.2">
      <c r="I324">
        <f t="shared" si="11"/>
        <v>285</v>
      </c>
      <c r="J324" t="str">
        <v>Handle does not point to underlying &lt;TimeSeriesFromFile&gt; type.</v>
      </c>
      <c r="K324" t="str">
        <v>Handle does not point to underlying &lt;TimeSeriesFromFile&gt; type.</v>
      </c>
      <c r="L324" t="str">
        <v>Handle does not point to underlying &lt;TimeSeriesFromFile&gt; type.</v>
      </c>
      <c r="M324" t="str">
        <v>Handle does not point to underlying &lt;TimeSeriesFromFile&gt; type.</v>
      </c>
      <c r="N324" t="str">
        <v>Handle does not point to underlying &lt;TimeSeriesFromFile&gt; type.</v>
      </c>
      <c r="O324" t="e">
        <f t="shared" si="10"/>
        <v>#VALUE!</v>
      </c>
    </row>
    <row r="325" spans="9:15" x14ac:dyDescent="0.2">
      <c r="I325">
        <f t="shared" si="11"/>
        <v>286</v>
      </c>
      <c r="J325" t="str">
        <v>Handle does not point to underlying &lt;TimeSeriesFromFile&gt; type.</v>
      </c>
      <c r="K325" t="str">
        <v>Handle does not point to underlying &lt;TimeSeriesFromFile&gt; type.</v>
      </c>
      <c r="L325" t="str">
        <v>Handle does not point to underlying &lt;TimeSeriesFromFile&gt; type.</v>
      </c>
      <c r="M325" t="str">
        <v>Handle does not point to underlying &lt;TimeSeriesFromFile&gt; type.</v>
      </c>
      <c r="N325" t="str">
        <v>Handle does not point to underlying &lt;TimeSeriesFromFile&gt; type.</v>
      </c>
      <c r="O325" t="e">
        <f t="shared" si="10"/>
        <v>#VALUE!</v>
      </c>
    </row>
    <row r="326" spans="9:15" x14ac:dyDescent="0.2">
      <c r="I326">
        <f t="shared" si="11"/>
        <v>287</v>
      </c>
      <c r="J326" t="str">
        <v>Handle does not point to underlying &lt;TimeSeriesFromFile&gt; type.</v>
      </c>
      <c r="K326" t="str">
        <v>Handle does not point to underlying &lt;TimeSeriesFromFile&gt; type.</v>
      </c>
      <c r="L326" t="str">
        <v>Handle does not point to underlying &lt;TimeSeriesFromFile&gt; type.</v>
      </c>
      <c r="M326" t="str">
        <v>Handle does not point to underlying &lt;TimeSeriesFromFile&gt; type.</v>
      </c>
      <c r="N326" t="str">
        <v>Handle does not point to underlying &lt;TimeSeriesFromFile&gt; type.</v>
      </c>
      <c r="O326" t="e">
        <f t="shared" si="10"/>
        <v>#VALUE!</v>
      </c>
    </row>
    <row r="327" spans="9:15" x14ac:dyDescent="0.2">
      <c r="I327">
        <f t="shared" si="11"/>
        <v>288</v>
      </c>
      <c r="J327" t="str">
        <v>Handle does not point to underlying &lt;TimeSeriesFromFile&gt; type.</v>
      </c>
      <c r="K327" t="str">
        <v>Handle does not point to underlying &lt;TimeSeriesFromFile&gt; type.</v>
      </c>
      <c r="L327" t="str">
        <v>Handle does not point to underlying &lt;TimeSeriesFromFile&gt; type.</v>
      </c>
      <c r="M327" t="str">
        <v>Handle does not point to underlying &lt;TimeSeriesFromFile&gt; type.</v>
      </c>
      <c r="N327" t="str">
        <v>Handle does not point to underlying &lt;TimeSeriesFromFile&gt; type.</v>
      </c>
      <c r="O327" t="e">
        <f t="shared" si="10"/>
        <v>#VALUE!</v>
      </c>
    </row>
    <row r="328" spans="9:15" x14ac:dyDescent="0.2">
      <c r="I328">
        <f t="shared" si="11"/>
        <v>289</v>
      </c>
      <c r="J328" t="str">
        <v>Handle does not point to underlying &lt;TimeSeriesFromFile&gt; type.</v>
      </c>
      <c r="K328" t="str">
        <v>Handle does not point to underlying &lt;TimeSeriesFromFile&gt; type.</v>
      </c>
      <c r="L328" t="str">
        <v>Handle does not point to underlying &lt;TimeSeriesFromFile&gt; type.</v>
      </c>
      <c r="M328" t="str">
        <v>Handle does not point to underlying &lt;TimeSeriesFromFile&gt; type.</v>
      </c>
      <c r="N328" t="str">
        <v>Handle does not point to underlying &lt;TimeSeriesFromFile&gt; type.</v>
      </c>
      <c r="O328" t="e">
        <f t="shared" si="10"/>
        <v>#VALUE!</v>
      </c>
    </row>
    <row r="329" spans="9:15" x14ac:dyDescent="0.2">
      <c r="I329">
        <f t="shared" si="11"/>
        <v>290</v>
      </c>
      <c r="J329" t="str">
        <v>Handle does not point to underlying &lt;TimeSeriesFromFile&gt; type.</v>
      </c>
      <c r="K329" t="str">
        <v>Handle does not point to underlying &lt;TimeSeriesFromFile&gt; type.</v>
      </c>
      <c r="L329" t="str">
        <v>Handle does not point to underlying &lt;TimeSeriesFromFile&gt; type.</v>
      </c>
      <c r="M329" t="str">
        <v>Handle does not point to underlying &lt;TimeSeriesFromFile&gt; type.</v>
      </c>
      <c r="N329" t="str">
        <v>Handle does not point to underlying &lt;TimeSeriesFromFile&gt; type.</v>
      </c>
      <c r="O329" t="e">
        <f t="shared" si="10"/>
        <v>#VALUE!</v>
      </c>
    </row>
    <row r="330" spans="9:15" x14ac:dyDescent="0.2">
      <c r="I330">
        <f t="shared" si="11"/>
        <v>291</v>
      </c>
      <c r="J330" t="str">
        <v>Handle does not point to underlying &lt;TimeSeriesFromFile&gt; type.</v>
      </c>
      <c r="K330" t="str">
        <v>Handle does not point to underlying &lt;TimeSeriesFromFile&gt; type.</v>
      </c>
      <c r="L330" t="str">
        <v>Handle does not point to underlying &lt;TimeSeriesFromFile&gt; type.</v>
      </c>
      <c r="M330" t="str">
        <v>Handle does not point to underlying &lt;TimeSeriesFromFile&gt; type.</v>
      </c>
      <c r="N330" t="str">
        <v>Handle does not point to underlying &lt;TimeSeriesFromFile&gt; type.</v>
      </c>
      <c r="O330" t="e">
        <f t="shared" si="10"/>
        <v>#VALUE!</v>
      </c>
    </row>
    <row r="331" spans="9:15" x14ac:dyDescent="0.2">
      <c r="I331">
        <f t="shared" si="11"/>
        <v>292</v>
      </c>
      <c r="J331" t="str">
        <v>Handle does not point to underlying &lt;TimeSeriesFromFile&gt; type.</v>
      </c>
      <c r="K331" t="str">
        <v>Handle does not point to underlying &lt;TimeSeriesFromFile&gt; type.</v>
      </c>
      <c r="L331" t="str">
        <v>Handle does not point to underlying &lt;TimeSeriesFromFile&gt; type.</v>
      </c>
      <c r="M331" t="str">
        <v>Handle does not point to underlying &lt;TimeSeriesFromFile&gt; type.</v>
      </c>
      <c r="N331" t="str">
        <v>Handle does not point to underlying &lt;TimeSeriesFromFile&gt; type.</v>
      </c>
      <c r="O331" t="e">
        <f t="shared" si="10"/>
        <v>#VALUE!</v>
      </c>
    </row>
    <row r="332" spans="9:15" x14ac:dyDescent="0.2">
      <c r="I332">
        <f t="shared" si="11"/>
        <v>293</v>
      </c>
      <c r="J332" t="str">
        <v>Handle does not point to underlying &lt;TimeSeriesFromFile&gt; type.</v>
      </c>
      <c r="K332" t="str">
        <v>Handle does not point to underlying &lt;TimeSeriesFromFile&gt; type.</v>
      </c>
      <c r="L332" t="str">
        <v>Handle does not point to underlying &lt;TimeSeriesFromFile&gt; type.</v>
      </c>
      <c r="M332" t="str">
        <v>Handle does not point to underlying &lt;TimeSeriesFromFile&gt; type.</v>
      </c>
      <c r="N332" t="str">
        <v>Handle does not point to underlying &lt;TimeSeriesFromFile&gt; type.</v>
      </c>
      <c r="O332" t="e">
        <f t="shared" si="10"/>
        <v>#VALUE!</v>
      </c>
    </row>
    <row r="333" spans="9:15" x14ac:dyDescent="0.2">
      <c r="I333">
        <f t="shared" si="11"/>
        <v>294</v>
      </c>
      <c r="J333" t="str">
        <v>Handle does not point to underlying &lt;TimeSeriesFromFile&gt; type.</v>
      </c>
      <c r="K333" t="str">
        <v>Handle does not point to underlying &lt;TimeSeriesFromFile&gt; type.</v>
      </c>
      <c r="L333" t="str">
        <v>Handle does not point to underlying &lt;TimeSeriesFromFile&gt; type.</v>
      </c>
      <c r="M333" t="str">
        <v>Handle does not point to underlying &lt;TimeSeriesFromFile&gt; type.</v>
      </c>
      <c r="N333" t="str">
        <v>Handle does not point to underlying &lt;TimeSeriesFromFile&gt; type.</v>
      </c>
      <c r="O333" t="e">
        <f t="shared" si="10"/>
        <v>#VALUE!</v>
      </c>
    </row>
    <row r="334" spans="9:15" x14ac:dyDescent="0.2">
      <c r="I334">
        <f t="shared" si="11"/>
        <v>295</v>
      </c>
      <c r="J334" t="str">
        <v>Handle does not point to underlying &lt;TimeSeriesFromFile&gt; type.</v>
      </c>
      <c r="K334" t="str">
        <v>Handle does not point to underlying &lt;TimeSeriesFromFile&gt; type.</v>
      </c>
      <c r="L334" t="str">
        <v>Handle does not point to underlying &lt;TimeSeriesFromFile&gt; type.</v>
      </c>
      <c r="M334" t="str">
        <v>Handle does not point to underlying &lt;TimeSeriesFromFile&gt; type.</v>
      </c>
      <c r="N334" t="str">
        <v>Handle does not point to underlying &lt;TimeSeriesFromFile&gt; type.</v>
      </c>
      <c r="O334" t="e">
        <f t="shared" si="10"/>
        <v>#VALUE!</v>
      </c>
    </row>
    <row r="335" spans="9:15" x14ac:dyDescent="0.2">
      <c r="I335">
        <f t="shared" si="11"/>
        <v>296</v>
      </c>
      <c r="J335" t="str">
        <v>Handle does not point to underlying &lt;TimeSeriesFromFile&gt; type.</v>
      </c>
      <c r="K335" t="str">
        <v>Handle does not point to underlying &lt;TimeSeriesFromFile&gt; type.</v>
      </c>
      <c r="L335" t="str">
        <v>Handle does not point to underlying &lt;TimeSeriesFromFile&gt; type.</v>
      </c>
      <c r="M335" t="str">
        <v>Handle does not point to underlying &lt;TimeSeriesFromFile&gt; type.</v>
      </c>
      <c r="N335" t="str">
        <v>Handle does not point to underlying &lt;TimeSeriesFromFile&gt; type.</v>
      </c>
      <c r="O335" t="e">
        <f t="shared" si="10"/>
        <v>#VALUE!</v>
      </c>
    </row>
    <row r="336" spans="9:15" x14ac:dyDescent="0.2">
      <c r="I336">
        <f t="shared" si="11"/>
        <v>297</v>
      </c>
      <c r="J336" t="str">
        <v>Handle does not point to underlying &lt;TimeSeriesFromFile&gt; type.</v>
      </c>
      <c r="K336" t="str">
        <v>Handle does not point to underlying &lt;TimeSeriesFromFile&gt; type.</v>
      </c>
      <c r="L336" t="str">
        <v>Handle does not point to underlying &lt;TimeSeriesFromFile&gt; type.</v>
      </c>
      <c r="M336" t="str">
        <v>Handle does not point to underlying &lt;TimeSeriesFromFile&gt; type.</v>
      </c>
      <c r="N336" t="str">
        <v>Handle does not point to underlying &lt;TimeSeriesFromFile&gt; type.</v>
      </c>
      <c r="O336" t="e">
        <f t="shared" si="10"/>
        <v>#VALUE!</v>
      </c>
    </row>
    <row r="337" spans="9:15" x14ac:dyDescent="0.2">
      <c r="I337">
        <f t="shared" si="11"/>
        <v>298</v>
      </c>
      <c r="J337" t="str">
        <v>Handle does not point to underlying &lt;TimeSeriesFromFile&gt; type.</v>
      </c>
      <c r="K337" t="str">
        <v>Handle does not point to underlying &lt;TimeSeriesFromFile&gt; type.</v>
      </c>
      <c r="L337" t="str">
        <v>Handle does not point to underlying &lt;TimeSeriesFromFile&gt; type.</v>
      </c>
      <c r="M337" t="str">
        <v>Handle does not point to underlying &lt;TimeSeriesFromFile&gt; type.</v>
      </c>
      <c r="N337" t="str">
        <v>Handle does not point to underlying &lt;TimeSeriesFromFile&gt; type.</v>
      </c>
      <c r="O337" t="e">
        <f t="shared" si="10"/>
        <v>#VALUE!</v>
      </c>
    </row>
    <row r="338" spans="9:15" x14ac:dyDescent="0.2">
      <c r="I338">
        <f t="shared" si="11"/>
        <v>299</v>
      </c>
      <c r="J338" t="str">
        <v>Handle does not point to underlying &lt;TimeSeriesFromFile&gt; type.</v>
      </c>
      <c r="K338" t="str">
        <v>Handle does not point to underlying &lt;TimeSeriesFromFile&gt; type.</v>
      </c>
      <c r="L338" t="str">
        <v>Handle does not point to underlying &lt;TimeSeriesFromFile&gt; type.</v>
      </c>
      <c r="M338" t="str">
        <v>Handle does not point to underlying &lt;TimeSeriesFromFile&gt; type.</v>
      </c>
      <c r="N338" t="str">
        <v>Handle does not point to underlying &lt;TimeSeriesFromFile&gt; type.</v>
      </c>
      <c r="O338" t="e">
        <f t="shared" si="10"/>
        <v>#VALUE!</v>
      </c>
    </row>
    <row r="339" spans="9:15" x14ac:dyDescent="0.2">
      <c r="I339">
        <f t="shared" si="11"/>
        <v>300</v>
      </c>
      <c r="J339" t="str">
        <v>Handle does not point to underlying &lt;TimeSeriesFromFile&gt; type.</v>
      </c>
      <c r="K339" t="str">
        <v>Handle does not point to underlying &lt;TimeSeriesFromFile&gt; type.</v>
      </c>
      <c r="L339" t="str">
        <v>Handle does not point to underlying &lt;TimeSeriesFromFile&gt; type.</v>
      </c>
      <c r="M339" t="str">
        <v>Handle does not point to underlying &lt;TimeSeriesFromFile&gt; type.</v>
      </c>
      <c r="N339" t="str">
        <v>Handle does not point to underlying &lt;TimeSeriesFromFile&gt; type.</v>
      </c>
      <c r="O339" t="e">
        <f t="shared" si="10"/>
        <v>#VALUE!</v>
      </c>
    </row>
    <row r="340" spans="9:15" x14ac:dyDescent="0.2">
      <c r="I340">
        <f t="shared" si="11"/>
        <v>301</v>
      </c>
      <c r="J340" t="str">
        <v>Handle does not point to underlying &lt;TimeSeriesFromFile&gt; type.</v>
      </c>
      <c r="K340" t="str">
        <v>Handle does not point to underlying &lt;TimeSeriesFromFile&gt; type.</v>
      </c>
      <c r="L340" t="str">
        <v>Handle does not point to underlying &lt;TimeSeriesFromFile&gt; type.</v>
      </c>
      <c r="M340" t="str">
        <v>Handle does not point to underlying &lt;TimeSeriesFromFile&gt; type.</v>
      </c>
      <c r="N340" t="str">
        <v>Handle does not point to underlying &lt;TimeSeriesFromFile&gt; type.</v>
      </c>
      <c r="O340" t="e">
        <f t="shared" si="10"/>
        <v>#VALUE!</v>
      </c>
    </row>
    <row r="341" spans="9:15" x14ac:dyDescent="0.2">
      <c r="I341">
        <f t="shared" si="11"/>
        <v>302</v>
      </c>
      <c r="J341" t="str">
        <v>Handle does not point to underlying &lt;TimeSeriesFromFile&gt; type.</v>
      </c>
      <c r="K341" t="str">
        <v>Handle does not point to underlying &lt;TimeSeriesFromFile&gt; type.</v>
      </c>
      <c r="L341" t="str">
        <v>Handle does not point to underlying &lt;TimeSeriesFromFile&gt; type.</v>
      </c>
      <c r="M341" t="str">
        <v>Handle does not point to underlying &lt;TimeSeriesFromFile&gt; type.</v>
      </c>
      <c r="N341" t="str">
        <v>Handle does not point to underlying &lt;TimeSeriesFromFile&gt; type.</v>
      </c>
      <c r="O341" t="e">
        <f t="shared" si="10"/>
        <v>#VALUE!</v>
      </c>
    </row>
    <row r="342" spans="9:15" x14ac:dyDescent="0.2">
      <c r="I342">
        <f t="shared" si="11"/>
        <v>303</v>
      </c>
      <c r="J342" t="str">
        <v>Handle does not point to underlying &lt;TimeSeriesFromFile&gt; type.</v>
      </c>
      <c r="K342" t="str">
        <v>Handle does not point to underlying &lt;TimeSeriesFromFile&gt; type.</v>
      </c>
      <c r="L342" t="str">
        <v>Handle does not point to underlying &lt;TimeSeriesFromFile&gt; type.</v>
      </c>
      <c r="M342" t="str">
        <v>Handle does not point to underlying &lt;TimeSeriesFromFile&gt; type.</v>
      </c>
      <c r="N342" t="str">
        <v>Handle does not point to underlying &lt;TimeSeriesFromFile&gt; type.</v>
      </c>
      <c r="O342" t="e">
        <f t="shared" si="10"/>
        <v>#VALUE!</v>
      </c>
    </row>
    <row r="343" spans="9:15" x14ac:dyDescent="0.2">
      <c r="I343">
        <f t="shared" si="11"/>
        <v>304</v>
      </c>
      <c r="J343" t="str">
        <v>Handle does not point to underlying &lt;TimeSeriesFromFile&gt; type.</v>
      </c>
      <c r="K343" t="str">
        <v>Handle does not point to underlying &lt;TimeSeriesFromFile&gt; type.</v>
      </c>
      <c r="L343" t="str">
        <v>Handle does not point to underlying &lt;TimeSeriesFromFile&gt; type.</v>
      </c>
      <c r="M343" t="str">
        <v>Handle does not point to underlying &lt;TimeSeriesFromFile&gt; type.</v>
      </c>
      <c r="N343" t="str">
        <v>Handle does not point to underlying &lt;TimeSeriesFromFile&gt; type.</v>
      </c>
      <c r="O343" t="e">
        <f t="shared" si="10"/>
        <v>#VALUE!</v>
      </c>
    </row>
    <row r="344" spans="9:15" x14ac:dyDescent="0.2">
      <c r="I344">
        <f t="shared" si="11"/>
        <v>305</v>
      </c>
      <c r="J344" t="str">
        <v>Handle does not point to underlying &lt;TimeSeriesFromFile&gt; type.</v>
      </c>
      <c r="K344" t="str">
        <v>Handle does not point to underlying &lt;TimeSeriesFromFile&gt; type.</v>
      </c>
      <c r="L344" t="str">
        <v>Handle does not point to underlying &lt;TimeSeriesFromFile&gt; type.</v>
      </c>
      <c r="M344" t="str">
        <v>Handle does not point to underlying &lt;TimeSeriesFromFile&gt; type.</v>
      </c>
      <c r="N344" t="str">
        <v>Handle does not point to underlying &lt;TimeSeriesFromFile&gt; type.</v>
      </c>
      <c r="O344" t="e">
        <f t="shared" si="10"/>
        <v>#VALUE!</v>
      </c>
    </row>
    <row r="345" spans="9:15" x14ac:dyDescent="0.2">
      <c r="I345">
        <f t="shared" si="11"/>
        <v>306</v>
      </c>
      <c r="J345" t="str">
        <v>Handle does not point to underlying &lt;TimeSeriesFromFile&gt; type.</v>
      </c>
      <c r="K345" t="str">
        <v>Handle does not point to underlying &lt;TimeSeriesFromFile&gt; type.</v>
      </c>
      <c r="L345" t="str">
        <v>Handle does not point to underlying &lt;TimeSeriesFromFile&gt; type.</v>
      </c>
      <c r="M345" t="str">
        <v>Handle does not point to underlying &lt;TimeSeriesFromFile&gt; type.</v>
      </c>
      <c r="N345" t="str">
        <v>Handle does not point to underlying &lt;TimeSeriesFromFile&gt; type.</v>
      </c>
      <c r="O345" t="e">
        <f t="shared" si="10"/>
        <v>#VALUE!</v>
      </c>
    </row>
    <row r="346" spans="9:15" x14ac:dyDescent="0.2">
      <c r="I346">
        <f t="shared" si="11"/>
        <v>307</v>
      </c>
      <c r="J346" t="str">
        <v>Handle does not point to underlying &lt;TimeSeriesFromFile&gt; type.</v>
      </c>
      <c r="K346" t="str">
        <v>Handle does not point to underlying &lt;TimeSeriesFromFile&gt; type.</v>
      </c>
      <c r="L346" t="str">
        <v>Handle does not point to underlying &lt;TimeSeriesFromFile&gt; type.</v>
      </c>
      <c r="M346" t="str">
        <v>Handle does not point to underlying &lt;TimeSeriesFromFile&gt; type.</v>
      </c>
      <c r="N346" t="str">
        <v>Handle does not point to underlying &lt;TimeSeriesFromFile&gt; type.</v>
      </c>
      <c r="O346" t="e">
        <f t="shared" si="10"/>
        <v>#VALUE!</v>
      </c>
    </row>
    <row r="347" spans="9:15" x14ac:dyDescent="0.2">
      <c r="I347">
        <f t="shared" si="11"/>
        <v>308</v>
      </c>
      <c r="J347" t="str">
        <v>Handle does not point to underlying &lt;TimeSeriesFromFile&gt; type.</v>
      </c>
      <c r="K347" t="str">
        <v>Handle does not point to underlying &lt;TimeSeriesFromFile&gt; type.</v>
      </c>
      <c r="L347" t="str">
        <v>Handle does not point to underlying &lt;TimeSeriesFromFile&gt; type.</v>
      </c>
      <c r="M347" t="str">
        <v>Handle does not point to underlying &lt;TimeSeriesFromFile&gt; type.</v>
      </c>
      <c r="N347" t="str">
        <v>Handle does not point to underlying &lt;TimeSeriesFromFile&gt; type.</v>
      </c>
      <c r="O347" t="e">
        <f t="shared" si="10"/>
        <v>#VALUE!</v>
      </c>
    </row>
    <row r="348" spans="9:15" x14ac:dyDescent="0.2">
      <c r="I348">
        <f t="shared" si="11"/>
        <v>309</v>
      </c>
      <c r="J348" t="str">
        <v>Handle does not point to underlying &lt;TimeSeriesFromFile&gt; type.</v>
      </c>
      <c r="K348" t="str">
        <v>Handle does not point to underlying &lt;TimeSeriesFromFile&gt; type.</v>
      </c>
      <c r="L348" t="str">
        <v>Handle does not point to underlying &lt;TimeSeriesFromFile&gt; type.</v>
      </c>
      <c r="M348" t="str">
        <v>Handle does not point to underlying &lt;TimeSeriesFromFile&gt; type.</v>
      </c>
      <c r="N348" t="str">
        <v>Handle does not point to underlying &lt;TimeSeriesFromFile&gt; type.</v>
      </c>
      <c r="O348" t="e">
        <f t="shared" si="10"/>
        <v>#VALUE!</v>
      </c>
    </row>
    <row r="349" spans="9:15" x14ac:dyDescent="0.2">
      <c r="I349">
        <f t="shared" si="11"/>
        <v>310</v>
      </c>
      <c r="J349" t="str">
        <v>Handle does not point to underlying &lt;TimeSeriesFromFile&gt; type.</v>
      </c>
      <c r="K349" t="str">
        <v>Handle does not point to underlying &lt;TimeSeriesFromFile&gt; type.</v>
      </c>
      <c r="L349" t="str">
        <v>Handle does not point to underlying &lt;TimeSeriesFromFile&gt; type.</v>
      </c>
      <c r="M349" t="str">
        <v>Handle does not point to underlying &lt;TimeSeriesFromFile&gt; type.</v>
      </c>
      <c r="N349" t="str">
        <v>Handle does not point to underlying &lt;TimeSeriesFromFile&gt; type.</v>
      </c>
      <c r="O349" t="e">
        <f t="shared" si="10"/>
        <v>#VALUE!</v>
      </c>
    </row>
    <row r="350" spans="9:15" x14ac:dyDescent="0.2">
      <c r="I350">
        <f t="shared" si="11"/>
        <v>311</v>
      </c>
      <c r="J350" t="str">
        <v>Handle does not point to underlying &lt;TimeSeriesFromFile&gt; type.</v>
      </c>
      <c r="K350" t="str">
        <v>Handle does not point to underlying &lt;TimeSeriesFromFile&gt; type.</v>
      </c>
      <c r="L350" t="str">
        <v>Handle does not point to underlying &lt;TimeSeriesFromFile&gt; type.</v>
      </c>
      <c r="M350" t="str">
        <v>Handle does not point to underlying &lt;TimeSeriesFromFile&gt; type.</v>
      </c>
      <c r="N350" t="str">
        <v>Handle does not point to underlying &lt;TimeSeriesFromFile&gt; type.</v>
      </c>
      <c r="O350" t="e">
        <f t="shared" si="10"/>
        <v>#VALUE!</v>
      </c>
    </row>
    <row r="351" spans="9:15" x14ac:dyDescent="0.2">
      <c r="I351">
        <f t="shared" si="11"/>
        <v>312</v>
      </c>
      <c r="J351" t="str">
        <v>Handle does not point to underlying &lt;TimeSeriesFromFile&gt; type.</v>
      </c>
      <c r="K351" t="str">
        <v>Handle does not point to underlying &lt;TimeSeriesFromFile&gt; type.</v>
      </c>
      <c r="L351" t="str">
        <v>Handle does not point to underlying &lt;TimeSeriesFromFile&gt; type.</v>
      </c>
      <c r="M351" t="str">
        <v>Handle does not point to underlying &lt;TimeSeriesFromFile&gt; type.</v>
      </c>
      <c r="N351" t="str">
        <v>Handle does not point to underlying &lt;TimeSeriesFromFile&gt; type.</v>
      </c>
      <c r="O351" t="e">
        <f t="shared" si="10"/>
        <v>#VALUE!</v>
      </c>
    </row>
    <row r="352" spans="9:15" x14ac:dyDescent="0.2">
      <c r="I352">
        <f t="shared" si="11"/>
        <v>313</v>
      </c>
      <c r="J352" t="str">
        <v>Handle does not point to underlying &lt;TimeSeriesFromFile&gt; type.</v>
      </c>
      <c r="K352" t="str">
        <v>Handle does not point to underlying &lt;TimeSeriesFromFile&gt; type.</v>
      </c>
      <c r="L352" t="str">
        <v>Handle does not point to underlying &lt;TimeSeriesFromFile&gt; type.</v>
      </c>
      <c r="M352" t="str">
        <v>Handle does not point to underlying &lt;TimeSeriesFromFile&gt; type.</v>
      </c>
      <c r="N352" t="str">
        <v>Handle does not point to underlying &lt;TimeSeriesFromFile&gt; type.</v>
      </c>
      <c r="O352" t="e">
        <f t="shared" si="10"/>
        <v>#VALUE!</v>
      </c>
    </row>
    <row r="353" spans="9:15" x14ac:dyDescent="0.2">
      <c r="I353">
        <f t="shared" si="11"/>
        <v>314</v>
      </c>
      <c r="J353" t="str">
        <v>Handle does not point to underlying &lt;TimeSeriesFromFile&gt; type.</v>
      </c>
      <c r="K353" t="str">
        <v>Handle does not point to underlying &lt;TimeSeriesFromFile&gt; type.</v>
      </c>
      <c r="L353" t="str">
        <v>Handle does not point to underlying &lt;TimeSeriesFromFile&gt; type.</v>
      </c>
      <c r="M353" t="str">
        <v>Handle does not point to underlying &lt;TimeSeriesFromFile&gt; type.</v>
      </c>
      <c r="N353" t="str">
        <v>Handle does not point to underlying &lt;TimeSeriesFromFile&gt; type.</v>
      </c>
      <c r="O353" t="e">
        <f t="shared" si="10"/>
        <v>#VALUE!</v>
      </c>
    </row>
    <row r="354" spans="9:15" x14ac:dyDescent="0.2">
      <c r="I354">
        <f t="shared" si="11"/>
        <v>315</v>
      </c>
      <c r="J354" t="str">
        <v>Handle does not point to underlying &lt;TimeSeriesFromFile&gt; type.</v>
      </c>
      <c r="K354" t="str">
        <v>Handle does not point to underlying &lt;TimeSeriesFromFile&gt; type.</v>
      </c>
      <c r="L354" t="str">
        <v>Handle does not point to underlying &lt;TimeSeriesFromFile&gt; type.</v>
      </c>
      <c r="M354" t="str">
        <v>Handle does not point to underlying &lt;TimeSeriesFromFile&gt; type.</v>
      </c>
      <c r="N354" t="str">
        <v>Handle does not point to underlying &lt;TimeSeriesFromFile&gt; type.</v>
      </c>
      <c r="O354" t="e">
        <f t="shared" si="10"/>
        <v>#VALUE!</v>
      </c>
    </row>
    <row r="355" spans="9:15" x14ac:dyDescent="0.2">
      <c r="I355">
        <f t="shared" si="11"/>
        <v>316</v>
      </c>
      <c r="J355" t="str">
        <v>Handle does not point to underlying &lt;TimeSeriesFromFile&gt; type.</v>
      </c>
      <c r="K355" t="str">
        <v>Handle does not point to underlying &lt;TimeSeriesFromFile&gt; type.</v>
      </c>
      <c r="L355" t="str">
        <v>Handle does not point to underlying &lt;TimeSeriesFromFile&gt; type.</v>
      </c>
      <c r="M355" t="str">
        <v>Handle does not point to underlying &lt;TimeSeriesFromFile&gt; type.</v>
      </c>
      <c r="N355" t="str">
        <v>Handle does not point to underlying &lt;TimeSeriesFromFile&gt; type.</v>
      </c>
      <c r="O355" t="e">
        <f t="shared" si="10"/>
        <v>#VALUE!</v>
      </c>
    </row>
    <row r="356" spans="9:15" x14ac:dyDescent="0.2">
      <c r="I356">
        <f t="shared" si="11"/>
        <v>317</v>
      </c>
      <c r="J356" t="str">
        <v>Handle does not point to underlying &lt;TimeSeriesFromFile&gt; type.</v>
      </c>
      <c r="K356" t="str">
        <v>Handle does not point to underlying &lt;TimeSeriesFromFile&gt; type.</v>
      </c>
      <c r="L356" t="str">
        <v>Handle does not point to underlying &lt;TimeSeriesFromFile&gt; type.</v>
      </c>
      <c r="M356" t="str">
        <v>Handle does not point to underlying &lt;TimeSeriesFromFile&gt; type.</v>
      </c>
      <c r="N356" t="str">
        <v>Handle does not point to underlying &lt;TimeSeriesFromFile&gt; type.</v>
      </c>
      <c r="O356" t="e">
        <f t="shared" si="10"/>
        <v>#VALUE!</v>
      </c>
    </row>
    <row r="357" spans="9:15" x14ac:dyDescent="0.2">
      <c r="I357">
        <f t="shared" si="11"/>
        <v>318</v>
      </c>
      <c r="J357" t="str">
        <v>Handle does not point to underlying &lt;TimeSeriesFromFile&gt; type.</v>
      </c>
      <c r="K357" t="str">
        <v>Handle does not point to underlying &lt;TimeSeriesFromFile&gt; type.</v>
      </c>
      <c r="L357" t="str">
        <v>Handle does not point to underlying &lt;TimeSeriesFromFile&gt; type.</v>
      </c>
      <c r="M357" t="str">
        <v>Handle does not point to underlying &lt;TimeSeriesFromFile&gt; type.</v>
      </c>
      <c r="N357" t="str">
        <v>Handle does not point to underlying &lt;TimeSeriesFromFile&gt; type.</v>
      </c>
      <c r="O357" t="e">
        <f t="shared" si="10"/>
        <v>#VALUE!</v>
      </c>
    </row>
    <row r="358" spans="9:15" x14ac:dyDescent="0.2">
      <c r="I358">
        <f t="shared" si="11"/>
        <v>319</v>
      </c>
      <c r="J358" t="str">
        <v>Handle does not point to underlying &lt;TimeSeriesFromFile&gt; type.</v>
      </c>
      <c r="K358" t="str">
        <v>Handle does not point to underlying &lt;TimeSeriesFromFile&gt; type.</v>
      </c>
      <c r="L358" t="str">
        <v>Handle does not point to underlying &lt;TimeSeriesFromFile&gt; type.</v>
      </c>
      <c r="M358" t="str">
        <v>Handle does not point to underlying &lt;TimeSeriesFromFile&gt; type.</v>
      </c>
      <c r="N358" t="str">
        <v>Handle does not point to underlying &lt;TimeSeriesFromFile&gt; type.</v>
      </c>
      <c r="O358" t="e">
        <f t="shared" si="10"/>
        <v>#VALUE!</v>
      </c>
    </row>
    <row r="359" spans="9:15" x14ac:dyDescent="0.2">
      <c r="I359">
        <f t="shared" si="11"/>
        <v>320</v>
      </c>
      <c r="J359" t="str">
        <v>Handle does not point to underlying &lt;TimeSeriesFromFile&gt; type.</v>
      </c>
      <c r="K359" t="str">
        <v>Handle does not point to underlying &lt;TimeSeriesFromFile&gt; type.</v>
      </c>
      <c r="L359" t="str">
        <v>Handle does not point to underlying &lt;TimeSeriesFromFile&gt; type.</v>
      </c>
      <c r="M359" t="str">
        <v>Handle does not point to underlying &lt;TimeSeriesFromFile&gt; type.</v>
      </c>
      <c r="N359" t="str">
        <v>Handle does not point to underlying &lt;TimeSeriesFromFile&gt; type.</v>
      </c>
      <c r="O359" t="e">
        <f t="shared" si="10"/>
        <v>#VALUE!</v>
      </c>
    </row>
    <row r="360" spans="9:15" x14ac:dyDescent="0.2">
      <c r="I360">
        <f t="shared" si="11"/>
        <v>321</v>
      </c>
      <c r="J360" t="str">
        <v>Handle does not point to underlying &lt;TimeSeriesFromFile&gt; type.</v>
      </c>
      <c r="K360" t="str">
        <v>Handle does not point to underlying &lt;TimeSeriesFromFile&gt; type.</v>
      </c>
      <c r="L360" t="str">
        <v>Handle does not point to underlying &lt;TimeSeriesFromFile&gt; type.</v>
      </c>
      <c r="M360" t="str">
        <v>Handle does not point to underlying &lt;TimeSeriesFromFile&gt; type.</v>
      </c>
      <c r="N360" t="str">
        <v>Handle does not point to underlying &lt;TimeSeriesFromFile&gt; type.</v>
      </c>
      <c r="O360" t="e">
        <f t="shared" ref="O360:O423" si="12">M360-N360</f>
        <v>#VALUE!</v>
      </c>
    </row>
    <row r="361" spans="9:15" x14ac:dyDescent="0.2">
      <c r="I361">
        <f t="shared" ref="I361:I424" si="13">I360+1</f>
        <v>322</v>
      </c>
      <c r="J361" t="str">
        <v>Handle does not point to underlying &lt;TimeSeriesFromFile&gt; type.</v>
      </c>
      <c r="K361" t="str">
        <v>Handle does not point to underlying &lt;TimeSeriesFromFile&gt; type.</v>
      </c>
      <c r="L361" t="str">
        <v>Handle does not point to underlying &lt;TimeSeriesFromFile&gt; type.</v>
      </c>
      <c r="M361" t="str">
        <v>Handle does not point to underlying &lt;TimeSeriesFromFile&gt; type.</v>
      </c>
      <c r="N361" t="str">
        <v>Handle does not point to underlying &lt;TimeSeriesFromFile&gt; type.</v>
      </c>
      <c r="O361" t="e">
        <f t="shared" si="12"/>
        <v>#VALUE!</v>
      </c>
    </row>
    <row r="362" spans="9:15" x14ac:dyDescent="0.2">
      <c r="I362">
        <f t="shared" si="13"/>
        <v>323</v>
      </c>
      <c r="J362" t="str">
        <v>Handle does not point to underlying &lt;TimeSeriesFromFile&gt; type.</v>
      </c>
      <c r="K362" t="str">
        <v>Handle does not point to underlying &lt;TimeSeriesFromFile&gt; type.</v>
      </c>
      <c r="L362" t="str">
        <v>Handle does not point to underlying &lt;TimeSeriesFromFile&gt; type.</v>
      </c>
      <c r="M362" t="str">
        <v>Handle does not point to underlying &lt;TimeSeriesFromFile&gt; type.</v>
      </c>
      <c r="N362" t="str">
        <v>Handle does not point to underlying &lt;TimeSeriesFromFile&gt; type.</v>
      </c>
      <c r="O362" t="e">
        <f t="shared" si="12"/>
        <v>#VALUE!</v>
      </c>
    </row>
    <row r="363" spans="9:15" x14ac:dyDescent="0.2">
      <c r="I363">
        <f t="shared" si="13"/>
        <v>324</v>
      </c>
      <c r="J363" t="str">
        <v>Handle does not point to underlying &lt;TimeSeriesFromFile&gt; type.</v>
      </c>
      <c r="K363" t="str">
        <v>Handle does not point to underlying &lt;TimeSeriesFromFile&gt; type.</v>
      </c>
      <c r="L363" t="str">
        <v>Handle does not point to underlying &lt;TimeSeriesFromFile&gt; type.</v>
      </c>
      <c r="M363" t="str">
        <v>Handle does not point to underlying &lt;TimeSeriesFromFile&gt; type.</v>
      </c>
      <c r="N363" t="str">
        <v>Handle does not point to underlying &lt;TimeSeriesFromFile&gt; type.</v>
      </c>
      <c r="O363" t="e">
        <f t="shared" si="12"/>
        <v>#VALUE!</v>
      </c>
    </row>
    <row r="364" spans="9:15" x14ac:dyDescent="0.2">
      <c r="I364">
        <f t="shared" si="13"/>
        <v>325</v>
      </c>
      <c r="J364" t="str">
        <v>Handle does not point to underlying &lt;TimeSeriesFromFile&gt; type.</v>
      </c>
      <c r="K364" t="str">
        <v>Handle does not point to underlying &lt;TimeSeriesFromFile&gt; type.</v>
      </c>
      <c r="L364" t="str">
        <v>Handle does not point to underlying &lt;TimeSeriesFromFile&gt; type.</v>
      </c>
      <c r="M364" t="str">
        <v>Handle does not point to underlying &lt;TimeSeriesFromFile&gt; type.</v>
      </c>
      <c r="N364" t="str">
        <v>Handle does not point to underlying &lt;TimeSeriesFromFile&gt; type.</v>
      </c>
      <c r="O364" t="e">
        <f t="shared" si="12"/>
        <v>#VALUE!</v>
      </c>
    </row>
    <row r="365" spans="9:15" x14ac:dyDescent="0.2">
      <c r="I365">
        <f t="shared" si="13"/>
        <v>326</v>
      </c>
      <c r="J365" t="str">
        <v>Handle does not point to underlying &lt;TimeSeriesFromFile&gt; type.</v>
      </c>
      <c r="K365" t="str">
        <v>Handle does not point to underlying &lt;TimeSeriesFromFile&gt; type.</v>
      </c>
      <c r="L365" t="str">
        <v>Handle does not point to underlying &lt;TimeSeriesFromFile&gt; type.</v>
      </c>
      <c r="M365" t="str">
        <v>Handle does not point to underlying &lt;TimeSeriesFromFile&gt; type.</v>
      </c>
      <c r="N365" t="str">
        <v>Handle does not point to underlying &lt;TimeSeriesFromFile&gt; type.</v>
      </c>
      <c r="O365" t="e">
        <f t="shared" si="12"/>
        <v>#VALUE!</v>
      </c>
    </row>
    <row r="366" spans="9:15" x14ac:dyDescent="0.2">
      <c r="I366">
        <f t="shared" si="13"/>
        <v>327</v>
      </c>
      <c r="J366" t="str">
        <v>Handle does not point to underlying &lt;TimeSeriesFromFile&gt; type.</v>
      </c>
      <c r="K366" t="str">
        <v>Handle does not point to underlying &lt;TimeSeriesFromFile&gt; type.</v>
      </c>
      <c r="L366" t="str">
        <v>Handle does not point to underlying &lt;TimeSeriesFromFile&gt; type.</v>
      </c>
      <c r="M366" t="str">
        <v>Handle does not point to underlying &lt;TimeSeriesFromFile&gt; type.</v>
      </c>
      <c r="N366" t="str">
        <v>Handle does not point to underlying &lt;TimeSeriesFromFile&gt; type.</v>
      </c>
      <c r="O366" t="e">
        <f t="shared" si="12"/>
        <v>#VALUE!</v>
      </c>
    </row>
    <row r="367" spans="9:15" x14ac:dyDescent="0.2">
      <c r="I367">
        <f t="shared" si="13"/>
        <v>328</v>
      </c>
      <c r="J367" t="str">
        <v>Handle does not point to underlying &lt;TimeSeriesFromFile&gt; type.</v>
      </c>
      <c r="K367" t="str">
        <v>Handle does not point to underlying &lt;TimeSeriesFromFile&gt; type.</v>
      </c>
      <c r="L367" t="str">
        <v>Handle does not point to underlying &lt;TimeSeriesFromFile&gt; type.</v>
      </c>
      <c r="M367" t="str">
        <v>Handle does not point to underlying &lt;TimeSeriesFromFile&gt; type.</v>
      </c>
      <c r="N367" t="str">
        <v>Handle does not point to underlying &lt;TimeSeriesFromFile&gt; type.</v>
      </c>
      <c r="O367" t="e">
        <f t="shared" si="12"/>
        <v>#VALUE!</v>
      </c>
    </row>
    <row r="368" spans="9:15" x14ac:dyDescent="0.2">
      <c r="I368">
        <f t="shared" si="13"/>
        <v>329</v>
      </c>
      <c r="J368" t="str">
        <v>Handle does not point to underlying &lt;TimeSeriesFromFile&gt; type.</v>
      </c>
      <c r="K368" t="str">
        <v>Handle does not point to underlying &lt;TimeSeriesFromFile&gt; type.</v>
      </c>
      <c r="L368" t="str">
        <v>Handle does not point to underlying &lt;TimeSeriesFromFile&gt; type.</v>
      </c>
      <c r="M368" t="str">
        <v>Handle does not point to underlying &lt;TimeSeriesFromFile&gt; type.</v>
      </c>
      <c r="N368" t="str">
        <v>Handle does not point to underlying &lt;TimeSeriesFromFile&gt; type.</v>
      </c>
      <c r="O368" t="e">
        <f t="shared" si="12"/>
        <v>#VALUE!</v>
      </c>
    </row>
    <row r="369" spans="9:15" x14ac:dyDescent="0.2">
      <c r="I369">
        <f t="shared" si="13"/>
        <v>330</v>
      </c>
      <c r="J369" t="str">
        <v>Handle does not point to underlying &lt;TimeSeriesFromFile&gt; type.</v>
      </c>
      <c r="K369" t="str">
        <v>Handle does not point to underlying &lt;TimeSeriesFromFile&gt; type.</v>
      </c>
      <c r="L369" t="str">
        <v>Handle does not point to underlying &lt;TimeSeriesFromFile&gt; type.</v>
      </c>
      <c r="M369" t="str">
        <v>Handle does not point to underlying &lt;TimeSeriesFromFile&gt; type.</v>
      </c>
      <c r="N369" t="str">
        <v>Handle does not point to underlying &lt;TimeSeriesFromFile&gt; type.</v>
      </c>
      <c r="O369" t="e">
        <f t="shared" si="12"/>
        <v>#VALUE!</v>
      </c>
    </row>
    <row r="370" spans="9:15" x14ac:dyDescent="0.2">
      <c r="I370">
        <f t="shared" si="13"/>
        <v>331</v>
      </c>
      <c r="J370" t="str">
        <v>Handle does not point to underlying &lt;TimeSeriesFromFile&gt; type.</v>
      </c>
      <c r="K370" t="str">
        <v>Handle does not point to underlying &lt;TimeSeriesFromFile&gt; type.</v>
      </c>
      <c r="L370" t="str">
        <v>Handle does not point to underlying &lt;TimeSeriesFromFile&gt; type.</v>
      </c>
      <c r="M370" t="str">
        <v>Handle does not point to underlying &lt;TimeSeriesFromFile&gt; type.</v>
      </c>
      <c r="N370" t="str">
        <v>Handle does not point to underlying &lt;TimeSeriesFromFile&gt; type.</v>
      </c>
      <c r="O370" t="e">
        <f t="shared" si="12"/>
        <v>#VALUE!</v>
      </c>
    </row>
    <row r="371" spans="9:15" x14ac:dyDescent="0.2">
      <c r="I371">
        <f t="shared" si="13"/>
        <v>332</v>
      </c>
      <c r="J371" t="str">
        <v>Handle does not point to underlying &lt;TimeSeriesFromFile&gt; type.</v>
      </c>
      <c r="K371" t="str">
        <v>Handle does not point to underlying &lt;TimeSeriesFromFile&gt; type.</v>
      </c>
      <c r="L371" t="str">
        <v>Handle does not point to underlying &lt;TimeSeriesFromFile&gt; type.</v>
      </c>
      <c r="M371" t="str">
        <v>Handle does not point to underlying &lt;TimeSeriesFromFile&gt; type.</v>
      </c>
      <c r="N371" t="str">
        <v>Handle does not point to underlying &lt;TimeSeriesFromFile&gt; type.</v>
      </c>
      <c r="O371" t="e">
        <f t="shared" si="12"/>
        <v>#VALUE!</v>
      </c>
    </row>
    <row r="372" spans="9:15" x14ac:dyDescent="0.2">
      <c r="I372">
        <f t="shared" si="13"/>
        <v>333</v>
      </c>
      <c r="J372" t="str">
        <v>Handle does not point to underlying &lt;TimeSeriesFromFile&gt; type.</v>
      </c>
      <c r="K372" t="str">
        <v>Handle does not point to underlying &lt;TimeSeriesFromFile&gt; type.</v>
      </c>
      <c r="L372" t="str">
        <v>Handle does not point to underlying &lt;TimeSeriesFromFile&gt; type.</v>
      </c>
      <c r="M372" t="str">
        <v>Handle does not point to underlying &lt;TimeSeriesFromFile&gt; type.</v>
      </c>
      <c r="N372" t="str">
        <v>Handle does not point to underlying &lt;TimeSeriesFromFile&gt; type.</v>
      </c>
      <c r="O372" t="e">
        <f t="shared" si="12"/>
        <v>#VALUE!</v>
      </c>
    </row>
    <row r="373" spans="9:15" x14ac:dyDescent="0.2">
      <c r="I373">
        <f t="shared" si="13"/>
        <v>334</v>
      </c>
      <c r="J373" t="str">
        <v>Handle does not point to underlying &lt;TimeSeriesFromFile&gt; type.</v>
      </c>
      <c r="K373" t="str">
        <v>Handle does not point to underlying &lt;TimeSeriesFromFile&gt; type.</v>
      </c>
      <c r="L373" t="str">
        <v>Handle does not point to underlying &lt;TimeSeriesFromFile&gt; type.</v>
      </c>
      <c r="M373" t="str">
        <v>Handle does not point to underlying &lt;TimeSeriesFromFile&gt; type.</v>
      </c>
      <c r="N373" t="str">
        <v>Handle does not point to underlying &lt;TimeSeriesFromFile&gt; type.</v>
      </c>
      <c r="O373" t="e">
        <f t="shared" si="12"/>
        <v>#VALUE!</v>
      </c>
    </row>
    <row r="374" spans="9:15" x14ac:dyDescent="0.2">
      <c r="I374">
        <f t="shared" si="13"/>
        <v>335</v>
      </c>
      <c r="J374" t="str">
        <v>Handle does not point to underlying &lt;TimeSeriesFromFile&gt; type.</v>
      </c>
      <c r="K374" t="str">
        <v>Handle does not point to underlying &lt;TimeSeriesFromFile&gt; type.</v>
      </c>
      <c r="L374" t="str">
        <v>Handle does not point to underlying &lt;TimeSeriesFromFile&gt; type.</v>
      </c>
      <c r="M374" t="str">
        <v>Handle does not point to underlying &lt;TimeSeriesFromFile&gt; type.</v>
      </c>
      <c r="N374" t="str">
        <v>Handle does not point to underlying &lt;TimeSeriesFromFile&gt; type.</v>
      </c>
      <c r="O374" t="e">
        <f t="shared" si="12"/>
        <v>#VALUE!</v>
      </c>
    </row>
    <row r="375" spans="9:15" x14ac:dyDescent="0.2">
      <c r="I375">
        <f t="shared" si="13"/>
        <v>336</v>
      </c>
      <c r="J375" t="str">
        <v>Handle does not point to underlying &lt;TimeSeriesFromFile&gt; type.</v>
      </c>
      <c r="K375" t="str">
        <v>Handle does not point to underlying &lt;TimeSeriesFromFile&gt; type.</v>
      </c>
      <c r="L375" t="str">
        <v>Handle does not point to underlying &lt;TimeSeriesFromFile&gt; type.</v>
      </c>
      <c r="M375" t="str">
        <v>Handle does not point to underlying &lt;TimeSeriesFromFile&gt; type.</v>
      </c>
      <c r="N375" t="str">
        <v>Handle does not point to underlying &lt;TimeSeriesFromFile&gt; type.</v>
      </c>
      <c r="O375" t="e">
        <f t="shared" si="12"/>
        <v>#VALUE!</v>
      </c>
    </row>
    <row r="376" spans="9:15" x14ac:dyDescent="0.2">
      <c r="I376">
        <f t="shared" si="13"/>
        <v>337</v>
      </c>
      <c r="J376" t="str">
        <v>Handle does not point to underlying &lt;TimeSeriesFromFile&gt; type.</v>
      </c>
      <c r="K376" t="str">
        <v>Handle does not point to underlying &lt;TimeSeriesFromFile&gt; type.</v>
      </c>
      <c r="L376" t="str">
        <v>Handle does not point to underlying &lt;TimeSeriesFromFile&gt; type.</v>
      </c>
      <c r="M376" t="str">
        <v>Handle does not point to underlying &lt;TimeSeriesFromFile&gt; type.</v>
      </c>
      <c r="N376" t="str">
        <v>Handle does not point to underlying &lt;TimeSeriesFromFile&gt; type.</v>
      </c>
      <c r="O376" t="e">
        <f t="shared" si="12"/>
        <v>#VALUE!</v>
      </c>
    </row>
    <row r="377" spans="9:15" x14ac:dyDescent="0.2">
      <c r="I377">
        <f t="shared" si="13"/>
        <v>338</v>
      </c>
      <c r="J377" t="str">
        <v>Handle does not point to underlying &lt;TimeSeriesFromFile&gt; type.</v>
      </c>
      <c r="K377" t="str">
        <v>Handle does not point to underlying &lt;TimeSeriesFromFile&gt; type.</v>
      </c>
      <c r="L377" t="str">
        <v>Handle does not point to underlying &lt;TimeSeriesFromFile&gt; type.</v>
      </c>
      <c r="M377" t="str">
        <v>Handle does not point to underlying &lt;TimeSeriesFromFile&gt; type.</v>
      </c>
      <c r="N377" t="str">
        <v>Handle does not point to underlying &lt;TimeSeriesFromFile&gt; type.</v>
      </c>
      <c r="O377" t="e">
        <f t="shared" si="12"/>
        <v>#VALUE!</v>
      </c>
    </row>
    <row r="378" spans="9:15" x14ac:dyDescent="0.2">
      <c r="I378">
        <f t="shared" si="13"/>
        <v>339</v>
      </c>
      <c r="J378" t="str">
        <v>Handle does not point to underlying &lt;TimeSeriesFromFile&gt; type.</v>
      </c>
      <c r="K378" t="str">
        <v>Handle does not point to underlying &lt;TimeSeriesFromFile&gt; type.</v>
      </c>
      <c r="L378" t="str">
        <v>Handle does not point to underlying &lt;TimeSeriesFromFile&gt; type.</v>
      </c>
      <c r="M378" t="str">
        <v>Handle does not point to underlying &lt;TimeSeriesFromFile&gt; type.</v>
      </c>
      <c r="N378" t="str">
        <v>Handle does not point to underlying &lt;TimeSeriesFromFile&gt; type.</v>
      </c>
      <c r="O378" t="e">
        <f t="shared" si="12"/>
        <v>#VALUE!</v>
      </c>
    </row>
    <row r="379" spans="9:15" x14ac:dyDescent="0.2">
      <c r="I379">
        <f t="shared" si="13"/>
        <v>340</v>
      </c>
      <c r="J379" t="str">
        <v>Handle does not point to underlying &lt;TimeSeriesFromFile&gt; type.</v>
      </c>
      <c r="K379" t="str">
        <v>Handle does not point to underlying &lt;TimeSeriesFromFile&gt; type.</v>
      </c>
      <c r="L379" t="str">
        <v>Handle does not point to underlying &lt;TimeSeriesFromFile&gt; type.</v>
      </c>
      <c r="M379" t="str">
        <v>Handle does not point to underlying &lt;TimeSeriesFromFile&gt; type.</v>
      </c>
      <c r="N379" t="str">
        <v>Handle does not point to underlying &lt;TimeSeriesFromFile&gt; type.</v>
      </c>
      <c r="O379" t="e">
        <f t="shared" si="12"/>
        <v>#VALUE!</v>
      </c>
    </row>
    <row r="380" spans="9:15" x14ac:dyDescent="0.2">
      <c r="I380">
        <f t="shared" si="13"/>
        <v>341</v>
      </c>
      <c r="J380" t="str">
        <v>Handle does not point to underlying &lt;TimeSeriesFromFile&gt; type.</v>
      </c>
      <c r="K380" t="str">
        <v>Handle does not point to underlying &lt;TimeSeriesFromFile&gt; type.</v>
      </c>
      <c r="L380" t="str">
        <v>Handle does not point to underlying &lt;TimeSeriesFromFile&gt; type.</v>
      </c>
      <c r="M380" t="str">
        <v>Handle does not point to underlying &lt;TimeSeriesFromFile&gt; type.</v>
      </c>
      <c r="N380" t="str">
        <v>Handle does not point to underlying &lt;TimeSeriesFromFile&gt; type.</v>
      </c>
      <c r="O380" t="e">
        <f t="shared" si="12"/>
        <v>#VALUE!</v>
      </c>
    </row>
    <row r="381" spans="9:15" x14ac:dyDescent="0.2">
      <c r="I381">
        <f t="shared" si="13"/>
        <v>342</v>
      </c>
      <c r="J381" t="str">
        <v>Handle does not point to underlying &lt;TimeSeriesFromFile&gt; type.</v>
      </c>
      <c r="K381" t="str">
        <v>Handle does not point to underlying &lt;TimeSeriesFromFile&gt; type.</v>
      </c>
      <c r="L381" t="str">
        <v>Handle does not point to underlying &lt;TimeSeriesFromFile&gt; type.</v>
      </c>
      <c r="M381" t="str">
        <v>Handle does not point to underlying &lt;TimeSeriesFromFile&gt; type.</v>
      </c>
      <c r="N381" t="str">
        <v>Handle does not point to underlying &lt;TimeSeriesFromFile&gt; type.</v>
      </c>
      <c r="O381" t="e">
        <f t="shared" si="12"/>
        <v>#VALUE!</v>
      </c>
    </row>
    <row r="382" spans="9:15" x14ac:dyDescent="0.2">
      <c r="I382">
        <f t="shared" si="13"/>
        <v>343</v>
      </c>
      <c r="J382" t="str">
        <v>Handle does not point to underlying &lt;TimeSeriesFromFile&gt; type.</v>
      </c>
      <c r="K382" t="str">
        <v>Handle does not point to underlying &lt;TimeSeriesFromFile&gt; type.</v>
      </c>
      <c r="L382" t="str">
        <v>Handle does not point to underlying &lt;TimeSeriesFromFile&gt; type.</v>
      </c>
      <c r="M382" t="str">
        <v>Handle does not point to underlying &lt;TimeSeriesFromFile&gt; type.</v>
      </c>
      <c r="N382" t="str">
        <v>Handle does not point to underlying &lt;TimeSeriesFromFile&gt; type.</v>
      </c>
      <c r="O382" t="e">
        <f t="shared" si="12"/>
        <v>#VALUE!</v>
      </c>
    </row>
    <row r="383" spans="9:15" x14ac:dyDescent="0.2">
      <c r="I383">
        <f t="shared" si="13"/>
        <v>344</v>
      </c>
      <c r="J383" t="str">
        <v>Handle does not point to underlying &lt;TimeSeriesFromFile&gt; type.</v>
      </c>
      <c r="K383" t="str">
        <v>Handle does not point to underlying &lt;TimeSeriesFromFile&gt; type.</v>
      </c>
      <c r="L383" t="str">
        <v>Handle does not point to underlying &lt;TimeSeriesFromFile&gt; type.</v>
      </c>
      <c r="M383" t="str">
        <v>Handle does not point to underlying &lt;TimeSeriesFromFile&gt; type.</v>
      </c>
      <c r="N383" t="str">
        <v>Handle does not point to underlying &lt;TimeSeriesFromFile&gt; type.</v>
      </c>
      <c r="O383" t="e">
        <f t="shared" si="12"/>
        <v>#VALUE!</v>
      </c>
    </row>
    <row r="384" spans="9:15" x14ac:dyDescent="0.2">
      <c r="I384">
        <f t="shared" si="13"/>
        <v>345</v>
      </c>
      <c r="J384" t="str">
        <v>Handle does not point to underlying &lt;TimeSeriesFromFile&gt; type.</v>
      </c>
      <c r="K384" t="str">
        <v>Handle does not point to underlying &lt;TimeSeriesFromFile&gt; type.</v>
      </c>
      <c r="L384" t="str">
        <v>Handle does not point to underlying &lt;TimeSeriesFromFile&gt; type.</v>
      </c>
      <c r="M384" t="str">
        <v>Handle does not point to underlying &lt;TimeSeriesFromFile&gt; type.</v>
      </c>
      <c r="N384" t="str">
        <v>Handle does not point to underlying &lt;TimeSeriesFromFile&gt; type.</v>
      </c>
      <c r="O384" t="e">
        <f t="shared" si="12"/>
        <v>#VALUE!</v>
      </c>
    </row>
    <row r="385" spans="9:15" x14ac:dyDescent="0.2">
      <c r="I385">
        <f t="shared" si="13"/>
        <v>346</v>
      </c>
      <c r="J385" t="str">
        <v>Handle does not point to underlying &lt;TimeSeriesFromFile&gt; type.</v>
      </c>
      <c r="K385" t="str">
        <v>Handle does not point to underlying &lt;TimeSeriesFromFile&gt; type.</v>
      </c>
      <c r="L385" t="str">
        <v>Handle does not point to underlying &lt;TimeSeriesFromFile&gt; type.</v>
      </c>
      <c r="M385" t="str">
        <v>Handle does not point to underlying &lt;TimeSeriesFromFile&gt; type.</v>
      </c>
      <c r="N385" t="str">
        <v>Handle does not point to underlying &lt;TimeSeriesFromFile&gt; type.</v>
      </c>
      <c r="O385" t="e">
        <f t="shared" si="12"/>
        <v>#VALUE!</v>
      </c>
    </row>
    <row r="386" spans="9:15" x14ac:dyDescent="0.2">
      <c r="I386">
        <f t="shared" si="13"/>
        <v>347</v>
      </c>
      <c r="J386" t="str">
        <v>Handle does not point to underlying &lt;TimeSeriesFromFile&gt; type.</v>
      </c>
      <c r="K386" t="str">
        <v>Handle does not point to underlying &lt;TimeSeriesFromFile&gt; type.</v>
      </c>
      <c r="L386" t="str">
        <v>Handle does not point to underlying &lt;TimeSeriesFromFile&gt; type.</v>
      </c>
      <c r="M386" t="str">
        <v>Handle does not point to underlying &lt;TimeSeriesFromFile&gt; type.</v>
      </c>
      <c r="N386" t="str">
        <v>Handle does not point to underlying &lt;TimeSeriesFromFile&gt; type.</v>
      </c>
      <c r="O386" t="e">
        <f t="shared" si="12"/>
        <v>#VALUE!</v>
      </c>
    </row>
    <row r="387" spans="9:15" x14ac:dyDescent="0.2">
      <c r="I387">
        <f t="shared" si="13"/>
        <v>348</v>
      </c>
      <c r="J387" t="str">
        <v>Handle does not point to underlying &lt;TimeSeriesFromFile&gt; type.</v>
      </c>
      <c r="K387" t="str">
        <v>Handle does not point to underlying &lt;TimeSeriesFromFile&gt; type.</v>
      </c>
      <c r="L387" t="str">
        <v>Handle does not point to underlying &lt;TimeSeriesFromFile&gt; type.</v>
      </c>
      <c r="M387" t="str">
        <v>Handle does not point to underlying &lt;TimeSeriesFromFile&gt; type.</v>
      </c>
      <c r="N387" t="str">
        <v>Handle does not point to underlying &lt;TimeSeriesFromFile&gt; type.</v>
      </c>
      <c r="O387" t="e">
        <f t="shared" si="12"/>
        <v>#VALUE!</v>
      </c>
    </row>
    <row r="388" spans="9:15" x14ac:dyDescent="0.2">
      <c r="I388">
        <f t="shared" si="13"/>
        <v>349</v>
      </c>
      <c r="J388" t="str">
        <v>Handle does not point to underlying &lt;TimeSeriesFromFile&gt; type.</v>
      </c>
      <c r="K388" t="str">
        <v>Handle does not point to underlying &lt;TimeSeriesFromFile&gt; type.</v>
      </c>
      <c r="L388" t="str">
        <v>Handle does not point to underlying &lt;TimeSeriesFromFile&gt; type.</v>
      </c>
      <c r="M388" t="str">
        <v>Handle does not point to underlying &lt;TimeSeriesFromFile&gt; type.</v>
      </c>
      <c r="N388" t="str">
        <v>Handle does not point to underlying &lt;TimeSeriesFromFile&gt; type.</v>
      </c>
      <c r="O388" t="e">
        <f t="shared" si="12"/>
        <v>#VALUE!</v>
      </c>
    </row>
    <row r="389" spans="9:15" x14ac:dyDescent="0.2">
      <c r="I389">
        <f t="shared" si="13"/>
        <v>350</v>
      </c>
      <c r="J389" t="str">
        <v>Handle does not point to underlying &lt;TimeSeriesFromFile&gt; type.</v>
      </c>
      <c r="K389" t="str">
        <v>Handle does not point to underlying &lt;TimeSeriesFromFile&gt; type.</v>
      </c>
      <c r="L389" t="str">
        <v>Handle does not point to underlying &lt;TimeSeriesFromFile&gt; type.</v>
      </c>
      <c r="M389" t="str">
        <v>Handle does not point to underlying &lt;TimeSeriesFromFile&gt; type.</v>
      </c>
      <c r="N389" t="str">
        <v>Handle does not point to underlying &lt;TimeSeriesFromFile&gt; type.</v>
      </c>
      <c r="O389" t="e">
        <f t="shared" si="12"/>
        <v>#VALUE!</v>
      </c>
    </row>
    <row r="390" spans="9:15" x14ac:dyDescent="0.2">
      <c r="I390">
        <f t="shared" si="13"/>
        <v>351</v>
      </c>
      <c r="J390" t="str">
        <v>Handle does not point to underlying &lt;TimeSeriesFromFile&gt; type.</v>
      </c>
      <c r="K390" t="str">
        <v>Handle does not point to underlying &lt;TimeSeriesFromFile&gt; type.</v>
      </c>
      <c r="L390" t="str">
        <v>Handle does not point to underlying &lt;TimeSeriesFromFile&gt; type.</v>
      </c>
      <c r="M390" t="str">
        <v>Handle does not point to underlying &lt;TimeSeriesFromFile&gt; type.</v>
      </c>
      <c r="N390" t="str">
        <v>Handle does not point to underlying &lt;TimeSeriesFromFile&gt; type.</v>
      </c>
      <c r="O390" t="e">
        <f t="shared" si="12"/>
        <v>#VALUE!</v>
      </c>
    </row>
    <row r="391" spans="9:15" x14ac:dyDescent="0.2">
      <c r="I391">
        <f t="shared" si="13"/>
        <v>352</v>
      </c>
      <c r="J391" t="str">
        <v>Handle does not point to underlying &lt;TimeSeriesFromFile&gt; type.</v>
      </c>
      <c r="K391" t="str">
        <v>Handle does not point to underlying &lt;TimeSeriesFromFile&gt; type.</v>
      </c>
      <c r="L391" t="str">
        <v>Handle does not point to underlying &lt;TimeSeriesFromFile&gt; type.</v>
      </c>
      <c r="M391" t="str">
        <v>Handle does not point to underlying &lt;TimeSeriesFromFile&gt; type.</v>
      </c>
      <c r="N391" t="str">
        <v>Handle does not point to underlying &lt;TimeSeriesFromFile&gt; type.</v>
      </c>
      <c r="O391" t="e">
        <f t="shared" si="12"/>
        <v>#VALUE!</v>
      </c>
    </row>
    <row r="392" spans="9:15" x14ac:dyDescent="0.2">
      <c r="I392">
        <f t="shared" si="13"/>
        <v>353</v>
      </c>
      <c r="J392" t="str">
        <v>Handle does not point to underlying &lt;TimeSeriesFromFile&gt; type.</v>
      </c>
      <c r="K392" t="str">
        <v>Handle does not point to underlying &lt;TimeSeriesFromFile&gt; type.</v>
      </c>
      <c r="L392" t="str">
        <v>Handle does not point to underlying &lt;TimeSeriesFromFile&gt; type.</v>
      </c>
      <c r="M392" t="str">
        <v>Handle does not point to underlying &lt;TimeSeriesFromFile&gt; type.</v>
      </c>
      <c r="N392" t="str">
        <v>Handle does not point to underlying &lt;TimeSeriesFromFile&gt; type.</v>
      </c>
      <c r="O392" t="e">
        <f t="shared" si="12"/>
        <v>#VALUE!</v>
      </c>
    </row>
    <row r="393" spans="9:15" x14ac:dyDescent="0.2">
      <c r="I393">
        <f t="shared" si="13"/>
        <v>354</v>
      </c>
      <c r="J393" t="str">
        <v>Handle does not point to underlying &lt;TimeSeriesFromFile&gt; type.</v>
      </c>
      <c r="K393" t="str">
        <v>Handle does not point to underlying &lt;TimeSeriesFromFile&gt; type.</v>
      </c>
      <c r="L393" t="str">
        <v>Handle does not point to underlying &lt;TimeSeriesFromFile&gt; type.</v>
      </c>
      <c r="M393" t="str">
        <v>Handle does not point to underlying &lt;TimeSeriesFromFile&gt; type.</v>
      </c>
      <c r="N393" t="str">
        <v>Handle does not point to underlying &lt;TimeSeriesFromFile&gt; type.</v>
      </c>
      <c r="O393" t="e">
        <f t="shared" si="12"/>
        <v>#VALUE!</v>
      </c>
    </row>
    <row r="394" spans="9:15" x14ac:dyDescent="0.2">
      <c r="I394">
        <f t="shared" si="13"/>
        <v>355</v>
      </c>
      <c r="J394" t="str">
        <v>Handle does not point to underlying &lt;TimeSeriesFromFile&gt; type.</v>
      </c>
      <c r="K394" t="str">
        <v>Handle does not point to underlying &lt;TimeSeriesFromFile&gt; type.</v>
      </c>
      <c r="L394" t="str">
        <v>Handle does not point to underlying &lt;TimeSeriesFromFile&gt; type.</v>
      </c>
      <c r="M394" t="str">
        <v>Handle does not point to underlying &lt;TimeSeriesFromFile&gt; type.</v>
      </c>
      <c r="N394" t="str">
        <v>Handle does not point to underlying &lt;TimeSeriesFromFile&gt; type.</v>
      </c>
      <c r="O394" t="e">
        <f t="shared" si="12"/>
        <v>#VALUE!</v>
      </c>
    </row>
    <row r="395" spans="9:15" x14ac:dyDescent="0.2">
      <c r="I395">
        <f t="shared" si="13"/>
        <v>356</v>
      </c>
      <c r="J395" t="str">
        <v>Handle does not point to underlying &lt;TimeSeriesFromFile&gt; type.</v>
      </c>
      <c r="K395" t="str">
        <v>Handle does not point to underlying &lt;TimeSeriesFromFile&gt; type.</v>
      </c>
      <c r="L395" t="str">
        <v>Handle does not point to underlying &lt;TimeSeriesFromFile&gt; type.</v>
      </c>
      <c r="M395" t="str">
        <v>Handle does not point to underlying &lt;TimeSeriesFromFile&gt; type.</v>
      </c>
      <c r="N395" t="str">
        <v>Handle does not point to underlying &lt;TimeSeriesFromFile&gt; type.</v>
      </c>
      <c r="O395" t="e">
        <f t="shared" si="12"/>
        <v>#VALUE!</v>
      </c>
    </row>
    <row r="396" spans="9:15" x14ac:dyDescent="0.2">
      <c r="I396">
        <f t="shared" si="13"/>
        <v>357</v>
      </c>
      <c r="J396" t="str">
        <v>Handle does not point to underlying &lt;TimeSeriesFromFile&gt; type.</v>
      </c>
      <c r="K396" t="str">
        <v>Handle does not point to underlying &lt;TimeSeriesFromFile&gt; type.</v>
      </c>
      <c r="L396" t="str">
        <v>Handle does not point to underlying &lt;TimeSeriesFromFile&gt; type.</v>
      </c>
      <c r="M396" t="str">
        <v>Handle does not point to underlying &lt;TimeSeriesFromFile&gt; type.</v>
      </c>
      <c r="N396" t="str">
        <v>Handle does not point to underlying &lt;TimeSeriesFromFile&gt; type.</v>
      </c>
      <c r="O396" t="e">
        <f t="shared" si="12"/>
        <v>#VALUE!</v>
      </c>
    </row>
    <row r="397" spans="9:15" x14ac:dyDescent="0.2">
      <c r="I397">
        <f t="shared" si="13"/>
        <v>358</v>
      </c>
      <c r="J397" t="str">
        <v>Handle does not point to underlying &lt;TimeSeriesFromFile&gt; type.</v>
      </c>
      <c r="K397" t="str">
        <v>Handle does not point to underlying &lt;TimeSeriesFromFile&gt; type.</v>
      </c>
      <c r="L397" t="str">
        <v>Handle does not point to underlying &lt;TimeSeriesFromFile&gt; type.</v>
      </c>
      <c r="M397" t="str">
        <v>Handle does not point to underlying &lt;TimeSeriesFromFile&gt; type.</v>
      </c>
      <c r="N397" t="str">
        <v>Handle does not point to underlying &lt;TimeSeriesFromFile&gt; type.</v>
      </c>
      <c r="O397" t="e">
        <f t="shared" si="12"/>
        <v>#VALUE!</v>
      </c>
    </row>
    <row r="398" spans="9:15" x14ac:dyDescent="0.2">
      <c r="I398">
        <f t="shared" si="13"/>
        <v>359</v>
      </c>
      <c r="J398" t="str">
        <v>Handle does not point to underlying &lt;TimeSeriesFromFile&gt; type.</v>
      </c>
      <c r="K398" t="str">
        <v>Handle does not point to underlying &lt;TimeSeriesFromFile&gt; type.</v>
      </c>
      <c r="L398" t="str">
        <v>Handle does not point to underlying &lt;TimeSeriesFromFile&gt; type.</v>
      </c>
      <c r="M398" t="str">
        <v>Handle does not point to underlying &lt;TimeSeriesFromFile&gt; type.</v>
      </c>
      <c r="N398" t="str">
        <v>Handle does not point to underlying &lt;TimeSeriesFromFile&gt; type.</v>
      </c>
      <c r="O398" t="e">
        <f t="shared" si="12"/>
        <v>#VALUE!</v>
      </c>
    </row>
    <row r="399" spans="9:15" x14ac:dyDescent="0.2">
      <c r="I399">
        <f t="shared" si="13"/>
        <v>360</v>
      </c>
      <c r="J399" t="str">
        <v>Handle does not point to underlying &lt;TimeSeriesFromFile&gt; type.</v>
      </c>
      <c r="K399" t="str">
        <v>Handle does not point to underlying &lt;TimeSeriesFromFile&gt; type.</v>
      </c>
      <c r="L399" t="str">
        <v>Handle does not point to underlying &lt;TimeSeriesFromFile&gt; type.</v>
      </c>
      <c r="M399" t="str">
        <v>Handle does not point to underlying &lt;TimeSeriesFromFile&gt; type.</v>
      </c>
      <c r="N399" t="str">
        <v>Handle does not point to underlying &lt;TimeSeriesFromFile&gt; type.</v>
      </c>
      <c r="O399" t="e">
        <f t="shared" si="12"/>
        <v>#VALUE!</v>
      </c>
    </row>
    <row r="400" spans="9:15" x14ac:dyDescent="0.2">
      <c r="I400">
        <f t="shared" si="13"/>
        <v>361</v>
      </c>
      <c r="J400" t="str">
        <v>Handle does not point to underlying &lt;TimeSeriesFromFile&gt; type.</v>
      </c>
      <c r="K400" t="str">
        <v>Handle does not point to underlying &lt;TimeSeriesFromFile&gt; type.</v>
      </c>
      <c r="L400" t="str">
        <v>Handle does not point to underlying &lt;TimeSeriesFromFile&gt; type.</v>
      </c>
      <c r="M400" t="str">
        <v>Handle does not point to underlying &lt;TimeSeriesFromFile&gt; type.</v>
      </c>
      <c r="N400" t="str">
        <v>Handle does not point to underlying &lt;TimeSeriesFromFile&gt; type.</v>
      </c>
      <c r="O400" t="e">
        <f t="shared" si="12"/>
        <v>#VALUE!</v>
      </c>
    </row>
    <row r="401" spans="9:15" x14ac:dyDescent="0.2">
      <c r="I401">
        <f t="shared" si="13"/>
        <v>362</v>
      </c>
      <c r="J401" t="str">
        <v>Handle does not point to underlying &lt;TimeSeriesFromFile&gt; type.</v>
      </c>
      <c r="K401" t="str">
        <v>Handle does not point to underlying &lt;TimeSeriesFromFile&gt; type.</v>
      </c>
      <c r="L401" t="str">
        <v>Handle does not point to underlying &lt;TimeSeriesFromFile&gt; type.</v>
      </c>
      <c r="M401" t="str">
        <v>Handle does not point to underlying &lt;TimeSeriesFromFile&gt; type.</v>
      </c>
      <c r="N401" t="str">
        <v>Handle does not point to underlying &lt;TimeSeriesFromFile&gt; type.</v>
      </c>
      <c r="O401" t="e">
        <f t="shared" si="12"/>
        <v>#VALUE!</v>
      </c>
    </row>
    <row r="402" spans="9:15" x14ac:dyDescent="0.2">
      <c r="I402">
        <f t="shared" si="13"/>
        <v>363</v>
      </c>
      <c r="J402" t="str">
        <v>Handle does not point to underlying &lt;TimeSeriesFromFile&gt; type.</v>
      </c>
      <c r="K402" t="str">
        <v>Handle does not point to underlying &lt;TimeSeriesFromFile&gt; type.</v>
      </c>
      <c r="L402" t="str">
        <v>Handle does not point to underlying &lt;TimeSeriesFromFile&gt; type.</v>
      </c>
      <c r="M402" t="str">
        <v>Handle does not point to underlying &lt;TimeSeriesFromFile&gt; type.</v>
      </c>
      <c r="N402" t="str">
        <v>Handle does not point to underlying &lt;TimeSeriesFromFile&gt; type.</v>
      </c>
      <c r="O402" t="e">
        <f t="shared" si="12"/>
        <v>#VALUE!</v>
      </c>
    </row>
    <row r="403" spans="9:15" x14ac:dyDescent="0.2">
      <c r="I403">
        <f t="shared" si="13"/>
        <v>364</v>
      </c>
      <c r="J403" t="str">
        <v>Handle does not point to underlying &lt;TimeSeriesFromFile&gt; type.</v>
      </c>
      <c r="K403" t="str">
        <v>Handle does not point to underlying &lt;TimeSeriesFromFile&gt; type.</v>
      </c>
      <c r="L403" t="str">
        <v>Handle does not point to underlying &lt;TimeSeriesFromFile&gt; type.</v>
      </c>
      <c r="M403" t="str">
        <v>Handle does not point to underlying &lt;TimeSeriesFromFile&gt; type.</v>
      </c>
      <c r="N403" t="str">
        <v>Handle does not point to underlying &lt;TimeSeriesFromFile&gt; type.</v>
      </c>
      <c r="O403" t="e">
        <f t="shared" si="12"/>
        <v>#VALUE!</v>
      </c>
    </row>
    <row r="404" spans="9:15" x14ac:dyDescent="0.2">
      <c r="I404">
        <f t="shared" si="13"/>
        <v>365</v>
      </c>
      <c r="J404" t="str">
        <v>Handle does not point to underlying &lt;TimeSeriesFromFile&gt; type.</v>
      </c>
      <c r="K404" t="str">
        <v>Handle does not point to underlying &lt;TimeSeriesFromFile&gt; type.</v>
      </c>
      <c r="L404" t="str">
        <v>Handle does not point to underlying &lt;TimeSeriesFromFile&gt; type.</v>
      </c>
      <c r="M404" t="str">
        <v>Handle does not point to underlying &lt;TimeSeriesFromFile&gt; type.</v>
      </c>
      <c r="N404" t="str">
        <v>Handle does not point to underlying &lt;TimeSeriesFromFile&gt; type.</v>
      </c>
      <c r="O404" t="e">
        <f t="shared" si="12"/>
        <v>#VALUE!</v>
      </c>
    </row>
    <row r="405" spans="9:15" x14ac:dyDescent="0.2">
      <c r="I405">
        <f t="shared" si="13"/>
        <v>366</v>
      </c>
      <c r="J405" t="str">
        <v>Handle does not point to underlying &lt;TimeSeriesFromFile&gt; type.</v>
      </c>
      <c r="K405" t="str">
        <v>Handle does not point to underlying &lt;TimeSeriesFromFile&gt; type.</v>
      </c>
      <c r="L405" t="str">
        <v>Handle does not point to underlying &lt;TimeSeriesFromFile&gt; type.</v>
      </c>
      <c r="M405" t="str">
        <v>Handle does not point to underlying &lt;TimeSeriesFromFile&gt; type.</v>
      </c>
      <c r="N405" t="str">
        <v>Handle does not point to underlying &lt;TimeSeriesFromFile&gt; type.</v>
      </c>
      <c r="O405" t="e">
        <f t="shared" si="12"/>
        <v>#VALUE!</v>
      </c>
    </row>
    <row r="406" spans="9:15" x14ac:dyDescent="0.2">
      <c r="I406">
        <f t="shared" si="13"/>
        <v>367</v>
      </c>
      <c r="J406" t="str">
        <v>Handle does not point to underlying &lt;TimeSeriesFromFile&gt; type.</v>
      </c>
      <c r="K406" t="str">
        <v>Handle does not point to underlying &lt;TimeSeriesFromFile&gt; type.</v>
      </c>
      <c r="L406" t="str">
        <v>Handle does not point to underlying &lt;TimeSeriesFromFile&gt; type.</v>
      </c>
      <c r="M406" t="str">
        <v>Handle does not point to underlying &lt;TimeSeriesFromFile&gt; type.</v>
      </c>
      <c r="N406" t="str">
        <v>Handle does not point to underlying &lt;TimeSeriesFromFile&gt; type.</v>
      </c>
      <c r="O406" t="e">
        <f t="shared" si="12"/>
        <v>#VALUE!</v>
      </c>
    </row>
    <row r="407" spans="9:15" x14ac:dyDescent="0.2">
      <c r="I407">
        <f t="shared" si="13"/>
        <v>368</v>
      </c>
      <c r="J407" t="str">
        <v>Handle does not point to underlying &lt;TimeSeriesFromFile&gt; type.</v>
      </c>
      <c r="K407" t="str">
        <v>Handle does not point to underlying &lt;TimeSeriesFromFile&gt; type.</v>
      </c>
      <c r="L407" t="str">
        <v>Handle does not point to underlying &lt;TimeSeriesFromFile&gt; type.</v>
      </c>
      <c r="M407" t="str">
        <v>Handle does not point to underlying &lt;TimeSeriesFromFile&gt; type.</v>
      </c>
      <c r="N407" t="str">
        <v>Handle does not point to underlying &lt;TimeSeriesFromFile&gt; type.</v>
      </c>
      <c r="O407" t="e">
        <f t="shared" si="12"/>
        <v>#VALUE!</v>
      </c>
    </row>
    <row r="408" spans="9:15" x14ac:dyDescent="0.2">
      <c r="I408">
        <f t="shared" si="13"/>
        <v>369</v>
      </c>
      <c r="J408" t="str">
        <v>Handle does not point to underlying &lt;TimeSeriesFromFile&gt; type.</v>
      </c>
      <c r="K408" t="str">
        <v>Handle does not point to underlying &lt;TimeSeriesFromFile&gt; type.</v>
      </c>
      <c r="L408" t="str">
        <v>Handle does not point to underlying &lt;TimeSeriesFromFile&gt; type.</v>
      </c>
      <c r="M408" t="str">
        <v>Handle does not point to underlying &lt;TimeSeriesFromFile&gt; type.</v>
      </c>
      <c r="N408" t="str">
        <v>Handle does not point to underlying &lt;TimeSeriesFromFile&gt; type.</v>
      </c>
      <c r="O408" t="e">
        <f t="shared" si="12"/>
        <v>#VALUE!</v>
      </c>
    </row>
    <row r="409" spans="9:15" x14ac:dyDescent="0.2">
      <c r="I409">
        <f t="shared" si="13"/>
        <v>370</v>
      </c>
      <c r="J409" t="str">
        <v>Handle does not point to underlying &lt;TimeSeriesFromFile&gt; type.</v>
      </c>
      <c r="K409" t="str">
        <v>Handle does not point to underlying &lt;TimeSeriesFromFile&gt; type.</v>
      </c>
      <c r="L409" t="str">
        <v>Handle does not point to underlying &lt;TimeSeriesFromFile&gt; type.</v>
      </c>
      <c r="M409" t="str">
        <v>Handle does not point to underlying &lt;TimeSeriesFromFile&gt; type.</v>
      </c>
      <c r="N409" t="str">
        <v>Handle does not point to underlying &lt;TimeSeriesFromFile&gt; type.</v>
      </c>
      <c r="O409" t="e">
        <f t="shared" si="12"/>
        <v>#VALUE!</v>
      </c>
    </row>
    <row r="410" spans="9:15" x14ac:dyDescent="0.2">
      <c r="I410">
        <f t="shared" si="13"/>
        <v>371</v>
      </c>
      <c r="J410" t="str">
        <v>Handle does not point to underlying &lt;TimeSeriesFromFile&gt; type.</v>
      </c>
      <c r="K410" t="str">
        <v>Handle does not point to underlying &lt;TimeSeriesFromFile&gt; type.</v>
      </c>
      <c r="L410" t="str">
        <v>Handle does not point to underlying &lt;TimeSeriesFromFile&gt; type.</v>
      </c>
      <c r="M410" t="str">
        <v>Handle does not point to underlying &lt;TimeSeriesFromFile&gt; type.</v>
      </c>
      <c r="N410" t="str">
        <v>Handle does not point to underlying &lt;TimeSeriesFromFile&gt; type.</v>
      </c>
      <c r="O410" t="e">
        <f t="shared" si="12"/>
        <v>#VALUE!</v>
      </c>
    </row>
    <row r="411" spans="9:15" x14ac:dyDescent="0.2">
      <c r="I411">
        <f t="shared" si="13"/>
        <v>372</v>
      </c>
      <c r="J411" t="str">
        <v>Handle does not point to underlying &lt;TimeSeriesFromFile&gt; type.</v>
      </c>
      <c r="K411" t="str">
        <v>Handle does not point to underlying &lt;TimeSeriesFromFile&gt; type.</v>
      </c>
      <c r="L411" t="str">
        <v>Handle does not point to underlying &lt;TimeSeriesFromFile&gt; type.</v>
      </c>
      <c r="M411" t="str">
        <v>Handle does not point to underlying &lt;TimeSeriesFromFile&gt; type.</v>
      </c>
      <c r="N411" t="str">
        <v>Handle does not point to underlying &lt;TimeSeriesFromFile&gt; type.</v>
      </c>
      <c r="O411" t="e">
        <f t="shared" si="12"/>
        <v>#VALUE!</v>
      </c>
    </row>
    <row r="412" spans="9:15" x14ac:dyDescent="0.2">
      <c r="I412">
        <f t="shared" si="13"/>
        <v>373</v>
      </c>
      <c r="J412" t="str">
        <v>Handle does not point to underlying &lt;TimeSeriesFromFile&gt; type.</v>
      </c>
      <c r="K412" t="str">
        <v>Handle does not point to underlying &lt;TimeSeriesFromFile&gt; type.</v>
      </c>
      <c r="L412" t="str">
        <v>Handle does not point to underlying &lt;TimeSeriesFromFile&gt; type.</v>
      </c>
      <c r="M412" t="str">
        <v>Handle does not point to underlying &lt;TimeSeriesFromFile&gt; type.</v>
      </c>
      <c r="N412" t="str">
        <v>Handle does not point to underlying &lt;TimeSeriesFromFile&gt; type.</v>
      </c>
      <c r="O412" t="e">
        <f t="shared" si="12"/>
        <v>#VALUE!</v>
      </c>
    </row>
    <row r="413" spans="9:15" x14ac:dyDescent="0.2">
      <c r="I413">
        <f t="shared" si="13"/>
        <v>374</v>
      </c>
      <c r="J413" t="str">
        <v>Handle does not point to underlying &lt;TimeSeriesFromFile&gt; type.</v>
      </c>
      <c r="K413" t="str">
        <v>Handle does not point to underlying &lt;TimeSeriesFromFile&gt; type.</v>
      </c>
      <c r="L413" t="str">
        <v>Handle does not point to underlying &lt;TimeSeriesFromFile&gt; type.</v>
      </c>
      <c r="M413" t="str">
        <v>Handle does not point to underlying &lt;TimeSeriesFromFile&gt; type.</v>
      </c>
      <c r="N413" t="str">
        <v>Handle does not point to underlying &lt;TimeSeriesFromFile&gt; type.</v>
      </c>
      <c r="O413" t="e">
        <f t="shared" si="12"/>
        <v>#VALUE!</v>
      </c>
    </row>
    <row r="414" spans="9:15" x14ac:dyDescent="0.2">
      <c r="I414">
        <f t="shared" si="13"/>
        <v>375</v>
      </c>
      <c r="J414" t="str">
        <v>Handle does not point to underlying &lt;TimeSeriesFromFile&gt; type.</v>
      </c>
      <c r="K414" t="str">
        <v>Handle does not point to underlying &lt;TimeSeriesFromFile&gt; type.</v>
      </c>
      <c r="L414" t="str">
        <v>Handle does not point to underlying &lt;TimeSeriesFromFile&gt; type.</v>
      </c>
      <c r="M414" t="str">
        <v>Handle does not point to underlying &lt;TimeSeriesFromFile&gt; type.</v>
      </c>
      <c r="N414" t="str">
        <v>Handle does not point to underlying &lt;TimeSeriesFromFile&gt; type.</v>
      </c>
      <c r="O414" t="e">
        <f t="shared" si="12"/>
        <v>#VALUE!</v>
      </c>
    </row>
    <row r="415" spans="9:15" x14ac:dyDescent="0.2">
      <c r="I415">
        <f t="shared" si="13"/>
        <v>376</v>
      </c>
      <c r="J415" t="str">
        <v>Handle does not point to underlying &lt;TimeSeriesFromFile&gt; type.</v>
      </c>
      <c r="K415" t="str">
        <v>Handle does not point to underlying &lt;TimeSeriesFromFile&gt; type.</v>
      </c>
      <c r="L415" t="str">
        <v>Handle does not point to underlying &lt;TimeSeriesFromFile&gt; type.</v>
      </c>
      <c r="M415" t="str">
        <v>Handle does not point to underlying &lt;TimeSeriesFromFile&gt; type.</v>
      </c>
      <c r="N415" t="str">
        <v>Handle does not point to underlying &lt;TimeSeriesFromFile&gt; type.</v>
      </c>
      <c r="O415" t="e">
        <f t="shared" si="12"/>
        <v>#VALUE!</v>
      </c>
    </row>
    <row r="416" spans="9:15" x14ac:dyDescent="0.2">
      <c r="I416">
        <f t="shared" si="13"/>
        <v>377</v>
      </c>
      <c r="J416" t="str">
        <v>Handle does not point to underlying &lt;TimeSeriesFromFile&gt; type.</v>
      </c>
      <c r="K416" t="str">
        <v>Handle does not point to underlying &lt;TimeSeriesFromFile&gt; type.</v>
      </c>
      <c r="L416" t="str">
        <v>Handle does not point to underlying &lt;TimeSeriesFromFile&gt; type.</v>
      </c>
      <c r="M416" t="str">
        <v>Handle does not point to underlying &lt;TimeSeriesFromFile&gt; type.</v>
      </c>
      <c r="N416" t="str">
        <v>Handle does not point to underlying &lt;TimeSeriesFromFile&gt; type.</v>
      </c>
      <c r="O416" t="e">
        <f t="shared" si="12"/>
        <v>#VALUE!</v>
      </c>
    </row>
    <row r="417" spans="9:15" x14ac:dyDescent="0.2">
      <c r="I417">
        <f t="shared" si="13"/>
        <v>378</v>
      </c>
      <c r="J417" t="str">
        <v>Handle does not point to underlying &lt;TimeSeriesFromFile&gt; type.</v>
      </c>
      <c r="K417" t="str">
        <v>Handle does not point to underlying &lt;TimeSeriesFromFile&gt; type.</v>
      </c>
      <c r="L417" t="str">
        <v>Handle does not point to underlying &lt;TimeSeriesFromFile&gt; type.</v>
      </c>
      <c r="M417" t="str">
        <v>Handle does not point to underlying &lt;TimeSeriesFromFile&gt; type.</v>
      </c>
      <c r="N417" t="str">
        <v>Handle does not point to underlying &lt;TimeSeriesFromFile&gt; type.</v>
      </c>
      <c r="O417" t="e">
        <f t="shared" si="12"/>
        <v>#VALUE!</v>
      </c>
    </row>
    <row r="418" spans="9:15" x14ac:dyDescent="0.2">
      <c r="I418">
        <f t="shared" si="13"/>
        <v>379</v>
      </c>
      <c r="J418" t="str">
        <v>Handle does not point to underlying &lt;TimeSeriesFromFile&gt; type.</v>
      </c>
      <c r="K418" t="str">
        <v>Handle does not point to underlying &lt;TimeSeriesFromFile&gt; type.</v>
      </c>
      <c r="L418" t="str">
        <v>Handle does not point to underlying &lt;TimeSeriesFromFile&gt; type.</v>
      </c>
      <c r="M418" t="str">
        <v>Handle does not point to underlying &lt;TimeSeriesFromFile&gt; type.</v>
      </c>
      <c r="N418" t="str">
        <v>Handle does not point to underlying &lt;TimeSeriesFromFile&gt; type.</v>
      </c>
      <c r="O418" t="e">
        <f t="shared" si="12"/>
        <v>#VALUE!</v>
      </c>
    </row>
    <row r="419" spans="9:15" x14ac:dyDescent="0.2">
      <c r="I419">
        <f t="shared" si="13"/>
        <v>380</v>
      </c>
      <c r="J419" t="str">
        <v>Handle does not point to underlying &lt;TimeSeriesFromFile&gt; type.</v>
      </c>
      <c r="K419" t="str">
        <v>Handle does not point to underlying &lt;TimeSeriesFromFile&gt; type.</v>
      </c>
      <c r="L419" t="str">
        <v>Handle does not point to underlying &lt;TimeSeriesFromFile&gt; type.</v>
      </c>
      <c r="M419" t="str">
        <v>Handle does not point to underlying &lt;TimeSeriesFromFile&gt; type.</v>
      </c>
      <c r="N419" t="str">
        <v>Handle does not point to underlying &lt;TimeSeriesFromFile&gt; type.</v>
      </c>
      <c r="O419" t="e">
        <f t="shared" si="12"/>
        <v>#VALUE!</v>
      </c>
    </row>
    <row r="420" spans="9:15" x14ac:dyDescent="0.2">
      <c r="I420">
        <f t="shared" si="13"/>
        <v>381</v>
      </c>
      <c r="J420" t="str">
        <v>Handle does not point to underlying &lt;TimeSeriesFromFile&gt; type.</v>
      </c>
      <c r="K420" t="str">
        <v>Handle does not point to underlying &lt;TimeSeriesFromFile&gt; type.</v>
      </c>
      <c r="L420" t="str">
        <v>Handle does not point to underlying &lt;TimeSeriesFromFile&gt; type.</v>
      </c>
      <c r="M420" t="str">
        <v>Handle does not point to underlying &lt;TimeSeriesFromFile&gt; type.</v>
      </c>
      <c r="N420" t="str">
        <v>Handle does not point to underlying &lt;TimeSeriesFromFile&gt; type.</v>
      </c>
      <c r="O420" t="e">
        <f t="shared" si="12"/>
        <v>#VALUE!</v>
      </c>
    </row>
    <row r="421" spans="9:15" x14ac:dyDescent="0.2">
      <c r="I421">
        <f t="shared" si="13"/>
        <v>382</v>
      </c>
      <c r="J421" t="str">
        <v>Handle does not point to underlying &lt;TimeSeriesFromFile&gt; type.</v>
      </c>
      <c r="K421" t="str">
        <v>Handle does not point to underlying &lt;TimeSeriesFromFile&gt; type.</v>
      </c>
      <c r="L421" t="str">
        <v>Handle does not point to underlying &lt;TimeSeriesFromFile&gt; type.</v>
      </c>
      <c r="M421" t="str">
        <v>Handle does not point to underlying &lt;TimeSeriesFromFile&gt; type.</v>
      </c>
      <c r="N421" t="str">
        <v>Handle does not point to underlying &lt;TimeSeriesFromFile&gt; type.</v>
      </c>
      <c r="O421" t="e">
        <f t="shared" si="12"/>
        <v>#VALUE!</v>
      </c>
    </row>
    <row r="422" spans="9:15" x14ac:dyDescent="0.2">
      <c r="I422">
        <f t="shared" si="13"/>
        <v>383</v>
      </c>
      <c r="J422" t="str">
        <v>Handle does not point to underlying &lt;TimeSeriesFromFile&gt; type.</v>
      </c>
      <c r="K422" t="str">
        <v>Handle does not point to underlying &lt;TimeSeriesFromFile&gt; type.</v>
      </c>
      <c r="L422" t="str">
        <v>Handle does not point to underlying &lt;TimeSeriesFromFile&gt; type.</v>
      </c>
      <c r="M422" t="str">
        <v>Handle does not point to underlying &lt;TimeSeriesFromFile&gt; type.</v>
      </c>
      <c r="N422" t="str">
        <v>Handle does not point to underlying &lt;TimeSeriesFromFile&gt; type.</v>
      </c>
      <c r="O422" t="e">
        <f t="shared" si="12"/>
        <v>#VALUE!</v>
      </c>
    </row>
    <row r="423" spans="9:15" x14ac:dyDescent="0.2">
      <c r="I423">
        <f t="shared" si="13"/>
        <v>384</v>
      </c>
      <c r="J423" t="str">
        <v>Handle does not point to underlying &lt;TimeSeriesFromFile&gt; type.</v>
      </c>
      <c r="K423" t="str">
        <v>Handle does not point to underlying &lt;TimeSeriesFromFile&gt; type.</v>
      </c>
      <c r="L423" t="str">
        <v>Handle does not point to underlying &lt;TimeSeriesFromFile&gt; type.</v>
      </c>
      <c r="M423" t="str">
        <v>Handle does not point to underlying &lt;TimeSeriesFromFile&gt; type.</v>
      </c>
      <c r="N423" t="str">
        <v>Handle does not point to underlying &lt;TimeSeriesFromFile&gt; type.</v>
      </c>
      <c r="O423" t="e">
        <f t="shared" si="12"/>
        <v>#VALUE!</v>
      </c>
    </row>
    <row r="424" spans="9:15" x14ac:dyDescent="0.2">
      <c r="I424">
        <f t="shared" si="13"/>
        <v>385</v>
      </c>
      <c r="J424" t="str">
        <v>Handle does not point to underlying &lt;TimeSeriesFromFile&gt; type.</v>
      </c>
      <c r="K424" t="str">
        <v>Handle does not point to underlying &lt;TimeSeriesFromFile&gt; type.</v>
      </c>
      <c r="L424" t="str">
        <v>Handle does not point to underlying &lt;TimeSeriesFromFile&gt; type.</v>
      </c>
      <c r="M424" t="str">
        <v>Handle does not point to underlying &lt;TimeSeriesFromFile&gt; type.</v>
      </c>
      <c r="N424" t="str">
        <v>Handle does not point to underlying &lt;TimeSeriesFromFile&gt; type.</v>
      </c>
      <c r="O424" t="e">
        <f t="shared" ref="O424:O487" si="14">M424-N424</f>
        <v>#VALUE!</v>
      </c>
    </row>
    <row r="425" spans="9:15" x14ac:dyDescent="0.2">
      <c r="I425">
        <f t="shared" ref="I425:I488" si="15">I424+1</f>
        <v>386</v>
      </c>
      <c r="J425" t="str">
        <v>Handle does not point to underlying &lt;TimeSeriesFromFile&gt; type.</v>
      </c>
      <c r="K425" t="str">
        <v>Handle does not point to underlying &lt;TimeSeriesFromFile&gt; type.</v>
      </c>
      <c r="L425" t="str">
        <v>Handle does not point to underlying &lt;TimeSeriesFromFile&gt; type.</v>
      </c>
      <c r="M425" t="str">
        <v>Handle does not point to underlying &lt;TimeSeriesFromFile&gt; type.</v>
      </c>
      <c r="N425" t="str">
        <v>Handle does not point to underlying &lt;TimeSeriesFromFile&gt; type.</v>
      </c>
      <c r="O425" t="e">
        <f t="shared" si="14"/>
        <v>#VALUE!</v>
      </c>
    </row>
    <row r="426" spans="9:15" x14ac:dyDescent="0.2">
      <c r="I426">
        <f t="shared" si="15"/>
        <v>387</v>
      </c>
      <c r="J426" t="str">
        <v>Handle does not point to underlying &lt;TimeSeriesFromFile&gt; type.</v>
      </c>
      <c r="K426" t="str">
        <v>Handle does not point to underlying &lt;TimeSeriesFromFile&gt; type.</v>
      </c>
      <c r="L426" t="str">
        <v>Handle does not point to underlying &lt;TimeSeriesFromFile&gt; type.</v>
      </c>
      <c r="M426" t="str">
        <v>Handle does not point to underlying &lt;TimeSeriesFromFile&gt; type.</v>
      </c>
      <c r="N426" t="str">
        <v>Handle does not point to underlying &lt;TimeSeriesFromFile&gt; type.</v>
      </c>
      <c r="O426" t="e">
        <f t="shared" si="14"/>
        <v>#VALUE!</v>
      </c>
    </row>
    <row r="427" spans="9:15" x14ac:dyDescent="0.2">
      <c r="I427">
        <f t="shared" si="15"/>
        <v>388</v>
      </c>
      <c r="J427" t="str">
        <v>Handle does not point to underlying &lt;TimeSeriesFromFile&gt; type.</v>
      </c>
      <c r="K427" t="str">
        <v>Handle does not point to underlying &lt;TimeSeriesFromFile&gt; type.</v>
      </c>
      <c r="L427" t="str">
        <v>Handle does not point to underlying &lt;TimeSeriesFromFile&gt; type.</v>
      </c>
      <c r="M427" t="str">
        <v>Handle does not point to underlying &lt;TimeSeriesFromFile&gt; type.</v>
      </c>
      <c r="N427" t="str">
        <v>Handle does not point to underlying &lt;TimeSeriesFromFile&gt; type.</v>
      </c>
      <c r="O427" t="e">
        <f t="shared" si="14"/>
        <v>#VALUE!</v>
      </c>
    </row>
    <row r="428" spans="9:15" x14ac:dyDescent="0.2">
      <c r="I428">
        <f t="shared" si="15"/>
        <v>389</v>
      </c>
      <c r="J428" t="str">
        <v>Handle does not point to underlying &lt;TimeSeriesFromFile&gt; type.</v>
      </c>
      <c r="K428" t="str">
        <v>Handle does not point to underlying &lt;TimeSeriesFromFile&gt; type.</v>
      </c>
      <c r="L428" t="str">
        <v>Handle does not point to underlying &lt;TimeSeriesFromFile&gt; type.</v>
      </c>
      <c r="M428" t="str">
        <v>Handle does not point to underlying &lt;TimeSeriesFromFile&gt; type.</v>
      </c>
      <c r="N428" t="str">
        <v>Handle does not point to underlying &lt;TimeSeriesFromFile&gt; type.</v>
      </c>
      <c r="O428" t="e">
        <f t="shared" si="14"/>
        <v>#VALUE!</v>
      </c>
    </row>
    <row r="429" spans="9:15" x14ac:dyDescent="0.2">
      <c r="I429">
        <f t="shared" si="15"/>
        <v>390</v>
      </c>
      <c r="J429" t="str">
        <v>Handle does not point to underlying &lt;TimeSeriesFromFile&gt; type.</v>
      </c>
      <c r="K429" t="str">
        <v>Handle does not point to underlying &lt;TimeSeriesFromFile&gt; type.</v>
      </c>
      <c r="L429" t="str">
        <v>Handle does not point to underlying &lt;TimeSeriesFromFile&gt; type.</v>
      </c>
      <c r="M429" t="str">
        <v>Handle does not point to underlying &lt;TimeSeriesFromFile&gt; type.</v>
      </c>
      <c r="N429" t="str">
        <v>Handle does not point to underlying &lt;TimeSeriesFromFile&gt; type.</v>
      </c>
      <c r="O429" t="e">
        <f t="shared" si="14"/>
        <v>#VALUE!</v>
      </c>
    </row>
    <row r="430" spans="9:15" x14ac:dyDescent="0.2">
      <c r="I430">
        <f t="shared" si="15"/>
        <v>391</v>
      </c>
      <c r="J430" t="str">
        <v>Handle does not point to underlying &lt;TimeSeriesFromFile&gt; type.</v>
      </c>
      <c r="K430" t="str">
        <v>Handle does not point to underlying &lt;TimeSeriesFromFile&gt; type.</v>
      </c>
      <c r="L430" t="str">
        <v>Handle does not point to underlying &lt;TimeSeriesFromFile&gt; type.</v>
      </c>
      <c r="M430" t="str">
        <v>Handle does not point to underlying &lt;TimeSeriesFromFile&gt; type.</v>
      </c>
      <c r="N430" t="str">
        <v>Handle does not point to underlying &lt;TimeSeriesFromFile&gt; type.</v>
      </c>
      <c r="O430" t="e">
        <f t="shared" si="14"/>
        <v>#VALUE!</v>
      </c>
    </row>
    <row r="431" spans="9:15" x14ac:dyDescent="0.2">
      <c r="I431">
        <f t="shared" si="15"/>
        <v>392</v>
      </c>
      <c r="J431" t="str">
        <v>Handle does not point to underlying &lt;TimeSeriesFromFile&gt; type.</v>
      </c>
      <c r="K431" t="str">
        <v>Handle does not point to underlying &lt;TimeSeriesFromFile&gt; type.</v>
      </c>
      <c r="L431" t="str">
        <v>Handle does not point to underlying &lt;TimeSeriesFromFile&gt; type.</v>
      </c>
      <c r="M431" t="str">
        <v>Handle does not point to underlying &lt;TimeSeriesFromFile&gt; type.</v>
      </c>
      <c r="N431" t="str">
        <v>Handle does not point to underlying &lt;TimeSeriesFromFile&gt; type.</v>
      </c>
      <c r="O431" t="e">
        <f t="shared" si="14"/>
        <v>#VALUE!</v>
      </c>
    </row>
    <row r="432" spans="9:15" x14ac:dyDescent="0.2">
      <c r="I432">
        <f t="shared" si="15"/>
        <v>393</v>
      </c>
      <c r="J432" t="str">
        <v>Handle does not point to underlying &lt;TimeSeriesFromFile&gt; type.</v>
      </c>
      <c r="K432" t="str">
        <v>Handle does not point to underlying &lt;TimeSeriesFromFile&gt; type.</v>
      </c>
      <c r="L432" t="str">
        <v>Handle does not point to underlying &lt;TimeSeriesFromFile&gt; type.</v>
      </c>
      <c r="M432" t="str">
        <v>Handle does not point to underlying &lt;TimeSeriesFromFile&gt; type.</v>
      </c>
      <c r="N432" t="str">
        <v>Handle does not point to underlying &lt;TimeSeriesFromFile&gt; type.</v>
      </c>
      <c r="O432" t="e">
        <f t="shared" si="14"/>
        <v>#VALUE!</v>
      </c>
    </row>
    <row r="433" spans="9:15" x14ac:dyDescent="0.2">
      <c r="I433">
        <f t="shared" si="15"/>
        <v>394</v>
      </c>
      <c r="J433" t="str">
        <v>Handle does not point to underlying &lt;TimeSeriesFromFile&gt; type.</v>
      </c>
      <c r="K433" t="str">
        <v>Handle does not point to underlying &lt;TimeSeriesFromFile&gt; type.</v>
      </c>
      <c r="L433" t="str">
        <v>Handle does not point to underlying &lt;TimeSeriesFromFile&gt; type.</v>
      </c>
      <c r="M433" t="str">
        <v>Handle does not point to underlying &lt;TimeSeriesFromFile&gt; type.</v>
      </c>
      <c r="N433" t="str">
        <v>Handle does not point to underlying &lt;TimeSeriesFromFile&gt; type.</v>
      </c>
      <c r="O433" t="e">
        <f t="shared" si="14"/>
        <v>#VALUE!</v>
      </c>
    </row>
    <row r="434" spans="9:15" x14ac:dyDescent="0.2">
      <c r="I434">
        <f t="shared" si="15"/>
        <v>395</v>
      </c>
      <c r="J434" t="str">
        <v>Handle does not point to underlying &lt;TimeSeriesFromFile&gt; type.</v>
      </c>
      <c r="K434" t="str">
        <v>Handle does not point to underlying &lt;TimeSeriesFromFile&gt; type.</v>
      </c>
      <c r="L434" t="str">
        <v>Handle does not point to underlying &lt;TimeSeriesFromFile&gt; type.</v>
      </c>
      <c r="M434" t="str">
        <v>Handle does not point to underlying &lt;TimeSeriesFromFile&gt; type.</v>
      </c>
      <c r="N434" t="str">
        <v>Handle does not point to underlying &lt;TimeSeriesFromFile&gt; type.</v>
      </c>
      <c r="O434" t="e">
        <f t="shared" si="14"/>
        <v>#VALUE!</v>
      </c>
    </row>
    <row r="435" spans="9:15" x14ac:dyDescent="0.2">
      <c r="I435">
        <f t="shared" si="15"/>
        <v>396</v>
      </c>
      <c r="J435" t="str">
        <v>Handle does not point to underlying &lt;TimeSeriesFromFile&gt; type.</v>
      </c>
      <c r="K435" t="str">
        <v>Handle does not point to underlying &lt;TimeSeriesFromFile&gt; type.</v>
      </c>
      <c r="L435" t="str">
        <v>Handle does not point to underlying &lt;TimeSeriesFromFile&gt; type.</v>
      </c>
      <c r="M435" t="str">
        <v>Handle does not point to underlying &lt;TimeSeriesFromFile&gt; type.</v>
      </c>
      <c r="N435" t="str">
        <v>Handle does not point to underlying &lt;TimeSeriesFromFile&gt; type.</v>
      </c>
      <c r="O435" t="e">
        <f t="shared" si="14"/>
        <v>#VALUE!</v>
      </c>
    </row>
    <row r="436" spans="9:15" x14ac:dyDescent="0.2">
      <c r="I436">
        <f t="shared" si="15"/>
        <v>397</v>
      </c>
      <c r="J436" t="str">
        <v>Handle does not point to underlying &lt;TimeSeriesFromFile&gt; type.</v>
      </c>
      <c r="K436" t="str">
        <v>Handle does not point to underlying &lt;TimeSeriesFromFile&gt; type.</v>
      </c>
      <c r="L436" t="str">
        <v>Handle does not point to underlying &lt;TimeSeriesFromFile&gt; type.</v>
      </c>
      <c r="M436" t="str">
        <v>Handle does not point to underlying &lt;TimeSeriesFromFile&gt; type.</v>
      </c>
      <c r="N436" t="str">
        <v>Handle does not point to underlying &lt;TimeSeriesFromFile&gt; type.</v>
      </c>
      <c r="O436" t="e">
        <f t="shared" si="14"/>
        <v>#VALUE!</v>
      </c>
    </row>
    <row r="437" spans="9:15" x14ac:dyDescent="0.2">
      <c r="I437">
        <f t="shared" si="15"/>
        <v>398</v>
      </c>
      <c r="J437" t="str">
        <v>Handle does not point to underlying &lt;TimeSeriesFromFile&gt; type.</v>
      </c>
      <c r="K437" t="str">
        <v>Handle does not point to underlying &lt;TimeSeriesFromFile&gt; type.</v>
      </c>
      <c r="L437" t="str">
        <v>Handle does not point to underlying &lt;TimeSeriesFromFile&gt; type.</v>
      </c>
      <c r="M437" t="str">
        <v>Handle does not point to underlying &lt;TimeSeriesFromFile&gt; type.</v>
      </c>
      <c r="N437" t="str">
        <v>Handle does not point to underlying &lt;TimeSeriesFromFile&gt; type.</v>
      </c>
      <c r="O437" t="e">
        <f t="shared" si="14"/>
        <v>#VALUE!</v>
      </c>
    </row>
    <row r="438" spans="9:15" x14ac:dyDescent="0.2">
      <c r="I438">
        <f t="shared" si="15"/>
        <v>399</v>
      </c>
      <c r="J438" t="str">
        <v>Handle does not point to underlying &lt;TimeSeriesFromFile&gt; type.</v>
      </c>
      <c r="K438" t="str">
        <v>Handle does not point to underlying &lt;TimeSeriesFromFile&gt; type.</v>
      </c>
      <c r="L438" t="str">
        <v>Handle does not point to underlying &lt;TimeSeriesFromFile&gt; type.</v>
      </c>
      <c r="M438" t="str">
        <v>Handle does not point to underlying &lt;TimeSeriesFromFile&gt; type.</v>
      </c>
      <c r="N438" t="str">
        <v>Handle does not point to underlying &lt;TimeSeriesFromFile&gt; type.</v>
      </c>
      <c r="O438" t="e">
        <f t="shared" si="14"/>
        <v>#VALUE!</v>
      </c>
    </row>
    <row r="439" spans="9:15" x14ac:dyDescent="0.2">
      <c r="I439">
        <f t="shared" si="15"/>
        <v>400</v>
      </c>
      <c r="J439" t="str">
        <v>Handle does not point to underlying &lt;TimeSeriesFromFile&gt; type.</v>
      </c>
      <c r="K439" t="str">
        <v>Handle does not point to underlying &lt;TimeSeriesFromFile&gt; type.</v>
      </c>
      <c r="L439" t="str">
        <v>Handle does not point to underlying &lt;TimeSeriesFromFile&gt; type.</v>
      </c>
      <c r="M439" t="str">
        <v>Handle does not point to underlying &lt;TimeSeriesFromFile&gt; type.</v>
      </c>
      <c r="N439" t="str">
        <v>Handle does not point to underlying &lt;TimeSeriesFromFile&gt; type.</v>
      </c>
      <c r="O439" t="e">
        <f t="shared" si="14"/>
        <v>#VALUE!</v>
      </c>
    </row>
    <row r="440" spans="9:15" x14ac:dyDescent="0.2">
      <c r="I440">
        <f t="shared" si="15"/>
        <v>401</v>
      </c>
      <c r="J440" t="str">
        <v>Handle does not point to underlying &lt;TimeSeriesFromFile&gt; type.</v>
      </c>
      <c r="K440" t="str">
        <v>Handle does not point to underlying &lt;TimeSeriesFromFile&gt; type.</v>
      </c>
      <c r="L440" t="str">
        <v>Handle does not point to underlying &lt;TimeSeriesFromFile&gt; type.</v>
      </c>
      <c r="M440" t="str">
        <v>Handle does not point to underlying &lt;TimeSeriesFromFile&gt; type.</v>
      </c>
      <c r="N440" t="str">
        <v>Handle does not point to underlying &lt;TimeSeriesFromFile&gt; type.</v>
      </c>
      <c r="O440" t="e">
        <f t="shared" si="14"/>
        <v>#VALUE!</v>
      </c>
    </row>
    <row r="441" spans="9:15" x14ac:dyDescent="0.2">
      <c r="I441">
        <f t="shared" si="15"/>
        <v>402</v>
      </c>
      <c r="J441" t="str">
        <v>Handle does not point to underlying &lt;TimeSeriesFromFile&gt; type.</v>
      </c>
      <c r="K441" t="str">
        <v>Handle does not point to underlying &lt;TimeSeriesFromFile&gt; type.</v>
      </c>
      <c r="L441" t="str">
        <v>Handle does not point to underlying &lt;TimeSeriesFromFile&gt; type.</v>
      </c>
      <c r="M441" t="str">
        <v>Handle does not point to underlying &lt;TimeSeriesFromFile&gt; type.</v>
      </c>
      <c r="N441" t="str">
        <v>Handle does not point to underlying &lt;TimeSeriesFromFile&gt; type.</v>
      </c>
      <c r="O441" t="e">
        <f t="shared" si="14"/>
        <v>#VALUE!</v>
      </c>
    </row>
    <row r="442" spans="9:15" x14ac:dyDescent="0.2">
      <c r="I442">
        <f t="shared" si="15"/>
        <v>403</v>
      </c>
      <c r="J442" t="str">
        <v>Handle does not point to underlying &lt;TimeSeriesFromFile&gt; type.</v>
      </c>
      <c r="K442" t="str">
        <v>Handle does not point to underlying &lt;TimeSeriesFromFile&gt; type.</v>
      </c>
      <c r="L442" t="str">
        <v>Handle does not point to underlying &lt;TimeSeriesFromFile&gt; type.</v>
      </c>
      <c r="M442" t="str">
        <v>Handle does not point to underlying &lt;TimeSeriesFromFile&gt; type.</v>
      </c>
      <c r="N442" t="str">
        <v>Handle does not point to underlying &lt;TimeSeriesFromFile&gt; type.</v>
      </c>
      <c r="O442" t="e">
        <f t="shared" si="14"/>
        <v>#VALUE!</v>
      </c>
    </row>
    <row r="443" spans="9:15" x14ac:dyDescent="0.2">
      <c r="I443">
        <f t="shared" si="15"/>
        <v>404</v>
      </c>
      <c r="J443" t="str">
        <v>Handle does not point to underlying &lt;TimeSeriesFromFile&gt; type.</v>
      </c>
      <c r="K443" t="str">
        <v>Handle does not point to underlying &lt;TimeSeriesFromFile&gt; type.</v>
      </c>
      <c r="L443" t="str">
        <v>Handle does not point to underlying &lt;TimeSeriesFromFile&gt; type.</v>
      </c>
      <c r="M443" t="str">
        <v>Handle does not point to underlying &lt;TimeSeriesFromFile&gt; type.</v>
      </c>
      <c r="N443" t="str">
        <v>Handle does not point to underlying &lt;TimeSeriesFromFile&gt; type.</v>
      </c>
      <c r="O443" t="e">
        <f t="shared" si="14"/>
        <v>#VALUE!</v>
      </c>
    </row>
    <row r="444" spans="9:15" x14ac:dyDescent="0.2">
      <c r="I444">
        <f t="shared" si="15"/>
        <v>405</v>
      </c>
      <c r="J444" t="str">
        <v>Handle does not point to underlying &lt;TimeSeriesFromFile&gt; type.</v>
      </c>
      <c r="K444" t="str">
        <v>Handle does not point to underlying &lt;TimeSeriesFromFile&gt; type.</v>
      </c>
      <c r="L444" t="str">
        <v>Handle does not point to underlying &lt;TimeSeriesFromFile&gt; type.</v>
      </c>
      <c r="M444" t="str">
        <v>Handle does not point to underlying &lt;TimeSeriesFromFile&gt; type.</v>
      </c>
      <c r="N444" t="str">
        <v>Handle does not point to underlying &lt;TimeSeriesFromFile&gt; type.</v>
      </c>
      <c r="O444" t="e">
        <f t="shared" si="14"/>
        <v>#VALUE!</v>
      </c>
    </row>
    <row r="445" spans="9:15" x14ac:dyDescent="0.2">
      <c r="I445">
        <f t="shared" si="15"/>
        <v>406</v>
      </c>
      <c r="J445" t="str">
        <v>Handle does not point to underlying &lt;TimeSeriesFromFile&gt; type.</v>
      </c>
      <c r="K445" t="str">
        <v>Handle does not point to underlying &lt;TimeSeriesFromFile&gt; type.</v>
      </c>
      <c r="L445" t="str">
        <v>Handle does not point to underlying &lt;TimeSeriesFromFile&gt; type.</v>
      </c>
      <c r="M445" t="str">
        <v>Handle does not point to underlying &lt;TimeSeriesFromFile&gt; type.</v>
      </c>
      <c r="N445" t="str">
        <v>Handle does not point to underlying &lt;TimeSeriesFromFile&gt; type.</v>
      </c>
      <c r="O445" t="e">
        <f t="shared" si="14"/>
        <v>#VALUE!</v>
      </c>
    </row>
    <row r="446" spans="9:15" x14ac:dyDescent="0.2">
      <c r="I446">
        <f t="shared" si="15"/>
        <v>407</v>
      </c>
      <c r="J446" t="str">
        <v>Handle does not point to underlying &lt;TimeSeriesFromFile&gt; type.</v>
      </c>
      <c r="K446" t="str">
        <v>Handle does not point to underlying &lt;TimeSeriesFromFile&gt; type.</v>
      </c>
      <c r="L446" t="str">
        <v>Handle does not point to underlying &lt;TimeSeriesFromFile&gt; type.</v>
      </c>
      <c r="M446" t="str">
        <v>Handle does not point to underlying &lt;TimeSeriesFromFile&gt; type.</v>
      </c>
      <c r="N446" t="str">
        <v>Handle does not point to underlying &lt;TimeSeriesFromFile&gt; type.</v>
      </c>
      <c r="O446" t="e">
        <f t="shared" si="14"/>
        <v>#VALUE!</v>
      </c>
    </row>
    <row r="447" spans="9:15" x14ac:dyDescent="0.2">
      <c r="I447">
        <f t="shared" si="15"/>
        <v>408</v>
      </c>
      <c r="J447" t="str">
        <v>Handle does not point to underlying &lt;TimeSeriesFromFile&gt; type.</v>
      </c>
      <c r="K447" t="str">
        <v>Handle does not point to underlying &lt;TimeSeriesFromFile&gt; type.</v>
      </c>
      <c r="L447" t="str">
        <v>Handle does not point to underlying &lt;TimeSeriesFromFile&gt; type.</v>
      </c>
      <c r="M447" t="str">
        <v>Handle does not point to underlying &lt;TimeSeriesFromFile&gt; type.</v>
      </c>
      <c r="N447" t="str">
        <v>Handle does not point to underlying &lt;TimeSeriesFromFile&gt; type.</v>
      </c>
      <c r="O447" t="e">
        <f t="shared" si="14"/>
        <v>#VALUE!</v>
      </c>
    </row>
    <row r="448" spans="9:15" x14ac:dyDescent="0.2">
      <c r="I448">
        <f t="shared" si="15"/>
        <v>409</v>
      </c>
      <c r="J448" t="str">
        <v>Handle does not point to underlying &lt;TimeSeriesFromFile&gt; type.</v>
      </c>
      <c r="K448" t="str">
        <v>Handle does not point to underlying &lt;TimeSeriesFromFile&gt; type.</v>
      </c>
      <c r="L448" t="str">
        <v>Handle does not point to underlying &lt;TimeSeriesFromFile&gt; type.</v>
      </c>
      <c r="M448" t="str">
        <v>Handle does not point to underlying &lt;TimeSeriesFromFile&gt; type.</v>
      </c>
      <c r="N448" t="str">
        <v>Handle does not point to underlying &lt;TimeSeriesFromFile&gt; type.</v>
      </c>
      <c r="O448" t="e">
        <f t="shared" si="14"/>
        <v>#VALUE!</v>
      </c>
    </row>
    <row r="449" spans="9:15" x14ac:dyDescent="0.2">
      <c r="I449">
        <f t="shared" si="15"/>
        <v>410</v>
      </c>
      <c r="J449" t="str">
        <v>Handle does not point to underlying &lt;TimeSeriesFromFile&gt; type.</v>
      </c>
      <c r="K449" t="str">
        <v>Handle does not point to underlying &lt;TimeSeriesFromFile&gt; type.</v>
      </c>
      <c r="L449" t="str">
        <v>Handle does not point to underlying &lt;TimeSeriesFromFile&gt; type.</v>
      </c>
      <c r="M449" t="str">
        <v>Handle does not point to underlying &lt;TimeSeriesFromFile&gt; type.</v>
      </c>
      <c r="N449" t="str">
        <v>Handle does not point to underlying &lt;TimeSeriesFromFile&gt; type.</v>
      </c>
      <c r="O449" t="e">
        <f t="shared" si="14"/>
        <v>#VALUE!</v>
      </c>
    </row>
    <row r="450" spans="9:15" x14ac:dyDescent="0.2">
      <c r="I450">
        <f t="shared" si="15"/>
        <v>411</v>
      </c>
      <c r="J450" t="str">
        <v>Handle does not point to underlying &lt;TimeSeriesFromFile&gt; type.</v>
      </c>
      <c r="K450" t="str">
        <v>Handle does not point to underlying &lt;TimeSeriesFromFile&gt; type.</v>
      </c>
      <c r="L450" t="str">
        <v>Handle does not point to underlying &lt;TimeSeriesFromFile&gt; type.</v>
      </c>
      <c r="M450" t="str">
        <v>Handle does not point to underlying &lt;TimeSeriesFromFile&gt; type.</v>
      </c>
      <c r="N450" t="str">
        <v>Handle does not point to underlying &lt;TimeSeriesFromFile&gt; type.</v>
      </c>
      <c r="O450" t="e">
        <f t="shared" si="14"/>
        <v>#VALUE!</v>
      </c>
    </row>
    <row r="451" spans="9:15" x14ac:dyDescent="0.2">
      <c r="I451">
        <f t="shared" si="15"/>
        <v>412</v>
      </c>
      <c r="J451" t="str">
        <v>Handle does not point to underlying &lt;TimeSeriesFromFile&gt; type.</v>
      </c>
      <c r="K451" t="str">
        <v>Handle does not point to underlying &lt;TimeSeriesFromFile&gt; type.</v>
      </c>
      <c r="L451" t="str">
        <v>Handle does not point to underlying &lt;TimeSeriesFromFile&gt; type.</v>
      </c>
      <c r="M451" t="str">
        <v>Handle does not point to underlying &lt;TimeSeriesFromFile&gt; type.</v>
      </c>
      <c r="N451" t="str">
        <v>Handle does not point to underlying &lt;TimeSeriesFromFile&gt; type.</v>
      </c>
      <c r="O451" t="e">
        <f t="shared" si="14"/>
        <v>#VALUE!</v>
      </c>
    </row>
    <row r="452" spans="9:15" x14ac:dyDescent="0.2">
      <c r="I452">
        <f t="shared" si="15"/>
        <v>413</v>
      </c>
      <c r="J452" t="str">
        <v>Handle does not point to underlying &lt;TimeSeriesFromFile&gt; type.</v>
      </c>
      <c r="K452" t="str">
        <v>Handle does not point to underlying &lt;TimeSeriesFromFile&gt; type.</v>
      </c>
      <c r="L452" t="str">
        <v>Handle does not point to underlying &lt;TimeSeriesFromFile&gt; type.</v>
      </c>
      <c r="M452" t="str">
        <v>Handle does not point to underlying &lt;TimeSeriesFromFile&gt; type.</v>
      </c>
      <c r="N452" t="str">
        <v>Handle does not point to underlying &lt;TimeSeriesFromFile&gt; type.</v>
      </c>
      <c r="O452" t="e">
        <f t="shared" si="14"/>
        <v>#VALUE!</v>
      </c>
    </row>
    <row r="453" spans="9:15" x14ac:dyDescent="0.2">
      <c r="I453">
        <f t="shared" si="15"/>
        <v>414</v>
      </c>
      <c r="J453" t="str">
        <v>Handle does not point to underlying &lt;TimeSeriesFromFile&gt; type.</v>
      </c>
      <c r="K453" t="str">
        <v>Handle does not point to underlying &lt;TimeSeriesFromFile&gt; type.</v>
      </c>
      <c r="L453" t="str">
        <v>Handle does not point to underlying &lt;TimeSeriesFromFile&gt; type.</v>
      </c>
      <c r="M453" t="str">
        <v>Handle does not point to underlying &lt;TimeSeriesFromFile&gt; type.</v>
      </c>
      <c r="N453" t="str">
        <v>Handle does not point to underlying &lt;TimeSeriesFromFile&gt; type.</v>
      </c>
      <c r="O453" t="e">
        <f t="shared" si="14"/>
        <v>#VALUE!</v>
      </c>
    </row>
    <row r="454" spans="9:15" x14ac:dyDescent="0.2">
      <c r="I454">
        <f t="shared" si="15"/>
        <v>415</v>
      </c>
      <c r="J454" t="str">
        <v>Handle does not point to underlying &lt;TimeSeriesFromFile&gt; type.</v>
      </c>
      <c r="K454" t="str">
        <v>Handle does not point to underlying &lt;TimeSeriesFromFile&gt; type.</v>
      </c>
      <c r="L454" t="str">
        <v>Handle does not point to underlying &lt;TimeSeriesFromFile&gt; type.</v>
      </c>
      <c r="M454" t="str">
        <v>Handle does not point to underlying &lt;TimeSeriesFromFile&gt; type.</v>
      </c>
      <c r="N454" t="str">
        <v>Handle does not point to underlying &lt;TimeSeriesFromFile&gt; type.</v>
      </c>
      <c r="O454" t="e">
        <f t="shared" si="14"/>
        <v>#VALUE!</v>
      </c>
    </row>
    <row r="455" spans="9:15" x14ac:dyDescent="0.2">
      <c r="I455">
        <f t="shared" si="15"/>
        <v>416</v>
      </c>
      <c r="J455" t="str">
        <v>Handle does not point to underlying &lt;TimeSeriesFromFile&gt; type.</v>
      </c>
      <c r="K455" t="str">
        <v>Handle does not point to underlying &lt;TimeSeriesFromFile&gt; type.</v>
      </c>
      <c r="L455" t="str">
        <v>Handle does not point to underlying &lt;TimeSeriesFromFile&gt; type.</v>
      </c>
      <c r="M455" t="str">
        <v>Handle does not point to underlying &lt;TimeSeriesFromFile&gt; type.</v>
      </c>
      <c r="N455" t="str">
        <v>Handle does not point to underlying &lt;TimeSeriesFromFile&gt; type.</v>
      </c>
      <c r="O455" t="e">
        <f t="shared" si="14"/>
        <v>#VALUE!</v>
      </c>
    </row>
    <row r="456" spans="9:15" x14ac:dyDescent="0.2">
      <c r="I456">
        <f t="shared" si="15"/>
        <v>417</v>
      </c>
      <c r="J456" t="str">
        <v>Handle does not point to underlying &lt;TimeSeriesFromFile&gt; type.</v>
      </c>
      <c r="K456" t="str">
        <v>Handle does not point to underlying &lt;TimeSeriesFromFile&gt; type.</v>
      </c>
      <c r="L456" t="str">
        <v>Handle does not point to underlying &lt;TimeSeriesFromFile&gt; type.</v>
      </c>
      <c r="M456" t="str">
        <v>Handle does not point to underlying &lt;TimeSeriesFromFile&gt; type.</v>
      </c>
      <c r="N456" t="str">
        <v>Handle does not point to underlying &lt;TimeSeriesFromFile&gt; type.</v>
      </c>
      <c r="O456" t="e">
        <f t="shared" si="14"/>
        <v>#VALUE!</v>
      </c>
    </row>
    <row r="457" spans="9:15" x14ac:dyDescent="0.2">
      <c r="I457">
        <f t="shared" si="15"/>
        <v>418</v>
      </c>
      <c r="J457" t="str">
        <v>Handle does not point to underlying &lt;TimeSeriesFromFile&gt; type.</v>
      </c>
      <c r="K457" t="str">
        <v>Handle does not point to underlying &lt;TimeSeriesFromFile&gt; type.</v>
      </c>
      <c r="L457" t="str">
        <v>Handle does not point to underlying &lt;TimeSeriesFromFile&gt; type.</v>
      </c>
      <c r="M457" t="str">
        <v>Handle does not point to underlying &lt;TimeSeriesFromFile&gt; type.</v>
      </c>
      <c r="N457" t="str">
        <v>Handle does not point to underlying &lt;TimeSeriesFromFile&gt; type.</v>
      </c>
      <c r="O457" t="e">
        <f t="shared" si="14"/>
        <v>#VALUE!</v>
      </c>
    </row>
    <row r="458" spans="9:15" x14ac:dyDescent="0.2">
      <c r="I458">
        <f t="shared" si="15"/>
        <v>419</v>
      </c>
      <c r="J458" t="str">
        <v>Handle does not point to underlying &lt;TimeSeriesFromFile&gt; type.</v>
      </c>
      <c r="K458" t="str">
        <v>Handle does not point to underlying &lt;TimeSeriesFromFile&gt; type.</v>
      </c>
      <c r="L458" t="str">
        <v>Handle does not point to underlying &lt;TimeSeriesFromFile&gt; type.</v>
      </c>
      <c r="M458" t="str">
        <v>Handle does not point to underlying &lt;TimeSeriesFromFile&gt; type.</v>
      </c>
      <c r="N458" t="str">
        <v>Handle does not point to underlying &lt;TimeSeriesFromFile&gt; type.</v>
      </c>
      <c r="O458" t="e">
        <f t="shared" si="14"/>
        <v>#VALUE!</v>
      </c>
    </row>
    <row r="459" spans="9:15" x14ac:dyDescent="0.2">
      <c r="I459">
        <f t="shared" si="15"/>
        <v>420</v>
      </c>
      <c r="J459" t="str">
        <v>Handle does not point to underlying &lt;TimeSeriesFromFile&gt; type.</v>
      </c>
      <c r="K459" t="str">
        <v>Handle does not point to underlying &lt;TimeSeriesFromFile&gt; type.</v>
      </c>
      <c r="L459" t="str">
        <v>Handle does not point to underlying &lt;TimeSeriesFromFile&gt; type.</v>
      </c>
      <c r="M459" t="str">
        <v>Handle does not point to underlying &lt;TimeSeriesFromFile&gt; type.</v>
      </c>
      <c r="N459" t="str">
        <v>Handle does not point to underlying &lt;TimeSeriesFromFile&gt; type.</v>
      </c>
      <c r="O459" t="e">
        <f t="shared" si="14"/>
        <v>#VALUE!</v>
      </c>
    </row>
    <row r="460" spans="9:15" x14ac:dyDescent="0.2">
      <c r="I460">
        <f t="shared" si="15"/>
        <v>421</v>
      </c>
      <c r="J460" t="str">
        <v>Handle does not point to underlying &lt;TimeSeriesFromFile&gt; type.</v>
      </c>
      <c r="K460" t="str">
        <v>Handle does not point to underlying &lt;TimeSeriesFromFile&gt; type.</v>
      </c>
      <c r="L460" t="str">
        <v>Handle does not point to underlying &lt;TimeSeriesFromFile&gt; type.</v>
      </c>
      <c r="M460" t="str">
        <v>Handle does not point to underlying &lt;TimeSeriesFromFile&gt; type.</v>
      </c>
      <c r="N460" t="str">
        <v>Handle does not point to underlying &lt;TimeSeriesFromFile&gt; type.</v>
      </c>
      <c r="O460" t="e">
        <f t="shared" si="14"/>
        <v>#VALUE!</v>
      </c>
    </row>
    <row r="461" spans="9:15" x14ac:dyDescent="0.2">
      <c r="I461">
        <f t="shared" si="15"/>
        <v>422</v>
      </c>
      <c r="J461" t="str">
        <v>Handle does not point to underlying &lt;TimeSeriesFromFile&gt; type.</v>
      </c>
      <c r="K461" t="str">
        <v>Handle does not point to underlying &lt;TimeSeriesFromFile&gt; type.</v>
      </c>
      <c r="L461" t="str">
        <v>Handle does not point to underlying &lt;TimeSeriesFromFile&gt; type.</v>
      </c>
      <c r="M461" t="str">
        <v>Handle does not point to underlying &lt;TimeSeriesFromFile&gt; type.</v>
      </c>
      <c r="N461" t="str">
        <v>Handle does not point to underlying &lt;TimeSeriesFromFile&gt; type.</v>
      </c>
      <c r="O461" t="e">
        <f t="shared" si="14"/>
        <v>#VALUE!</v>
      </c>
    </row>
    <row r="462" spans="9:15" x14ac:dyDescent="0.2">
      <c r="I462">
        <f t="shared" si="15"/>
        <v>423</v>
      </c>
      <c r="J462" t="str">
        <v>Handle does not point to underlying &lt;TimeSeriesFromFile&gt; type.</v>
      </c>
      <c r="K462" t="str">
        <v>Handle does not point to underlying &lt;TimeSeriesFromFile&gt; type.</v>
      </c>
      <c r="L462" t="str">
        <v>Handle does not point to underlying &lt;TimeSeriesFromFile&gt; type.</v>
      </c>
      <c r="M462" t="str">
        <v>Handle does not point to underlying &lt;TimeSeriesFromFile&gt; type.</v>
      </c>
      <c r="N462" t="str">
        <v>Handle does not point to underlying &lt;TimeSeriesFromFile&gt; type.</v>
      </c>
      <c r="O462" t="e">
        <f t="shared" si="14"/>
        <v>#VALUE!</v>
      </c>
    </row>
    <row r="463" spans="9:15" x14ac:dyDescent="0.2">
      <c r="I463">
        <f t="shared" si="15"/>
        <v>424</v>
      </c>
      <c r="J463" t="str">
        <v>Handle does not point to underlying &lt;TimeSeriesFromFile&gt; type.</v>
      </c>
      <c r="K463" t="str">
        <v>Handle does not point to underlying &lt;TimeSeriesFromFile&gt; type.</v>
      </c>
      <c r="L463" t="str">
        <v>Handle does not point to underlying &lt;TimeSeriesFromFile&gt; type.</v>
      </c>
      <c r="M463" t="str">
        <v>Handle does not point to underlying &lt;TimeSeriesFromFile&gt; type.</v>
      </c>
      <c r="N463" t="str">
        <v>Handle does not point to underlying &lt;TimeSeriesFromFile&gt; type.</v>
      </c>
      <c r="O463" t="e">
        <f t="shared" si="14"/>
        <v>#VALUE!</v>
      </c>
    </row>
    <row r="464" spans="9:15" x14ac:dyDescent="0.2">
      <c r="I464">
        <f t="shared" si="15"/>
        <v>425</v>
      </c>
      <c r="J464" t="str">
        <v>Handle does not point to underlying &lt;TimeSeriesFromFile&gt; type.</v>
      </c>
      <c r="K464" t="str">
        <v>Handle does not point to underlying &lt;TimeSeriesFromFile&gt; type.</v>
      </c>
      <c r="L464" t="str">
        <v>Handle does not point to underlying &lt;TimeSeriesFromFile&gt; type.</v>
      </c>
      <c r="M464" t="str">
        <v>Handle does not point to underlying &lt;TimeSeriesFromFile&gt; type.</v>
      </c>
      <c r="N464" t="str">
        <v>Handle does not point to underlying &lt;TimeSeriesFromFile&gt; type.</v>
      </c>
      <c r="O464" t="e">
        <f t="shared" si="14"/>
        <v>#VALUE!</v>
      </c>
    </row>
    <row r="465" spans="9:15" x14ac:dyDescent="0.2">
      <c r="I465">
        <f t="shared" si="15"/>
        <v>426</v>
      </c>
      <c r="J465" t="str">
        <v>Handle does not point to underlying &lt;TimeSeriesFromFile&gt; type.</v>
      </c>
      <c r="K465" t="str">
        <v>Handle does not point to underlying &lt;TimeSeriesFromFile&gt; type.</v>
      </c>
      <c r="L465" t="str">
        <v>Handle does not point to underlying &lt;TimeSeriesFromFile&gt; type.</v>
      </c>
      <c r="M465" t="str">
        <v>Handle does not point to underlying &lt;TimeSeriesFromFile&gt; type.</v>
      </c>
      <c r="N465" t="str">
        <v>Handle does not point to underlying &lt;TimeSeriesFromFile&gt; type.</v>
      </c>
      <c r="O465" t="e">
        <f t="shared" si="14"/>
        <v>#VALUE!</v>
      </c>
    </row>
    <row r="466" spans="9:15" x14ac:dyDescent="0.2">
      <c r="I466">
        <f t="shared" si="15"/>
        <v>427</v>
      </c>
      <c r="J466" t="str">
        <v>Handle does not point to underlying &lt;TimeSeriesFromFile&gt; type.</v>
      </c>
      <c r="K466" t="str">
        <v>Handle does not point to underlying &lt;TimeSeriesFromFile&gt; type.</v>
      </c>
      <c r="L466" t="str">
        <v>Handle does not point to underlying &lt;TimeSeriesFromFile&gt; type.</v>
      </c>
      <c r="M466" t="str">
        <v>Handle does not point to underlying &lt;TimeSeriesFromFile&gt; type.</v>
      </c>
      <c r="N466" t="str">
        <v>Handle does not point to underlying &lt;TimeSeriesFromFile&gt; type.</v>
      </c>
      <c r="O466" t="e">
        <f t="shared" si="14"/>
        <v>#VALUE!</v>
      </c>
    </row>
    <row r="467" spans="9:15" x14ac:dyDescent="0.2">
      <c r="I467">
        <f t="shared" si="15"/>
        <v>428</v>
      </c>
      <c r="J467" t="str">
        <v>Handle does not point to underlying &lt;TimeSeriesFromFile&gt; type.</v>
      </c>
      <c r="K467" t="str">
        <v>Handle does not point to underlying &lt;TimeSeriesFromFile&gt; type.</v>
      </c>
      <c r="L467" t="str">
        <v>Handle does not point to underlying &lt;TimeSeriesFromFile&gt; type.</v>
      </c>
      <c r="M467" t="str">
        <v>Handle does not point to underlying &lt;TimeSeriesFromFile&gt; type.</v>
      </c>
      <c r="N467" t="str">
        <v>Handle does not point to underlying &lt;TimeSeriesFromFile&gt; type.</v>
      </c>
      <c r="O467" t="e">
        <f t="shared" si="14"/>
        <v>#VALUE!</v>
      </c>
    </row>
    <row r="468" spans="9:15" x14ac:dyDescent="0.2">
      <c r="I468">
        <f t="shared" si="15"/>
        <v>429</v>
      </c>
      <c r="J468" t="str">
        <v>Handle does not point to underlying &lt;TimeSeriesFromFile&gt; type.</v>
      </c>
      <c r="K468" t="str">
        <v>Handle does not point to underlying &lt;TimeSeriesFromFile&gt; type.</v>
      </c>
      <c r="L468" t="str">
        <v>Handle does not point to underlying &lt;TimeSeriesFromFile&gt; type.</v>
      </c>
      <c r="M468" t="str">
        <v>Handle does not point to underlying &lt;TimeSeriesFromFile&gt; type.</v>
      </c>
      <c r="N468" t="str">
        <v>Handle does not point to underlying &lt;TimeSeriesFromFile&gt; type.</v>
      </c>
      <c r="O468" t="e">
        <f t="shared" si="14"/>
        <v>#VALUE!</v>
      </c>
    </row>
    <row r="469" spans="9:15" x14ac:dyDescent="0.2">
      <c r="I469">
        <f t="shared" si="15"/>
        <v>430</v>
      </c>
      <c r="J469" t="str">
        <v>Handle does not point to underlying &lt;TimeSeriesFromFile&gt; type.</v>
      </c>
      <c r="K469" t="str">
        <v>Handle does not point to underlying &lt;TimeSeriesFromFile&gt; type.</v>
      </c>
      <c r="L469" t="str">
        <v>Handle does not point to underlying &lt;TimeSeriesFromFile&gt; type.</v>
      </c>
      <c r="M469" t="str">
        <v>Handle does not point to underlying &lt;TimeSeriesFromFile&gt; type.</v>
      </c>
      <c r="N469" t="str">
        <v>Handle does not point to underlying &lt;TimeSeriesFromFile&gt; type.</v>
      </c>
      <c r="O469" t="e">
        <f t="shared" si="14"/>
        <v>#VALUE!</v>
      </c>
    </row>
    <row r="470" spans="9:15" x14ac:dyDescent="0.2">
      <c r="I470">
        <f t="shared" si="15"/>
        <v>431</v>
      </c>
      <c r="J470" t="str">
        <v>Handle does not point to underlying &lt;TimeSeriesFromFile&gt; type.</v>
      </c>
      <c r="K470" t="str">
        <v>Handle does not point to underlying &lt;TimeSeriesFromFile&gt; type.</v>
      </c>
      <c r="L470" t="str">
        <v>Handle does not point to underlying &lt;TimeSeriesFromFile&gt; type.</v>
      </c>
      <c r="M470" t="str">
        <v>Handle does not point to underlying &lt;TimeSeriesFromFile&gt; type.</v>
      </c>
      <c r="N470" t="str">
        <v>Handle does not point to underlying &lt;TimeSeriesFromFile&gt; type.</v>
      </c>
      <c r="O470" t="e">
        <f t="shared" si="14"/>
        <v>#VALUE!</v>
      </c>
    </row>
    <row r="471" spans="9:15" x14ac:dyDescent="0.2">
      <c r="I471">
        <f t="shared" si="15"/>
        <v>432</v>
      </c>
      <c r="J471" t="str">
        <v>Handle does not point to underlying &lt;TimeSeriesFromFile&gt; type.</v>
      </c>
      <c r="K471" t="str">
        <v>Handle does not point to underlying &lt;TimeSeriesFromFile&gt; type.</v>
      </c>
      <c r="L471" t="str">
        <v>Handle does not point to underlying &lt;TimeSeriesFromFile&gt; type.</v>
      </c>
      <c r="M471" t="str">
        <v>Handle does not point to underlying &lt;TimeSeriesFromFile&gt; type.</v>
      </c>
      <c r="N471" t="str">
        <v>Handle does not point to underlying &lt;TimeSeriesFromFile&gt; type.</v>
      </c>
      <c r="O471" t="e">
        <f t="shared" si="14"/>
        <v>#VALUE!</v>
      </c>
    </row>
    <row r="472" spans="9:15" x14ac:dyDescent="0.2">
      <c r="I472">
        <f t="shared" si="15"/>
        <v>433</v>
      </c>
      <c r="J472" t="str">
        <v>Handle does not point to underlying &lt;TimeSeriesFromFile&gt; type.</v>
      </c>
      <c r="K472" t="str">
        <v>Handle does not point to underlying &lt;TimeSeriesFromFile&gt; type.</v>
      </c>
      <c r="L472" t="str">
        <v>Handle does not point to underlying &lt;TimeSeriesFromFile&gt; type.</v>
      </c>
      <c r="M472" t="str">
        <v>Handle does not point to underlying &lt;TimeSeriesFromFile&gt; type.</v>
      </c>
      <c r="N472" t="str">
        <v>Handle does not point to underlying &lt;TimeSeriesFromFile&gt; type.</v>
      </c>
      <c r="O472" t="e">
        <f t="shared" si="14"/>
        <v>#VALUE!</v>
      </c>
    </row>
    <row r="473" spans="9:15" x14ac:dyDescent="0.2">
      <c r="I473">
        <f t="shared" si="15"/>
        <v>434</v>
      </c>
      <c r="J473" t="str">
        <v>Handle does not point to underlying &lt;TimeSeriesFromFile&gt; type.</v>
      </c>
      <c r="K473" t="str">
        <v>Handle does not point to underlying &lt;TimeSeriesFromFile&gt; type.</v>
      </c>
      <c r="L473" t="str">
        <v>Handle does not point to underlying &lt;TimeSeriesFromFile&gt; type.</v>
      </c>
      <c r="M473" t="str">
        <v>Handle does not point to underlying &lt;TimeSeriesFromFile&gt; type.</v>
      </c>
      <c r="N473" t="str">
        <v>Handle does not point to underlying &lt;TimeSeriesFromFile&gt; type.</v>
      </c>
      <c r="O473" t="e">
        <f t="shared" si="14"/>
        <v>#VALUE!</v>
      </c>
    </row>
    <row r="474" spans="9:15" x14ac:dyDescent="0.2">
      <c r="I474">
        <f t="shared" si="15"/>
        <v>435</v>
      </c>
      <c r="J474" t="str">
        <v>Handle does not point to underlying &lt;TimeSeriesFromFile&gt; type.</v>
      </c>
      <c r="K474" t="str">
        <v>Handle does not point to underlying &lt;TimeSeriesFromFile&gt; type.</v>
      </c>
      <c r="L474" t="str">
        <v>Handle does not point to underlying &lt;TimeSeriesFromFile&gt; type.</v>
      </c>
      <c r="M474" t="str">
        <v>Handle does not point to underlying &lt;TimeSeriesFromFile&gt; type.</v>
      </c>
      <c r="N474" t="str">
        <v>Handle does not point to underlying &lt;TimeSeriesFromFile&gt; type.</v>
      </c>
      <c r="O474" t="e">
        <f t="shared" si="14"/>
        <v>#VALUE!</v>
      </c>
    </row>
    <row r="475" spans="9:15" x14ac:dyDescent="0.2">
      <c r="I475">
        <f t="shared" si="15"/>
        <v>436</v>
      </c>
      <c r="J475" t="str">
        <v>Handle does not point to underlying &lt;TimeSeriesFromFile&gt; type.</v>
      </c>
      <c r="K475" t="str">
        <v>Handle does not point to underlying &lt;TimeSeriesFromFile&gt; type.</v>
      </c>
      <c r="L475" t="str">
        <v>Handle does not point to underlying &lt;TimeSeriesFromFile&gt; type.</v>
      </c>
      <c r="M475" t="str">
        <v>Handle does not point to underlying &lt;TimeSeriesFromFile&gt; type.</v>
      </c>
      <c r="N475" t="str">
        <v>Handle does not point to underlying &lt;TimeSeriesFromFile&gt; type.</v>
      </c>
      <c r="O475" t="e">
        <f t="shared" si="14"/>
        <v>#VALUE!</v>
      </c>
    </row>
    <row r="476" spans="9:15" x14ac:dyDescent="0.2">
      <c r="I476">
        <f t="shared" si="15"/>
        <v>437</v>
      </c>
      <c r="J476" t="str">
        <v>Handle does not point to underlying &lt;TimeSeriesFromFile&gt; type.</v>
      </c>
      <c r="K476" t="str">
        <v>Handle does not point to underlying &lt;TimeSeriesFromFile&gt; type.</v>
      </c>
      <c r="L476" t="str">
        <v>Handle does not point to underlying &lt;TimeSeriesFromFile&gt; type.</v>
      </c>
      <c r="M476" t="str">
        <v>Handle does not point to underlying &lt;TimeSeriesFromFile&gt; type.</v>
      </c>
      <c r="N476" t="str">
        <v>Handle does not point to underlying &lt;TimeSeriesFromFile&gt; type.</v>
      </c>
      <c r="O476" t="e">
        <f t="shared" si="14"/>
        <v>#VALUE!</v>
      </c>
    </row>
    <row r="477" spans="9:15" x14ac:dyDescent="0.2">
      <c r="I477">
        <f t="shared" si="15"/>
        <v>438</v>
      </c>
      <c r="J477" t="str">
        <v>Handle does not point to underlying &lt;TimeSeriesFromFile&gt; type.</v>
      </c>
      <c r="K477" t="str">
        <v>Handle does not point to underlying &lt;TimeSeriesFromFile&gt; type.</v>
      </c>
      <c r="L477" t="str">
        <v>Handle does not point to underlying &lt;TimeSeriesFromFile&gt; type.</v>
      </c>
      <c r="M477" t="str">
        <v>Handle does not point to underlying &lt;TimeSeriesFromFile&gt; type.</v>
      </c>
      <c r="N477" t="str">
        <v>Handle does not point to underlying &lt;TimeSeriesFromFile&gt; type.</v>
      </c>
      <c r="O477" t="e">
        <f t="shared" si="14"/>
        <v>#VALUE!</v>
      </c>
    </row>
    <row r="478" spans="9:15" x14ac:dyDescent="0.2">
      <c r="I478">
        <f t="shared" si="15"/>
        <v>439</v>
      </c>
      <c r="J478" t="str">
        <v>Handle does not point to underlying &lt;TimeSeriesFromFile&gt; type.</v>
      </c>
      <c r="K478" t="str">
        <v>Handle does not point to underlying &lt;TimeSeriesFromFile&gt; type.</v>
      </c>
      <c r="L478" t="str">
        <v>Handle does not point to underlying &lt;TimeSeriesFromFile&gt; type.</v>
      </c>
      <c r="M478" t="str">
        <v>Handle does not point to underlying &lt;TimeSeriesFromFile&gt; type.</v>
      </c>
      <c r="N478" t="str">
        <v>Handle does not point to underlying &lt;TimeSeriesFromFile&gt; type.</v>
      </c>
      <c r="O478" t="e">
        <f t="shared" si="14"/>
        <v>#VALUE!</v>
      </c>
    </row>
    <row r="479" spans="9:15" x14ac:dyDescent="0.2">
      <c r="I479">
        <f t="shared" si="15"/>
        <v>440</v>
      </c>
      <c r="J479" t="str">
        <v>Handle does not point to underlying &lt;TimeSeriesFromFile&gt; type.</v>
      </c>
      <c r="K479" t="str">
        <v>Handle does not point to underlying &lt;TimeSeriesFromFile&gt; type.</v>
      </c>
      <c r="L479" t="str">
        <v>Handle does not point to underlying &lt;TimeSeriesFromFile&gt; type.</v>
      </c>
      <c r="M479" t="str">
        <v>Handle does not point to underlying &lt;TimeSeriesFromFile&gt; type.</v>
      </c>
      <c r="N479" t="str">
        <v>Handle does not point to underlying &lt;TimeSeriesFromFile&gt; type.</v>
      </c>
      <c r="O479" t="e">
        <f t="shared" si="14"/>
        <v>#VALUE!</v>
      </c>
    </row>
    <row r="480" spans="9:15" x14ac:dyDescent="0.2">
      <c r="I480">
        <f t="shared" si="15"/>
        <v>441</v>
      </c>
      <c r="J480" t="str">
        <v>Handle does not point to underlying &lt;TimeSeriesFromFile&gt; type.</v>
      </c>
      <c r="K480" t="str">
        <v>Handle does not point to underlying &lt;TimeSeriesFromFile&gt; type.</v>
      </c>
      <c r="L480" t="str">
        <v>Handle does not point to underlying &lt;TimeSeriesFromFile&gt; type.</v>
      </c>
      <c r="M480" t="str">
        <v>Handle does not point to underlying &lt;TimeSeriesFromFile&gt; type.</v>
      </c>
      <c r="N480" t="str">
        <v>Handle does not point to underlying &lt;TimeSeriesFromFile&gt; type.</v>
      </c>
      <c r="O480" t="e">
        <f t="shared" si="14"/>
        <v>#VALUE!</v>
      </c>
    </row>
    <row r="481" spans="6:15" x14ac:dyDescent="0.2">
      <c r="I481">
        <f t="shared" si="15"/>
        <v>442</v>
      </c>
      <c r="J481" t="str">
        <v>Handle does not point to underlying &lt;TimeSeriesFromFile&gt; type.</v>
      </c>
      <c r="K481" t="str">
        <v>Handle does not point to underlying &lt;TimeSeriesFromFile&gt; type.</v>
      </c>
      <c r="L481" t="str">
        <v>Handle does not point to underlying &lt;TimeSeriesFromFile&gt; type.</v>
      </c>
      <c r="M481" t="str">
        <v>Handle does not point to underlying &lt;TimeSeriesFromFile&gt; type.</v>
      </c>
      <c r="N481" t="str">
        <v>Handle does not point to underlying &lt;TimeSeriesFromFile&gt; type.</v>
      </c>
      <c r="O481" t="e">
        <f t="shared" si="14"/>
        <v>#VALUE!</v>
      </c>
    </row>
    <row r="482" spans="6:15" x14ac:dyDescent="0.2">
      <c r="I482">
        <f t="shared" si="15"/>
        <v>443</v>
      </c>
      <c r="J482" t="str">
        <v>Handle does not point to underlying &lt;TimeSeriesFromFile&gt; type.</v>
      </c>
      <c r="K482" t="str">
        <v>Handle does not point to underlying &lt;TimeSeriesFromFile&gt; type.</v>
      </c>
      <c r="L482" t="str">
        <v>Handle does not point to underlying &lt;TimeSeriesFromFile&gt; type.</v>
      </c>
      <c r="M482" t="str">
        <v>Handle does not point to underlying &lt;TimeSeriesFromFile&gt; type.</v>
      </c>
      <c r="N482" t="str">
        <v>Handle does not point to underlying &lt;TimeSeriesFromFile&gt; type.</v>
      </c>
      <c r="O482" t="e">
        <f t="shared" si="14"/>
        <v>#VALUE!</v>
      </c>
    </row>
    <row r="483" spans="6:15" x14ac:dyDescent="0.2">
      <c r="I483">
        <f t="shared" si="15"/>
        <v>444</v>
      </c>
      <c r="J483" t="str">
        <v>Handle does not point to underlying &lt;TimeSeriesFromFile&gt; type.</v>
      </c>
      <c r="K483" t="str">
        <v>Handle does not point to underlying &lt;TimeSeriesFromFile&gt; type.</v>
      </c>
      <c r="L483" t="str">
        <v>Handle does not point to underlying &lt;TimeSeriesFromFile&gt; type.</v>
      </c>
      <c r="M483" t="str">
        <v>Handle does not point to underlying &lt;TimeSeriesFromFile&gt; type.</v>
      </c>
      <c r="N483" t="str">
        <v>Handle does not point to underlying &lt;TimeSeriesFromFile&gt; type.</v>
      </c>
      <c r="O483" t="e">
        <f t="shared" si="14"/>
        <v>#VALUE!</v>
      </c>
    </row>
    <row r="484" spans="6:15" x14ac:dyDescent="0.2">
      <c r="I484">
        <f t="shared" si="15"/>
        <v>445</v>
      </c>
      <c r="J484" t="str">
        <v>Handle does not point to underlying &lt;TimeSeriesFromFile&gt; type.</v>
      </c>
      <c r="K484" t="str">
        <v>Handle does not point to underlying &lt;TimeSeriesFromFile&gt; type.</v>
      </c>
      <c r="L484" t="str">
        <v>Handle does not point to underlying &lt;TimeSeriesFromFile&gt; type.</v>
      </c>
      <c r="M484" t="str">
        <v>Handle does not point to underlying &lt;TimeSeriesFromFile&gt; type.</v>
      </c>
      <c r="N484" t="str">
        <v>Handle does not point to underlying &lt;TimeSeriesFromFile&gt; type.</v>
      </c>
      <c r="O484" t="e">
        <f t="shared" si="14"/>
        <v>#VALUE!</v>
      </c>
    </row>
    <row r="485" spans="6:15" x14ac:dyDescent="0.2">
      <c r="I485">
        <f t="shared" si="15"/>
        <v>446</v>
      </c>
      <c r="J485" t="str">
        <v>Handle does not point to underlying &lt;TimeSeriesFromFile&gt; type.</v>
      </c>
      <c r="K485" t="str">
        <v>Handle does not point to underlying &lt;TimeSeriesFromFile&gt; type.</v>
      </c>
      <c r="L485" t="str">
        <v>Handle does not point to underlying &lt;TimeSeriesFromFile&gt; type.</v>
      </c>
      <c r="M485" t="str">
        <v>Handle does not point to underlying &lt;TimeSeriesFromFile&gt; type.</v>
      </c>
      <c r="N485" t="str">
        <v>Handle does not point to underlying &lt;TimeSeriesFromFile&gt; type.</v>
      </c>
      <c r="O485" t="e">
        <f t="shared" si="14"/>
        <v>#VALUE!</v>
      </c>
    </row>
    <row r="486" spans="6:15" x14ac:dyDescent="0.2">
      <c r="I486">
        <f t="shared" si="15"/>
        <v>447</v>
      </c>
      <c r="J486" t="str">
        <v>Handle does not point to underlying &lt;TimeSeriesFromFile&gt; type.</v>
      </c>
      <c r="K486" t="str">
        <v>Handle does not point to underlying &lt;TimeSeriesFromFile&gt; type.</v>
      </c>
      <c r="L486" t="str">
        <v>Handle does not point to underlying &lt;TimeSeriesFromFile&gt; type.</v>
      </c>
      <c r="M486" t="str">
        <v>Handle does not point to underlying &lt;TimeSeriesFromFile&gt; type.</v>
      </c>
      <c r="N486" t="str">
        <v>Handle does not point to underlying &lt;TimeSeriesFromFile&gt; type.</v>
      </c>
      <c r="O486" t="e">
        <f t="shared" si="14"/>
        <v>#VALUE!</v>
      </c>
    </row>
    <row r="487" spans="6:15" x14ac:dyDescent="0.2">
      <c r="I487">
        <f t="shared" si="15"/>
        <v>448</v>
      </c>
      <c r="J487" t="str">
        <v>Handle does not point to underlying &lt;TimeSeriesFromFile&gt; type.</v>
      </c>
      <c r="K487" t="str">
        <v>Handle does not point to underlying &lt;TimeSeriesFromFile&gt; type.</v>
      </c>
      <c r="L487" t="str">
        <v>Handle does not point to underlying &lt;TimeSeriesFromFile&gt; type.</v>
      </c>
      <c r="M487" t="str">
        <v>Handle does not point to underlying &lt;TimeSeriesFromFile&gt; type.</v>
      </c>
      <c r="N487" t="str">
        <v>Handle does not point to underlying &lt;TimeSeriesFromFile&gt; type.</v>
      </c>
      <c r="O487" t="e">
        <f t="shared" si="14"/>
        <v>#VALUE!</v>
      </c>
    </row>
    <row r="488" spans="6:15" x14ac:dyDescent="0.2">
      <c r="I488">
        <f t="shared" si="15"/>
        <v>449</v>
      </c>
      <c r="J488" t="str">
        <v>Handle does not point to underlying &lt;TimeSeriesFromFile&gt; type.</v>
      </c>
      <c r="K488" t="str">
        <v>Handle does not point to underlying &lt;TimeSeriesFromFile&gt; type.</v>
      </c>
      <c r="L488" t="str">
        <v>Handle does not point to underlying &lt;TimeSeriesFromFile&gt; type.</v>
      </c>
      <c r="M488" t="str">
        <v>Handle does not point to underlying &lt;TimeSeriesFromFile&gt; type.</v>
      </c>
      <c r="N488" t="str">
        <v>Handle does not point to underlying &lt;TimeSeriesFromFile&gt; type.</v>
      </c>
      <c r="O488" t="e">
        <f>M488-N488</f>
        <v>#VALUE!</v>
      </c>
    </row>
    <row r="489" spans="6:15" x14ac:dyDescent="0.2">
      <c r="I489">
        <f>I488+1</f>
        <v>450</v>
      </c>
      <c r="J489" t="str">
        <v>Handle does not point to underlying &lt;TimeSeriesFromFile&gt; type.</v>
      </c>
      <c r="K489" t="str">
        <v>Handle does not point to underlying &lt;TimeSeriesFromFile&gt; type.</v>
      </c>
      <c r="L489" t="str">
        <v>Handle does not point to underlying &lt;TimeSeriesFromFile&gt; type.</v>
      </c>
      <c r="M489" t="str">
        <v>Handle does not point to underlying &lt;TimeSeriesFromFile&gt; type.</v>
      </c>
      <c r="N489" t="str">
        <v>Handle does not point to underlying &lt;TimeSeriesFromFile&gt; type.</v>
      </c>
      <c r="O489" t="e">
        <f>M489-N489</f>
        <v>#VALUE!</v>
      </c>
    </row>
    <row r="490" spans="6:15" x14ac:dyDescent="0.2">
      <c r="I490">
        <f>I489+1</f>
        <v>451</v>
      </c>
      <c r="J490" t="str">
        <v>Handle does not point to underlying &lt;TimeSeriesFromFile&gt; type.</v>
      </c>
      <c r="K490" t="str">
        <v>Handle does not point to underlying &lt;TimeSeriesFromFile&gt; type.</v>
      </c>
      <c r="L490" t="str">
        <v>Handle does not point to underlying &lt;TimeSeriesFromFile&gt; type.</v>
      </c>
      <c r="M490" t="str">
        <v>Handle does not point to underlying &lt;TimeSeriesFromFile&gt; type.</v>
      </c>
      <c r="N490" t="str">
        <v>Handle does not point to underlying &lt;TimeSeriesFromFile&gt; type.</v>
      </c>
      <c r="O490" t="e">
        <f>M490-N490</f>
        <v>#VALUE!</v>
      </c>
    </row>
    <row r="495" spans="6:15" x14ac:dyDescent="0.2">
      <c r="F495" s="6" t="s">
        <v>53</v>
      </c>
      <c r="G495" s="6">
        <f>F485</f>
        <v>0</v>
      </c>
      <c r="I495" s="10"/>
      <c r="J495" s="10"/>
      <c r="K495" s="10"/>
    </row>
    <row r="496" spans="6:15" x14ac:dyDescent="0.2">
      <c r="F496" s="6" t="s">
        <v>32</v>
      </c>
      <c r="G496" s="6">
        <v>0</v>
      </c>
      <c r="I496" s="10"/>
      <c r="J496" s="10"/>
      <c r="K496" s="10"/>
    </row>
    <row r="497" spans="6:11" x14ac:dyDescent="0.2">
      <c r="F497" s="6" t="s">
        <v>33</v>
      </c>
      <c r="G497" s="6">
        <v>10000</v>
      </c>
      <c r="I497" s="10"/>
      <c r="J497" s="10"/>
      <c r="K497" s="10"/>
    </row>
    <row r="498" spans="6:11" x14ac:dyDescent="0.2">
      <c r="F498" s="6" t="s">
        <v>34</v>
      </c>
      <c r="G498" s="6">
        <v>1</v>
      </c>
      <c r="I498" s="10"/>
      <c r="J498" s="10"/>
      <c r="K498" s="10"/>
    </row>
    <row r="499" spans="6:11" x14ac:dyDescent="0.2">
      <c r="I499" s="10"/>
      <c r="J499" s="10"/>
      <c r="K499" s="10"/>
    </row>
    <row r="500" spans="6:11" x14ac:dyDescent="0.2">
      <c r="I500" s="10"/>
      <c r="J500" s="10"/>
      <c r="K500" s="10"/>
    </row>
    <row r="501" spans="6:11" x14ac:dyDescent="0.2">
      <c r="I501" s="10"/>
      <c r="J501" s="10"/>
      <c r="K501" s="10"/>
    </row>
    <row r="502" spans="6:11" x14ac:dyDescent="0.2">
      <c r="I502" s="10"/>
      <c r="J502" s="10"/>
      <c r="K502" s="10"/>
    </row>
    <row r="503" spans="6:11" x14ac:dyDescent="0.2">
      <c r="I503" s="10"/>
      <c r="J503" s="10"/>
      <c r="K503" s="10"/>
    </row>
    <row r="504" spans="6:11" x14ac:dyDescent="0.2">
      <c r="I504" s="10"/>
      <c r="J504" s="10"/>
      <c r="K504" s="10"/>
    </row>
    <row r="505" spans="6:11" x14ac:dyDescent="0.2">
      <c r="I505" s="10"/>
      <c r="J505" s="10"/>
      <c r="K505" s="10"/>
    </row>
    <row r="506" spans="6:11" x14ac:dyDescent="0.2">
      <c r="I506" s="10"/>
      <c r="J506" s="10"/>
      <c r="K506" s="10"/>
    </row>
    <row r="507" spans="6:11" x14ac:dyDescent="0.2">
      <c r="I507" s="10"/>
      <c r="J507" s="10"/>
      <c r="K507" s="10"/>
    </row>
    <row r="508" spans="6:11" x14ac:dyDescent="0.2">
      <c r="I508" s="10"/>
      <c r="J508" s="10"/>
      <c r="K508" s="10"/>
    </row>
    <row r="509" spans="6:11" x14ac:dyDescent="0.2">
      <c r="I509" s="10"/>
      <c r="J509" s="10"/>
      <c r="K509" s="10"/>
    </row>
    <row r="510" spans="6:11" x14ac:dyDescent="0.2">
      <c r="I510" s="10"/>
      <c r="J510" s="10"/>
      <c r="K510" s="10"/>
    </row>
    <row r="511" spans="6:11" x14ac:dyDescent="0.2">
      <c r="I511" s="10"/>
      <c r="J511" s="10"/>
      <c r="K511" s="10"/>
    </row>
    <row r="512" spans="6:11" x14ac:dyDescent="0.2">
      <c r="I512" s="10"/>
      <c r="J512" s="10"/>
      <c r="K512" s="10"/>
    </row>
    <row r="513" spans="9:11" x14ac:dyDescent="0.2">
      <c r="I513" s="10"/>
      <c r="J513" s="10"/>
      <c r="K513" s="10"/>
    </row>
    <row r="514" spans="9:11" x14ac:dyDescent="0.2">
      <c r="I514" s="10"/>
      <c r="J514" s="10"/>
      <c r="K514" s="10"/>
    </row>
    <row r="515" spans="9:11" x14ac:dyDescent="0.2">
      <c r="I515" s="10"/>
      <c r="J515" s="10"/>
      <c r="K515" s="10"/>
    </row>
    <row r="516" spans="9:11" x14ac:dyDescent="0.2">
      <c r="I516" s="10"/>
      <c r="J516" s="10"/>
      <c r="K516" s="10"/>
    </row>
    <row r="517" spans="9:11" x14ac:dyDescent="0.2">
      <c r="I517" s="10"/>
      <c r="J517" s="10"/>
      <c r="K517" s="10"/>
    </row>
    <row r="518" spans="9:11" x14ac:dyDescent="0.2">
      <c r="I518" s="10"/>
      <c r="J518" s="10"/>
      <c r="K518" s="10"/>
    </row>
    <row r="519" spans="9:11" x14ac:dyDescent="0.2">
      <c r="I519" s="10"/>
      <c r="J519" s="10"/>
      <c r="K519" s="10"/>
    </row>
    <row r="520" spans="9:11" x14ac:dyDescent="0.2">
      <c r="I520" s="10"/>
      <c r="J520" s="10"/>
      <c r="K520" s="10"/>
    </row>
    <row r="521" spans="9:11" x14ac:dyDescent="0.2">
      <c r="I521" s="10"/>
      <c r="J521" s="10"/>
      <c r="K521" s="10"/>
    </row>
    <row r="522" spans="9:11" x14ac:dyDescent="0.2">
      <c r="I522" s="10"/>
      <c r="J522" s="10"/>
      <c r="K522" s="10"/>
    </row>
    <row r="523" spans="9:11" x14ac:dyDescent="0.2">
      <c r="I523" s="10"/>
      <c r="J523" s="10"/>
      <c r="K523" s="10"/>
    </row>
    <row r="524" spans="9:11" x14ac:dyDescent="0.2">
      <c r="I524" s="10"/>
      <c r="J524" s="10"/>
      <c r="K524" s="10"/>
    </row>
    <row r="525" spans="9:11" x14ac:dyDescent="0.2">
      <c r="I525" s="10"/>
      <c r="J525" s="10"/>
      <c r="K525" s="10"/>
    </row>
    <row r="526" spans="9:11" x14ac:dyDescent="0.2">
      <c r="I526" s="10"/>
      <c r="J526" s="10"/>
      <c r="K526" s="10"/>
    </row>
  </sheetData>
  <phoneticPr fontId="0" type="noConversion"/>
  <pageMargins left="0.75" right="0.75" top="1" bottom="1" header="0.4921259845" footer="0.492125984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OpenFile">
                <anchor moveWithCells="1" sizeWithCells="1">
                  <from>
                    <xdr:col>5</xdr:col>
                    <xdr:colOff>104775</xdr:colOff>
                    <xdr:row>1</xdr:row>
                    <xdr:rowOff>95250</xdr:rowOff>
                  </from>
                  <to>
                    <xdr:col>7</xdr:col>
                    <xdr:colOff>390525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art">
                <anchor moveWithCells="1" sizeWithCells="1">
                  <from>
                    <xdr:col>5</xdr:col>
                    <xdr:colOff>161925</xdr:colOff>
                    <xdr:row>6</xdr:row>
                    <xdr:rowOff>76200</xdr:rowOff>
                  </from>
                  <to>
                    <xdr:col>7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5"/>
  <sheetViews>
    <sheetView workbookViewId="0">
      <selection activeCell="I28" sqref="I28"/>
    </sheetView>
  </sheetViews>
  <sheetFormatPr defaultColWidth="11.42578125" defaultRowHeight="12.75" x14ac:dyDescent="0.2"/>
  <cols>
    <col min="8" max="8" width="12.42578125" bestFit="1" customWidth="1"/>
    <col min="13" max="16" width="13.140625" bestFit="1" customWidth="1"/>
  </cols>
  <sheetData>
    <row r="1" spans="1:11" ht="15.75" x14ac:dyDescent="0.25">
      <c r="A1" s="2"/>
    </row>
    <row r="3" spans="1:11" x14ac:dyDescent="0.2">
      <c r="A3" s="1"/>
      <c r="G3" s="3"/>
      <c r="H3" s="3"/>
      <c r="I3" s="3"/>
      <c r="J3" s="3"/>
      <c r="K3" s="3"/>
    </row>
    <row r="4" spans="1:11" x14ac:dyDescent="0.2">
      <c r="A4" s="1"/>
      <c r="F4" s="1"/>
    </row>
    <row r="5" spans="1:11" x14ac:dyDescent="0.2">
      <c r="A5" s="1"/>
    </row>
    <row r="6" spans="1:11" x14ac:dyDescent="0.2">
      <c r="A6" s="1"/>
    </row>
    <row r="7" spans="1:11" x14ac:dyDescent="0.2">
      <c r="B7" t="s">
        <v>54</v>
      </c>
      <c r="C7">
        <v>5</v>
      </c>
      <c r="E7" s="1" t="str">
        <f t="array" ref="E7:F13">_xll.WriteData(B7:C13,"w1",0.25)</f>
        <v>fileHandle</v>
      </c>
      <c r="F7">
        <v>0</v>
      </c>
      <c r="I7">
        <f t="array" ref="I7:J9">_xll.Test()</f>
        <v>-0.99999999999999967</v>
      </c>
      <c r="J7">
        <v>0</v>
      </c>
    </row>
    <row r="8" spans="1:11" x14ac:dyDescent="0.2">
      <c r="A8" s="4"/>
      <c r="B8" t="s">
        <v>56</v>
      </c>
      <c r="C8">
        <v>6</v>
      </c>
      <c r="D8" s="4"/>
      <c r="E8" t="str">
        <v>market</v>
      </c>
      <c r="F8">
        <v>5</v>
      </c>
      <c r="G8" s="4"/>
      <c r="H8" s="4"/>
      <c r="I8">
        <v>0.50000000000000011</v>
      </c>
      <c r="J8">
        <v>0.86602540378443882</v>
      </c>
      <c r="K8" s="4"/>
    </row>
    <row r="9" spans="1:11" x14ac:dyDescent="0.2">
      <c r="A9" s="4"/>
      <c r="B9" t="s">
        <v>60</v>
      </c>
      <c r="C9">
        <v>7</v>
      </c>
      <c r="D9" s="4"/>
      <c r="E9" t="str">
        <v>maxPos</v>
      </c>
      <c r="F9">
        <v>4644510</v>
      </c>
      <c r="G9" s="4"/>
      <c r="H9" s="4"/>
      <c r="I9">
        <v>0.50000000000000011</v>
      </c>
      <c r="J9">
        <v>-0.86602540378443882</v>
      </c>
      <c r="K9" s="4"/>
    </row>
    <row r="10" spans="1:11" x14ac:dyDescent="0.2">
      <c r="A10" s="4"/>
      <c r="B10" t="s">
        <v>53</v>
      </c>
      <c r="C10">
        <v>0</v>
      </c>
      <c r="D10" s="4"/>
      <c r="E10" t="str">
        <v>minPos</v>
      </c>
      <c r="F10">
        <v>0</v>
      </c>
      <c r="G10" s="4"/>
      <c r="H10" s="4"/>
      <c r="K10" s="4"/>
    </row>
    <row r="11" spans="1:11" x14ac:dyDescent="0.2">
      <c r="A11" s="4"/>
      <c r="B11" t="s">
        <v>32</v>
      </c>
      <c r="C11">
        <v>0</v>
      </c>
      <c r="D11" s="4"/>
      <c r="E11" s="4" t="str">
        <v>strategy</v>
      </c>
      <c r="F11" s="4">
        <v>7</v>
      </c>
      <c r="G11" s="4"/>
      <c r="H11" s="4"/>
      <c r="I11" s="4"/>
      <c r="J11" s="4"/>
      <c r="K11" s="4"/>
    </row>
    <row r="12" spans="1:11" x14ac:dyDescent="0.2">
      <c r="A12" s="4"/>
      <c r="B12" t="s">
        <v>33</v>
      </c>
      <c r="C12">
        <v>4644510</v>
      </c>
      <c r="D12" s="4"/>
      <c r="E12" s="4" t="str">
        <v>trader</v>
      </c>
      <c r="F12" s="4">
        <v>6</v>
      </c>
      <c r="G12" s="4"/>
      <c r="H12" s="4"/>
      <c r="I12" s="4"/>
      <c r="J12" s="4"/>
      <c r="K12" s="4"/>
    </row>
    <row r="13" spans="1:11" x14ac:dyDescent="0.2">
      <c r="A13" s="4"/>
      <c r="B13" s="6" t="s">
        <v>57</v>
      </c>
      <c r="C13" s="6">
        <v>0.6</v>
      </c>
      <c r="D13" s="4"/>
      <c r="E13" s="4" t="str">
        <v>w1</v>
      </c>
      <c r="F13" s="4">
        <v>0.25</v>
      </c>
      <c r="G13" s="4"/>
      <c r="H13" s="4"/>
      <c r="I13" s="4"/>
      <c r="J13" s="4"/>
      <c r="K13" s="4"/>
    </row>
    <row r="14" spans="1:11" x14ac:dyDescent="0.2">
      <c r="A14" s="4"/>
      <c r="B14" s="13" t="s">
        <v>70</v>
      </c>
      <c r="C14" s="10" t="str">
        <f>_xll.TimeSeries("simulate",B7:C13)</f>
        <v>Invalid handle.</v>
      </c>
      <c r="D14" s="4"/>
      <c r="E14" s="4"/>
      <c r="F14" s="4"/>
      <c r="G14" s="4"/>
      <c r="H14" s="4"/>
      <c r="I14" s="4"/>
      <c r="J14" s="4"/>
      <c r="K14" s="4"/>
    </row>
    <row r="15" spans="1:11" x14ac:dyDescent="0.2">
      <c r="A15" s="4"/>
      <c r="B15" s="4"/>
      <c r="C15" s="4"/>
      <c r="D15" s="4"/>
      <c r="E15" s="4"/>
      <c r="F15" s="4"/>
      <c r="G15" s="4"/>
      <c r="H15" s="4"/>
      <c r="I15" s="4"/>
      <c r="J15" s="4">
        <v>0.74029999999999996</v>
      </c>
      <c r="K15" s="4"/>
    </row>
    <row r="16" spans="1:11" x14ac:dyDescent="0.2">
      <c r="A16" s="4"/>
      <c r="B16" s="4"/>
      <c r="C16" s="4"/>
      <c r="D16" s="4"/>
      <c r="E16" s="4"/>
      <c r="F16" s="4"/>
      <c r="G16" s="4"/>
      <c r="H16" s="4"/>
      <c r="I16" s="4"/>
      <c r="J16" s="4">
        <f>J15*SIN(J15)</f>
        <v>0.49933932499517375</v>
      </c>
      <c r="K16" s="4"/>
    </row>
    <row r="17" spans="1:11" x14ac:dyDescent="0.2">
      <c r="A17" s="4"/>
      <c r="B17" s="4">
        <v>0.1</v>
      </c>
      <c r="C17" s="4" t="str">
        <f>_xll.TimeSeries("simulate",_xll.WriteData($B$7:$C$13,"w1",B17))</f>
        <v>Invalid handle.</v>
      </c>
      <c r="D17" s="4"/>
      <c r="E17" s="4"/>
      <c r="F17" s="4"/>
      <c r="G17" s="4"/>
      <c r="H17" s="4"/>
      <c r="I17" s="4"/>
      <c r="J17" s="4"/>
      <c r="K17" s="4"/>
    </row>
    <row r="18" spans="1:11" x14ac:dyDescent="0.2">
      <c r="A18" s="4"/>
      <c r="B18" s="4">
        <f t="shared" ref="B18:B26" si="0">B17+0.1</f>
        <v>0.2</v>
      </c>
      <c r="C18" s="4" t="str">
        <f>_xll.TimeSeries("simulate",_xll.WriteData($B$7:$C$13,"w1",B18))</f>
        <v>Invalid handle.</v>
      </c>
      <c r="D18" s="4"/>
      <c r="E18" s="4"/>
      <c r="F18" s="4"/>
      <c r="G18" s="4"/>
      <c r="H18" s="4"/>
      <c r="I18" s="4"/>
      <c r="J18" s="4"/>
      <c r="K18" s="4"/>
    </row>
    <row r="19" spans="1:11" x14ac:dyDescent="0.2">
      <c r="A19" s="4"/>
      <c r="B19" s="4">
        <f t="shared" si="0"/>
        <v>0.30000000000000004</v>
      </c>
      <c r="C19" s="4" t="str">
        <f>_xll.TimeSeries("simulate",_xll.WriteData($B$7:$C$13,"w1",B19))</f>
        <v>Invalid handle.</v>
      </c>
      <c r="D19" s="4"/>
      <c r="E19" s="4"/>
      <c r="F19" s="4"/>
      <c r="G19" s="4"/>
      <c r="H19" s="4"/>
      <c r="I19" s="4"/>
      <c r="J19" s="4"/>
      <c r="K19" s="4"/>
    </row>
    <row r="20" spans="1:11" x14ac:dyDescent="0.2">
      <c r="A20" s="4"/>
      <c r="B20" s="4">
        <f t="shared" si="0"/>
        <v>0.4</v>
      </c>
      <c r="C20" s="4" t="str">
        <f>_xll.TimeSeries("simulate",_xll.WriteData($B$7:$C$13,"w1",B20))</f>
        <v>Invalid handle.</v>
      </c>
      <c r="D20" s="4"/>
      <c r="E20" s="4"/>
      <c r="F20" s="4"/>
      <c r="G20" s="4"/>
      <c r="H20" s="4"/>
      <c r="I20" s="4"/>
      <c r="J20" s="4"/>
      <c r="K20" s="4"/>
    </row>
    <row r="21" spans="1:11" x14ac:dyDescent="0.2">
      <c r="A21" s="4"/>
      <c r="B21" s="4">
        <f t="shared" si="0"/>
        <v>0.5</v>
      </c>
      <c r="C21" s="4" t="str">
        <f>_xll.TimeSeries("simulate",_xll.WriteData($B$7:$C$13,"w1",B21))</f>
        <v>Handle does not point to underlying &lt;marketT&gt; type.</v>
      </c>
      <c r="D21" s="4"/>
      <c r="E21" s="4"/>
      <c r="F21" s="4"/>
      <c r="G21" s="4"/>
      <c r="H21" s="4"/>
      <c r="I21" s="4"/>
      <c r="J21" s="4"/>
      <c r="K21" s="4"/>
    </row>
    <row r="22" spans="1:11" x14ac:dyDescent="0.2">
      <c r="A22" s="4"/>
      <c r="B22" s="4">
        <f t="shared" si="0"/>
        <v>0.6</v>
      </c>
      <c r="C22" s="4" t="str">
        <f>_xll.TimeSeries("simulate",_xll.WriteData($B$7:$C$13,"w1",B22))</f>
        <v>Invalid handle.</v>
      </c>
      <c r="D22" s="4"/>
      <c r="E22" s="4">
        <f>_xll.Test()</f>
        <v>-0.99999999999999967</v>
      </c>
      <c r="F22" s="4"/>
      <c r="G22" s="4"/>
      <c r="H22" s="4"/>
      <c r="I22" s="4"/>
      <c r="J22" s="4"/>
      <c r="K22" s="4"/>
    </row>
    <row r="23" spans="1:11" x14ac:dyDescent="0.2">
      <c r="A23" s="4"/>
      <c r="B23" s="4">
        <f t="shared" si="0"/>
        <v>0.7</v>
      </c>
      <c r="C23" s="4" t="str">
        <f>_xll.TimeSeries("simulate",_xll.WriteData($B$7:$C$13,"w1",B23))</f>
        <v>Invalid handle.</v>
      </c>
      <c r="D23" s="4"/>
      <c r="E23" s="4"/>
      <c r="F23" s="4"/>
      <c r="G23" s="4"/>
      <c r="H23" s="4"/>
      <c r="I23" s="4"/>
      <c r="J23" s="4"/>
      <c r="K23" s="4"/>
    </row>
    <row r="24" spans="1:11" x14ac:dyDescent="0.2">
      <c r="A24" s="4"/>
      <c r="B24" s="4">
        <f t="shared" si="0"/>
        <v>0.79999999999999993</v>
      </c>
      <c r="C24" s="4" t="str">
        <f>_xll.TimeSeries("simulate",_xll.WriteData($B$7:$C$13,"w1",B24))</f>
        <v>Invalid handle.</v>
      </c>
      <c r="D24" s="4"/>
      <c r="E24" s="4"/>
      <c r="F24" s="4"/>
      <c r="G24" s="4"/>
      <c r="H24" s="4"/>
      <c r="I24" s="4"/>
      <c r="J24" s="4"/>
      <c r="K24" s="4"/>
    </row>
    <row r="25" spans="1:11" x14ac:dyDescent="0.2">
      <c r="A25" s="4"/>
      <c r="B25" s="4">
        <f t="shared" si="0"/>
        <v>0.89999999999999991</v>
      </c>
      <c r="C25" s="4" t="str">
        <f>_xll.TimeSeries("simulate",_xll.WriteData($B$7:$C$13,"w1",B25))</f>
        <v>Invalid handle.</v>
      </c>
      <c r="D25" s="4"/>
      <c r="E25" s="4"/>
      <c r="F25" s="4" t="str">
        <f>DEC2BIN(74)</f>
        <v>1001010</v>
      </c>
      <c r="G25" s="4"/>
      <c r="H25" s="4"/>
      <c r="I25" s="4"/>
      <c r="J25" s="4"/>
      <c r="K25" s="4"/>
    </row>
    <row r="26" spans="1:11" x14ac:dyDescent="0.2">
      <c r="A26" s="4"/>
      <c r="B26" s="4">
        <f t="shared" si="0"/>
        <v>0.99999999999999989</v>
      </c>
      <c r="C26" s="4" t="str">
        <f>_xll.TimeSeries("simulate",_xll.WriteData($B$7:$C$13,"w1",B26))</f>
        <v>Invalid handle.</v>
      </c>
      <c r="D26" s="4"/>
      <c r="E26" s="4"/>
      <c r="F26" s="4"/>
      <c r="G26" s="4"/>
      <c r="H26" s="4"/>
      <c r="I26" s="4"/>
      <c r="J26" s="4"/>
      <c r="K26" s="4"/>
    </row>
    <row r="27" spans="1:11" x14ac:dyDescent="0.2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1:11" x14ac:dyDescent="0.2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x14ac:dyDescent="0.2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x14ac:dyDescent="0.2">
      <c r="B30" s="4"/>
    </row>
    <row r="31" spans="1:11" x14ac:dyDescent="0.2">
      <c r="D31" s="5"/>
    </row>
    <row r="32" spans="1:11" x14ac:dyDescent="0.2">
      <c r="D32" s="5"/>
    </row>
    <row r="33" spans="2:11" x14ac:dyDescent="0.2">
      <c r="B33" s="4"/>
      <c r="C33" s="4"/>
      <c r="D33" s="4"/>
      <c r="E33" s="4"/>
      <c r="F33" s="4"/>
      <c r="G33" s="4"/>
      <c r="H33" s="4"/>
      <c r="I33" s="4"/>
      <c r="J33" s="4"/>
      <c r="K33" s="4"/>
    </row>
    <row r="35" spans="2:11" x14ac:dyDescent="0.2">
      <c r="D35" s="5"/>
    </row>
    <row r="36" spans="2:11" x14ac:dyDescent="0.2">
      <c r="D36" s="5"/>
    </row>
    <row r="37" spans="2:11" x14ac:dyDescent="0.2">
      <c r="B37" s="4"/>
      <c r="C37" s="4"/>
      <c r="D37" s="4"/>
      <c r="E37" s="4"/>
      <c r="F37" s="4"/>
      <c r="G37" s="4"/>
      <c r="H37" s="4"/>
      <c r="I37" s="4"/>
      <c r="J37" s="4"/>
      <c r="K37" s="4"/>
    </row>
    <row r="39" spans="2:11" x14ac:dyDescent="0.2">
      <c r="D39" s="5"/>
    </row>
    <row r="40" spans="2:11" x14ac:dyDescent="0.2">
      <c r="D40" s="5"/>
    </row>
    <row r="41" spans="2:11" x14ac:dyDescent="0.2">
      <c r="B41" s="4"/>
      <c r="C41" s="4"/>
      <c r="D41" s="4"/>
      <c r="E41" s="4"/>
      <c r="F41" s="4"/>
      <c r="G41" s="4"/>
      <c r="H41" s="4"/>
      <c r="I41" s="4"/>
      <c r="J41" s="4"/>
      <c r="K41" s="4"/>
    </row>
    <row r="43" spans="2:11" x14ac:dyDescent="0.2">
      <c r="D43" s="5"/>
    </row>
    <row r="44" spans="2:11" x14ac:dyDescent="0.2">
      <c r="D44" s="5"/>
    </row>
    <row r="45" spans="2:11" x14ac:dyDescent="0.2">
      <c r="B45" s="4"/>
      <c r="C45" s="4"/>
      <c r="D45" s="4"/>
      <c r="E45" s="4"/>
      <c r="F45" s="4"/>
      <c r="G45" s="4"/>
      <c r="H45" s="4"/>
      <c r="I45" s="4"/>
      <c r="J45" s="4"/>
      <c r="K45" s="4"/>
    </row>
    <row r="47" spans="2:11" x14ac:dyDescent="0.2">
      <c r="D47" s="5"/>
    </row>
    <row r="48" spans="2:11" x14ac:dyDescent="0.2">
      <c r="D48" s="5"/>
    </row>
    <row r="49" spans="2:11" x14ac:dyDescent="0.2">
      <c r="B49" s="4"/>
      <c r="C49" s="4"/>
      <c r="D49" s="4"/>
      <c r="E49" s="4"/>
      <c r="F49" s="4"/>
      <c r="G49" s="4"/>
      <c r="H49" s="4"/>
      <c r="I49" s="4"/>
      <c r="J49" s="4"/>
      <c r="K49" s="4"/>
    </row>
    <row r="51" spans="2:11" x14ac:dyDescent="0.2">
      <c r="D51" s="5"/>
    </row>
    <row r="52" spans="2:11" x14ac:dyDescent="0.2">
      <c r="D52" s="5"/>
    </row>
    <row r="53" spans="2:11" x14ac:dyDescent="0.2">
      <c r="B53" s="4"/>
      <c r="C53" s="4"/>
      <c r="D53" s="4"/>
      <c r="E53" s="4"/>
      <c r="F53" s="4"/>
      <c r="G53" s="4"/>
      <c r="H53" s="4"/>
      <c r="I53" s="4"/>
      <c r="J53" s="4"/>
      <c r="K53" s="4"/>
    </row>
    <row r="55" spans="2:11" x14ac:dyDescent="0.2">
      <c r="D55" s="5"/>
    </row>
    <row r="56" spans="2:11" x14ac:dyDescent="0.2">
      <c r="D56" s="5"/>
    </row>
    <row r="57" spans="2:11" x14ac:dyDescent="0.2">
      <c r="B57" s="4"/>
      <c r="C57" s="4"/>
      <c r="D57" s="4"/>
      <c r="E57" s="4"/>
      <c r="F57" s="4"/>
      <c r="G57" s="4"/>
      <c r="H57" s="4"/>
      <c r="I57" s="4"/>
      <c r="J57" s="4"/>
      <c r="K57" s="4"/>
    </row>
    <row r="59" spans="2:11" x14ac:dyDescent="0.2">
      <c r="D59" s="5"/>
    </row>
    <row r="60" spans="2:11" x14ac:dyDescent="0.2">
      <c r="D60" s="5"/>
    </row>
    <row r="61" spans="2:11" x14ac:dyDescent="0.2">
      <c r="B61" s="4"/>
      <c r="C61" s="4"/>
      <c r="D61" s="4"/>
      <c r="E61" s="4"/>
      <c r="F61" s="4"/>
      <c r="G61" s="4"/>
      <c r="H61" s="4"/>
      <c r="I61" s="4"/>
      <c r="J61" s="4"/>
      <c r="K61" s="4"/>
    </row>
    <row r="63" spans="2:11" x14ac:dyDescent="0.2">
      <c r="D63" s="5"/>
    </row>
    <row r="64" spans="2:11" x14ac:dyDescent="0.2">
      <c r="D64" s="5"/>
    </row>
    <row r="65" spans="2:11" x14ac:dyDescent="0.2">
      <c r="B65" s="4"/>
      <c r="C65" s="4"/>
      <c r="D65" s="4"/>
      <c r="E65" s="4"/>
      <c r="F65" s="4"/>
      <c r="G65" s="4"/>
      <c r="H65" s="4"/>
      <c r="I65" s="4"/>
      <c r="J65" s="4"/>
      <c r="K65" s="4"/>
    </row>
  </sheetData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4"/>
  <sheetViews>
    <sheetView topLeftCell="A19" workbookViewId="0">
      <selection activeCell="H34" sqref="H34"/>
    </sheetView>
  </sheetViews>
  <sheetFormatPr defaultColWidth="11.42578125" defaultRowHeight="12.75" x14ac:dyDescent="0.2"/>
  <cols>
    <col min="8" max="8" width="12.42578125" bestFit="1" customWidth="1"/>
    <col min="13" max="16" width="13.140625" bestFit="1" customWidth="1"/>
  </cols>
  <sheetData>
    <row r="1" spans="1:11" ht="15.75" x14ac:dyDescent="0.25">
      <c r="A1" s="2" t="s">
        <v>3</v>
      </c>
    </row>
    <row r="3" spans="1:11" x14ac:dyDescent="0.2">
      <c r="A3" s="1" t="s">
        <v>5</v>
      </c>
      <c r="B3">
        <f ca="1">_xll.NbCalls()</f>
        <v>2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</row>
    <row r="4" spans="1:11" x14ac:dyDescent="0.2">
      <c r="A4" s="1" t="s">
        <v>1</v>
      </c>
      <c r="B4">
        <v>1</v>
      </c>
      <c r="D4">
        <f>_xll.Circ(B4)</f>
        <v>3.1415899999999999</v>
      </c>
      <c r="F4" s="1" t="s">
        <v>0</v>
      </c>
      <c r="G4" t="s">
        <v>11</v>
      </c>
      <c r="H4" t="s">
        <v>12</v>
      </c>
      <c r="I4" t="str">
        <f>_xll.Concat(G4,H4)</f>
        <v>Hello World!</v>
      </c>
      <c r="J4" t="str">
        <f>_xll.Concat4(G4,H4)</f>
        <v>Hello World!</v>
      </c>
      <c r="K4" t="str">
        <f>_xll.Concat12(G4,H4)</f>
        <v>Hello World!</v>
      </c>
    </row>
    <row r="5" spans="1:11" x14ac:dyDescent="0.2">
      <c r="A5" s="1" t="s">
        <v>2</v>
      </c>
      <c r="B5" t="e">
        <f t="array" aca="1" ref="B5:C5" ca="1">_xll.Stats(A8:K29)</f>
        <v>#NAME?</v>
      </c>
      <c r="C5" t="e">
        <f ca="1"/>
        <v>#NAME?</v>
      </c>
      <c r="G5" t="s">
        <v>13</v>
      </c>
      <c r="H5" t="s">
        <v>14</v>
      </c>
      <c r="I5" t="str">
        <f>_xll.Concat(G5,H5)</f>
        <v>Ahoj Světe!</v>
      </c>
      <c r="J5" t="str">
        <f>_xll.Concat4(G5,H5)</f>
        <v>Ahoj Sv?te!</v>
      </c>
      <c r="K5" t="str">
        <f>_xll.Concat12(G5,H5)</f>
        <v>Ahoj Světe!</v>
      </c>
    </row>
    <row r="6" spans="1:11" x14ac:dyDescent="0.2">
      <c r="A6" s="1" t="s">
        <v>4</v>
      </c>
      <c r="B6" t="str">
        <f>_xll.IsInWiz()</f>
        <v>B6</v>
      </c>
    </row>
    <row r="8" spans="1:11" x14ac:dyDescent="0.2">
      <c r="A8" s="4">
        <f t="array" ref="A8:K29" ca="1">RAND()</f>
        <v>0.18313129824194163</v>
      </c>
      <c r="B8" s="4">
        <f ca="1"/>
        <v>0.89020150201207404</v>
      </c>
      <c r="C8" s="4">
        <f ca="1"/>
        <v>0.87366024132080433</v>
      </c>
      <c r="D8" s="4">
        <f ca="1"/>
        <v>0.71598983800231208</v>
      </c>
      <c r="E8" s="4">
        <f ca="1"/>
        <v>0.3224199364770467</v>
      </c>
      <c r="F8" s="4">
        <f ca="1"/>
        <v>0.12419242069715819</v>
      </c>
      <c r="G8" s="4">
        <f ca="1"/>
        <v>0.79800533929633977</v>
      </c>
      <c r="H8" s="4">
        <f ca="1"/>
        <v>0.41099537230250238</v>
      </c>
      <c r="I8" s="4">
        <f ca="1"/>
        <v>3.7090440322921636E-2</v>
      </c>
      <c r="J8" s="4">
        <f ca="1"/>
        <v>0.49440892421989546</v>
      </c>
      <c r="K8" s="4">
        <f ca="1"/>
        <v>0.86526123850258463</v>
      </c>
    </row>
    <row r="9" spans="1:11" x14ac:dyDescent="0.2">
      <c r="A9" s="4">
        <f ca="1"/>
        <v>0.71662713584183713</v>
      </c>
      <c r="B9" s="4">
        <f ca="1"/>
        <v>0.51296472830494366</v>
      </c>
      <c r="C9" s="4">
        <f ca="1"/>
        <v>0.86608318302821985</v>
      </c>
      <c r="D9" s="4">
        <f ca="1"/>
        <v>6.1468555134144287E-3</v>
      </c>
      <c r="E9" s="4">
        <f ca="1"/>
        <v>0.56951795565163854</v>
      </c>
      <c r="F9" s="4">
        <f ca="1"/>
        <v>0.21410657136611111</v>
      </c>
      <c r="G9" s="4">
        <f ca="1"/>
        <v>0.99143372387813078</v>
      </c>
      <c r="H9" s="4">
        <f ca="1"/>
        <v>0.39505204106337533</v>
      </c>
      <c r="I9" s="4">
        <f ca="1"/>
        <v>0.65453863691916148</v>
      </c>
      <c r="J9" s="4">
        <f ca="1"/>
        <v>0.21485455937887177</v>
      </c>
      <c r="K9" s="4">
        <f ca="1"/>
        <v>0.35237259069687266</v>
      </c>
    </row>
    <row r="10" spans="1:11" x14ac:dyDescent="0.2">
      <c r="A10" s="4">
        <f ca="1"/>
        <v>0.6589464602100894</v>
      </c>
      <c r="B10" s="4">
        <f ca="1"/>
        <v>6.1653417136329214E-2</v>
      </c>
      <c r="C10" s="4">
        <f ca="1"/>
        <v>0.68363265905567383</v>
      </c>
      <c r="D10" s="4">
        <f ca="1"/>
        <v>0.64642572711405244</v>
      </c>
      <c r="E10" s="4">
        <f ca="1"/>
        <v>0.17889594880613913</v>
      </c>
      <c r="F10" s="4">
        <f ca="1"/>
        <v>0.17989351057160818</v>
      </c>
      <c r="G10" s="4">
        <f ca="1"/>
        <v>0.67245366713308996</v>
      </c>
      <c r="H10" s="4">
        <f ca="1"/>
        <v>0.86175063340437885</v>
      </c>
      <c r="I10" s="4">
        <f ca="1"/>
        <v>0.22777034421802489</v>
      </c>
      <c r="J10" s="4">
        <f ca="1"/>
        <v>0.43233171224947808</v>
      </c>
      <c r="K10" s="4">
        <f ca="1"/>
        <v>0.63945993330782325</v>
      </c>
    </row>
    <row r="11" spans="1:11" x14ac:dyDescent="0.2">
      <c r="A11" s="4">
        <f ca="1"/>
        <v>0.39852495538750587</v>
      </c>
      <c r="B11" s="4">
        <f ca="1"/>
        <v>6.2715397428540709E-2</v>
      </c>
      <c r="C11" s="4">
        <f ca="1"/>
        <v>0.91044981873880282</v>
      </c>
      <c r="D11" s="4">
        <f ca="1"/>
        <v>1.5089533425741597E-2</v>
      </c>
      <c r="E11" s="4">
        <f ca="1"/>
        <v>2.0484907062160773E-2</v>
      </c>
      <c r="F11" s="4">
        <f ca="1"/>
        <v>0.6416132930295797</v>
      </c>
      <c r="G11" s="4">
        <f ca="1"/>
        <v>0.88267405770491369</v>
      </c>
      <c r="H11" s="4">
        <f ca="1"/>
        <v>0.56630324438468826</v>
      </c>
      <c r="I11" s="4">
        <f ca="1"/>
        <v>0.4668774842342206</v>
      </c>
      <c r="J11" s="4">
        <f ca="1"/>
        <v>0.17203056193622535</v>
      </c>
      <c r="K11" s="4">
        <f ca="1"/>
        <v>0.81180179967421728</v>
      </c>
    </row>
    <row r="12" spans="1:11" x14ac:dyDescent="0.2">
      <c r="A12" s="4">
        <f ca="1"/>
        <v>0.52461616746784956</v>
      </c>
      <c r="B12" s="4">
        <f ca="1"/>
        <v>0.97056885369478907</v>
      </c>
      <c r="C12" s="4">
        <f ca="1"/>
        <v>0.70818056506497384</v>
      </c>
      <c r="D12" s="4">
        <f ca="1"/>
        <v>0.73928640780847055</v>
      </c>
      <c r="E12" s="4">
        <f ca="1"/>
        <v>0.25084742011727001</v>
      </c>
      <c r="F12" s="4">
        <f ca="1"/>
        <v>0.90576459771408169</v>
      </c>
      <c r="G12" s="4">
        <f ca="1"/>
        <v>0.38536750994231472</v>
      </c>
      <c r="H12" s="4">
        <f ca="1"/>
        <v>0.49841323388981307</v>
      </c>
      <c r="I12" s="4">
        <f ca="1"/>
        <v>0.7835017516210504</v>
      </c>
      <c r="J12" s="4">
        <f ca="1"/>
        <v>0.53116317659964463</v>
      </c>
      <c r="K12" s="4">
        <f ca="1"/>
        <v>0.67812015177228668</v>
      </c>
    </row>
    <row r="13" spans="1:11" x14ac:dyDescent="0.2">
      <c r="A13" s="4">
        <f ca="1"/>
        <v>0.7134334921805332</v>
      </c>
      <c r="B13" s="4">
        <f ca="1"/>
        <v>7.6245559153656606E-2</v>
      </c>
      <c r="C13" s="4">
        <f ca="1"/>
        <v>0.57914871399129564</v>
      </c>
      <c r="D13" s="4">
        <f ca="1"/>
        <v>0.47073853220062933</v>
      </c>
      <c r="E13" s="4">
        <f ca="1"/>
        <v>0.4738421326923008</v>
      </c>
      <c r="F13" s="4">
        <f ca="1"/>
        <v>0.83130472379457954</v>
      </c>
      <c r="G13" s="4">
        <f ca="1"/>
        <v>0.66890013249120495</v>
      </c>
      <c r="H13" s="4">
        <f ca="1"/>
        <v>0.61133386912560117</v>
      </c>
      <c r="I13" s="4">
        <f ca="1"/>
        <v>0.61844782944257293</v>
      </c>
      <c r="J13" s="4">
        <f ca="1"/>
        <v>0.92425957636070943</v>
      </c>
      <c r="K13" s="4">
        <f ca="1"/>
        <v>3.9139231640115124E-2</v>
      </c>
    </row>
    <row r="14" spans="1:11" x14ac:dyDescent="0.2">
      <c r="A14" s="4">
        <f ca="1"/>
        <v>0.15127547094420846</v>
      </c>
      <c r="B14" s="4">
        <f ca="1"/>
        <v>0.33382276605869587</v>
      </c>
      <c r="C14" s="4">
        <f ca="1"/>
        <v>0.70618812666609276</v>
      </c>
      <c r="D14" s="4">
        <f ca="1"/>
        <v>0.64070611731881477</v>
      </c>
      <c r="E14" s="4">
        <f ca="1"/>
        <v>0.39908972527916597</v>
      </c>
      <c r="F14" s="4">
        <f ca="1"/>
        <v>0.34121371475887419</v>
      </c>
      <c r="G14" s="4">
        <f ca="1"/>
        <v>0.80406778019788272</v>
      </c>
      <c r="H14" s="4">
        <f ca="1"/>
        <v>0.95562572297108661</v>
      </c>
      <c r="I14" s="4">
        <f ca="1"/>
        <v>0.66138858355718488</v>
      </c>
      <c r="J14" s="4">
        <f ca="1"/>
        <v>0.47054177116093598</v>
      </c>
      <c r="K14" s="4">
        <f ca="1"/>
        <v>0.78805100897774805</v>
      </c>
    </row>
    <row r="15" spans="1:11" x14ac:dyDescent="0.2">
      <c r="A15" s="4">
        <f ca="1"/>
        <v>0.22769857891610434</v>
      </c>
      <c r="B15" s="4">
        <f ca="1"/>
        <v>0.49499512872081719</v>
      </c>
      <c r="C15" s="4">
        <f ca="1"/>
        <v>0.9315604707836429</v>
      </c>
      <c r="D15" s="4">
        <f ca="1"/>
        <v>0.28779142216575182</v>
      </c>
      <c r="E15" s="4">
        <f ca="1"/>
        <v>5.5114624387040179E-2</v>
      </c>
      <c r="F15" s="4">
        <f ca="1"/>
        <v>0.37452452057859775</v>
      </c>
      <c r="G15" s="4">
        <f ca="1"/>
        <v>0.32662656000166701</v>
      </c>
      <c r="H15" s="4">
        <f ca="1"/>
        <v>0.78091780357015228</v>
      </c>
      <c r="I15" s="4">
        <f ca="1"/>
        <v>0.53761836449580003</v>
      </c>
      <c r="J15" s="4">
        <f ca="1"/>
        <v>7.6373409718518359E-2</v>
      </c>
      <c r="K15" s="4">
        <f ca="1"/>
        <v>0.52012874703854461</v>
      </c>
    </row>
    <row r="16" spans="1:11" x14ac:dyDescent="0.2">
      <c r="A16" s="4">
        <f ca="1"/>
        <v>0.88366997859071739</v>
      </c>
      <c r="B16" s="4">
        <f ca="1"/>
        <v>0.14887155103833627</v>
      </c>
      <c r="C16" s="4">
        <f ca="1"/>
        <v>0.48330148530259853</v>
      </c>
      <c r="D16" s="4">
        <f ca="1"/>
        <v>0.45487568076457396</v>
      </c>
      <c r="E16" s="4">
        <f ca="1"/>
        <v>0.7446111768500786</v>
      </c>
      <c r="F16" s="4">
        <f ca="1"/>
        <v>0.12016587433098747</v>
      </c>
      <c r="G16" s="4">
        <f ca="1"/>
        <v>0.56848372214678644</v>
      </c>
      <c r="H16" s="4">
        <f ca="1"/>
        <v>0.42158670026907075</v>
      </c>
      <c r="I16" s="4">
        <f ca="1"/>
        <v>0.66666200829462163</v>
      </c>
      <c r="J16" s="4">
        <f ca="1"/>
        <v>0.17260005785926169</v>
      </c>
      <c r="K16" s="4">
        <f ca="1"/>
        <v>0.31854658808877911</v>
      </c>
    </row>
    <row r="17" spans="1:14" x14ac:dyDescent="0.2">
      <c r="A17" s="4">
        <f ca="1"/>
        <v>0.97893254497640991</v>
      </c>
      <c r="B17" s="4">
        <f ca="1"/>
        <v>4.9420898714398587E-2</v>
      </c>
      <c r="C17" s="4">
        <f ca="1"/>
        <v>0.58781899820694583</v>
      </c>
      <c r="D17" s="4">
        <f ca="1"/>
        <v>0.31683671196321017</v>
      </c>
      <c r="E17" s="4">
        <f ca="1"/>
        <v>0.37265829587937249</v>
      </c>
      <c r="F17" s="4">
        <f ca="1"/>
        <v>0.70481552221091037</v>
      </c>
      <c r="G17" s="4">
        <f ca="1"/>
        <v>0.13970353696973825</v>
      </c>
      <c r="H17" s="4">
        <f ca="1"/>
        <v>0.62984477814939399</v>
      </c>
      <c r="I17" s="4">
        <f ca="1"/>
        <v>0.64433065129053124</v>
      </c>
      <c r="J17" s="4">
        <f ca="1"/>
        <v>0.2394032877790625</v>
      </c>
      <c r="K17" s="4">
        <f ca="1"/>
        <v>0.28888824230111576</v>
      </c>
    </row>
    <row r="18" spans="1:14" x14ac:dyDescent="0.2">
      <c r="A18" s="4">
        <f ca="1"/>
        <v>0.20871267661540926</v>
      </c>
      <c r="B18" s="4">
        <f ca="1"/>
        <v>1.5561797861206594E-2</v>
      </c>
      <c r="C18" s="4">
        <f ca="1"/>
        <v>0.20142733086395903</v>
      </c>
      <c r="D18" s="4">
        <f ca="1"/>
        <v>0.29452502053459773</v>
      </c>
      <c r="E18" s="4">
        <f ca="1"/>
        <v>0.11749569932134074</v>
      </c>
      <c r="F18" s="4">
        <f ca="1"/>
        <v>0.60379717706954494</v>
      </c>
      <c r="G18" s="4">
        <f ca="1"/>
        <v>0.57800995513832054</v>
      </c>
      <c r="H18" s="4">
        <f ca="1"/>
        <v>0.88766262341858371</v>
      </c>
      <c r="I18" s="4">
        <f ca="1"/>
        <v>0.85986227416804828</v>
      </c>
      <c r="J18" s="4">
        <f ca="1"/>
        <v>0.25890510124424337</v>
      </c>
      <c r="K18" s="4">
        <f ca="1"/>
        <v>0.89088427124478942</v>
      </c>
    </row>
    <row r="19" spans="1:14" x14ac:dyDescent="0.2">
      <c r="A19" s="4">
        <f ca="1"/>
        <v>0.26740694839600598</v>
      </c>
      <c r="B19" s="4">
        <f ca="1"/>
        <v>0.87883448810633924</v>
      </c>
      <c r="C19" s="4">
        <f ca="1"/>
        <v>0.39778407463935384</v>
      </c>
      <c r="D19" s="4">
        <f ca="1"/>
        <v>0.36271768067943488</v>
      </c>
      <c r="E19" s="4">
        <f ca="1"/>
        <v>0.20574741738690827</v>
      </c>
      <c r="F19" s="4">
        <f ca="1"/>
        <v>0.5260207389534679</v>
      </c>
      <c r="G19" s="4">
        <f ca="1"/>
        <v>0.12035541659742988</v>
      </c>
      <c r="H19" s="4">
        <f ca="1"/>
        <v>0.64648281900343363</v>
      </c>
      <c r="I19" s="4">
        <f ca="1"/>
        <v>0.74702749416866931</v>
      </c>
      <c r="J19" s="4">
        <f ca="1"/>
        <v>0.33792778980518134</v>
      </c>
      <c r="K19" s="4">
        <f ca="1"/>
        <v>0.59217263278246113</v>
      </c>
    </row>
    <row r="20" spans="1:14" x14ac:dyDescent="0.2">
      <c r="A20" s="4">
        <f ca="1"/>
        <v>0.2339389990120857</v>
      </c>
      <c r="B20" s="4">
        <f ca="1"/>
        <v>0.97763142327930508</v>
      </c>
      <c r="C20" s="4">
        <f ca="1"/>
        <v>0.73685345704023686</v>
      </c>
      <c r="D20" s="4">
        <f ca="1"/>
        <v>2.9666989564025581E-2</v>
      </c>
      <c r="E20" s="4">
        <f ca="1"/>
        <v>0.53240983044298229</v>
      </c>
      <c r="F20" s="4">
        <f ca="1"/>
        <v>0.95026433669678623</v>
      </c>
      <c r="G20" s="4">
        <f ca="1"/>
        <v>0.24359445805338586</v>
      </c>
      <c r="H20" s="4">
        <f ca="1"/>
        <v>0.90291672590418859</v>
      </c>
      <c r="I20" s="4">
        <f ca="1"/>
        <v>0.69857945894739193</v>
      </c>
      <c r="J20" s="4">
        <f ca="1"/>
        <v>5.3748323479056337E-2</v>
      </c>
      <c r="K20" s="4">
        <f ca="1"/>
        <v>0.23276613717545358</v>
      </c>
    </row>
    <row r="21" spans="1:14" x14ac:dyDescent="0.2">
      <c r="A21" s="4">
        <f ca="1"/>
        <v>8.1656408612879483E-2</v>
      </c>
      <c r="B21" s="4">
        <f ca="1"/>
        <v>0.38372151203428329</v>
      </c>
      <c r="C21" s="4">
        <f ca="1"/>
        <v>0.80478615108209961</v>
      </c>
      <c r="D21" s="4">
        <f ca="1"/>
        <v>0.36853364809581202</v>
      </c>
      <c r="E21" s="4">
        <f ca="1"/>
        <v>0.24932171842941586</v>
      </c>
      <c r="F21" s="4">
        <f ca="1"/>
        <v>0.25734027128623982</v>
      </c>
      <c r="G21" s="4">
        <f ca="1"/>
        <v>3.4738156496683104E-3</v>
      </c>
      <c r="H21" s="4">
        <f ca="1"/>
        <v>0.6858304816570383</v>
      </c>
      <c r="I21" s="4">
        <f ca="1"/>
        <v>0.79889146418706447</v>
      </c>
      <c r="J21" s="4">
        <f ca="1"/>
        <v>0.81430164605467525</v>
      </c>
      <c r="K21" s="4">
        <f ca="1"/>
        <v>0.21056972856910183</v>
      </c>
      <c r="M21" t="s">
        <v>54</v>
      </c>
      <c r="N21">
        <f>TimeSeries!C51</f>
        <v>0</v>
      </c>
    </row>
    <row r="22" spans="1:14" x14ac:dyDescent="0.2">
      <c r="A22" s="4">
        <f ca="1"/>
        <v>0.80014425594233141</v>
      </c>
      <c r="B22" s="4">
        <f ca="1"/>
        <v>0.42445504368701492</v>
      </c>
      <c r="C22" s="4">
        <f ca="1"/>
        <v>0.78629653066583183</v>
      </c>
      <c r="D22" s="4">
        <f ca="1"/>
        <v>0.1311863512903213</v>
      </c>
      <c r="E22" s="4">
        <f ca="1"/>
        <v>0.56968383822431812</v>
      </c>
      <c r="F22" s="4">
        <f ca="1"/>
        <v>0.44946920061114015</v>
      </c>
      <c r="G22" s="4">
        <f ca="1"/>
        <v>0.73166061949130223</v>
      </c>
      <c r="H22" s="4">
        <f ca="1"/>
        <v>0.49045636411384963</v>
      </c>
      <c r="I22" s="4">
        <f ca="1"/>
        <v>0.73897470460929571</v>
      </c>
      <c r="J22" s="4">
        <f ca="1"/>
        <v>0.36584436452863112</v>
      </c>
      <c r="K22" s="4">
        <f ca="1"/>
        <v>0.94223136710152089</v>
      </c>
      <c r="M22" t="s">
        <v>56</v>
      </c>
      <c r="N22">
        <f>TimeSeries!C59</f>
        <v>2</v>
      </c>
    </row>
    <row r="23" spans="1:14" x14ac:dyDescent="0.2">
      <c r="A23" s="4">
        <f ca="1"/>
        <v>0.93709972595782509</v>
      </c>
      <c r="B23" s="4">
        <f ca="1"/>
        <v>0.82717130502049385</v>
      </c>
      <c r="C23" s="4">
        <f ca="1"/>
        <v>0.50320752676103064</v>
      </c>
      <c r="D23" s="4">
        <f ca="1"/>
        <v>0.83052988976259845</v>
      </c>
      <c r="E23" s="4">
        <f ca="1"/>
        <v>0.71474378755992318</v>
      </c>
      <c r="F23" s="4">
        <f ca="1"/>
        <v>2.3438058799393868E-2</v>
      </c>
      <c r="G23" s="4">
        <f ca="1"/>
        <v>0.28373372101786998</v>
      </c>
      <c r="H23" s="4">
        <f ca="1"/>
        <v>0.74800830749137237</v>
      </c>
      <c r="I23" s="4">
        <f ca="1"/>
        <v>0.82176003025251554</v>
      </c>
      <c r="J23" s="4">
        <f ca="1"/>
        <v>0.78413936975206044</v>
      </c>
      <c r="K23" s="4">
        <f ca="1"/>
        <v>0.75420159354338112</v>
      </c>
      <c r="M23" t="s">
        <v>60</v>
      </c>
      <c r="N23">
        <f>TimeSeries!C75</f>
        <v>0</v>
      </c>
    </row>
    <row r="24" spans="1:14" x14ac:dyDescent="0.2">
      <c r="A24" s="4">
        <f ca="1"/>
        <v>0.21981612490487645</v>
      </c>
      <c r="B24" s="4">
        <f ca="1"/>
        <v>0.24454895696161449</v>
      </c>
      <c r="C24" s="4">
        <f ca="1"/>
        <v>0.80007665413132611</v>
      </c>
      <c r="D24" s="4">
        <f ca="1"/>
        <v>0.43964066426599968</v>
      </c>
      <c r="E24" s="4">
        <f ca="1"/>
        <v>7.6711331130436711E-2</v>
      </c>
      <c r="F24" s="4">
        <f ca="1"/>
        <v>0.21012891791781652</v>
      </c>
      <c r="G24" s="4">
        <f ca="1"/>
        <v>0.34397339257075377</v>
      </c>
      <c r="H24" s="4">
        <f ca="1"/>
        <v>0.38231456809595232</v>
      </c>
      <c r="I24" s="4">
        <f ca="1"/>
        <v>4.4773473809563868E-2</v>
      </c>
      <c r="J24" s="4">
        <f ca="1"/>
        <v>8.1679307368595078E-3</v>
      </c>
      <c r="K24" s="4">
        <f ca="1"/>
        <v>0.69264553093322789</v>
      </c>
      <c r="M24" t="s">
        <v>53</v>
      </c>
      <c r="N24" t="str">
        <f>TimeSeries!B9</f>
        <v>Handle does not point to underlying &lt;TimeSeriesFromFile&gt; type.</v>
      </c>
    </row>
    <row r="25" spans="1:14" x14ac:dyDescent="0.2">
      <c r="A25" s="4">
        <f ca="1"/>
        <v>0.12532836735943287</v>
      </c>
      <c r="B25" s="4">
        <f ca="1"/>
        <v>0.79092154171621198</v>
      </c>
      <c r="C25" s="4">
        <f ca="1"/>
        <v>0.2600449732420389</v>
      </c>
      <c r="D25" s="4">
        <f ca="1"/>
        <v>0.96676074515626409</v>
      </c>
      <c r="E25" s="4">
        <f ca="1"/>
        <v>0.13450727570839494</v>
      </c>
      <c r="F25" s="4">
        <f ca="1"/>
        <v>7.4434809249307454E-3</v>
      </c>
      <c r="G25" s="4">
        <f ca="1"/>
        <v>0.54348284887182874</v>
      </c>
      <c r="H25" s="4">
        <f ca="1"/>
        <v>0.50046241286967208</v>
      </c>
      <c r="I25" s="4">
        <f ca="1"/>
        <v>0.86380718351551544</v>
      </c>
      <c r="J25" s="4">
        <f ca="1"/>
        <v>0.57701525797065045</v>
      </c>
      <c r="K25" s="4">
        <f ca="1"/>
        <v>0.50056057619994265</v>
      </c>
      <c r="M25" t="s">
        <v>32</v>
      </c>
      <c r="N25">
        <v>0</v>
      </c>
    </row>
    <row r="26" spans="1:14" x14ac:dyDescent="0.2">
      <c r="A26" s="4">
        <f ca="1"/>
        <v>0.35475309874368621</v>
      </c>
      <c r="B26" s="4">
        <f ca="1"/>
        <v>0.23533294225934398</v>
      </c>
      <c r="C26" s="4">
        <f ca="1"/>
        <v>0.71349753127713544</v>
      </c>
      <c r="D26" s="4">
        <f ca="1"/>
        <v>0.87675883374089647</v>
      </c>
      <c r="E26" s="4">
        <f ca="1"/>
        <v>0.82542960557168055</v>
      </c>
      <c r="F26" s="4">
        <f ca="1"/>
        <v>0.206141480281963</v>
      </c>
      <c r="G26" s="4">
        <f ca="1"/>
        <v>0.14441628603855261</v>
      </c>
      <c r="H26" s="4">
        <f ca="1"/>
        <v>0.30944084814630846</v>
      </c>
      <c r="I26" s="4">
        <f ca="1"/>
        <v>0.74008326658593515</v>
      </c>
      <c r="J26" s="4">
        <f ca="1"/>
        <v>0.41683355286328816</v>
      </c>
      <c r="K26" s="4">
        <f ca="1"/>
        <v>0.3877341431586161</v>
      </c>
      <c r="M26" t="s">
        <v>33</v>
      </c>
      <c r="N26">
        <f>TimeSeries!C18</f>
        <v>0</v>
      </c>
    </row>
    <row r="27" spans="1:14" x14ac:dyDescent="0.2">
      <c r="A27" s="4">
        <f ca="1"/>
        <v>0.91333953941545998</v>
      </c>
      <c r="B27" s="4">
        <f ca="1"/>
        <v>0.98002965959129329</v>
      </c>
      <c r="C27" s="4">
        <f ca="1"/>
        <v>0.2805468678523263</v>
      </c>
      <c r="D27" s="4">
        <f ca="1"/>
        <v>0.83817997534930044</v>
      </c>
      <c r="E27" s="4">
        <f ca="1"/>
        <v>0.64463296916340318</v>
      </c>
      <c r="F27" s="4">
        <f ca="1"/>
        <v>0.84102498882835774</v>
      </c>
      <c r="G27" s="4">
        <f ca="1"/>
        <v>9.2176601680622694E-2</v>
      </c>
      <c r="H27" s="4">
        <f ca="1"/>
        <v>0.92798154140057476</v>
      </c>
      <c r="I27" s="4">
        <f ca="1"/>
        <v>9.9568416892078515E-2</v>
      </c>
      <c r="J27" s="4">
        <f ca="1"/>
        <v>0.2573498542047673</v>
      </c>
      <c r="K27" s="4">
        <f ca="1"/>
        <v>0.43944354808852426</v>
      </c>
      <c r="M27" s="6" t="s">
        <v>57</v>
      </c>
      <c r="N27" s="6">
        <v>0.7</v>
      </c>
    </row>
    <row r="28" spans="1:14" x14ac:dyDescent="0.2">
      <c r="A28" s="4">
        <f ca="1"/>
        <v>0.56764284497422701</v>
      </c>
      <c r="B28" s="4">
        <f ca="1"/>
        <v>0.72072830991818482</v>
      </c>
      <c r="C28" s="4">
        <f ca="1"/>
        <v>0.54857150078643935</v>
      </c>
      <c r="D28" s="4">
        <f ca="1"/>
        <v>0.20236152327879275</v>
      </c>
      <c r="E28" s="4">
        <f ca="1"/>
        <v>6.4526480798498986E-2</v>
      </c>
      <c r="F28" s="4">
        <f ca="1"/>
        <v>0.59876582854212446</v>
      </c>
      <c r="G28" s="4">
        <f ca="1"/>
        <v>0.3192708522487937</v>
      </c>
      <c r="H28" s="4">
        <f ca="1"/>
        <v>0.61985290835856222</v>
      </c>
      <c r="I28" s="4">
        <f ca="1"/>
        <v>0.54093446278561086</v>
      </c>
      <c r="J28" s="4">
        <f ca="1"/>
        <v>0.71105734594524106</v>
      </c>
      <c r="K28" s="4">
        <f ca="1"/>
        <v>0.99936534241941055</v>
      </c>
      <c r="M28" s="13" t="s">
        <v>70</v>
      </c>
      <c r="N28" s="10" t="e">
        <f>_xll.TimeSeries("simulate",M21:N27)+TimeSeries!F76</f>
        <v>#VALUE!</v>
      </c>
    </row>
    <row r="29" spans="1:14" x14ac:dyDescent="0.2">
      <c r="A29" s="4">
        <f ca="1"/>
        <v>0.17458133040932389</v>
      </c>
      <c r="B29" s="4">
        <f ca="1"/>
        <v>9.5709348715885767E-2</v>
      </c>
      <c r="C29" s="4">
        <f ca="1"/>
        <v>0.7666559913401555</v>
      </c>
      <c r="D29" s="4">
        <f ca="1"/>
        <v>0.40433416773038655</v>
      </c>
      <c r="E29" s="4">
        <f ca="1"/>
        <v>0.56297938526602942</v>
      </c>
      <c r="F29" s="4">
        <f ca="1"/>
        <v>8.9818314487118522E-2</v>
      </c>
      <c r="G29" s="4">
        <f ca="1"/>
        <v>0.70224418680263445</v>
      </c>
      <c r="H29" s="4">
        <f ca="1"/>
        <v>0.38195213978236919</v>
      </c>
      <c r="I29" s="4">
        <f ca="1"/>
        <v>5.2307278678412228E-2</v>
      </c>
      <c r="J29" s="4">
        <f ca="1"/>
        <v>0.96768808766043168</v>
      </c>
      <c r="K29" s="4">
        <f ca="1"/>
        <v>0.52865667767454783</v>
      </c>
    </row>
    <row r="31" spans="1:14" x14ac:dyDescent="0.2">
      <c r="D31" s="5">
        <f ca="1">_xll.SumArray(D8:D29)</f>
        <v>0</v>
      </c>
    </row>
    <row r="32" spans="1:14" x14ac:dyDescent="0.2">
      <c r="D32" s="5">
        <f ca="1">SUM(D8:D29)</f>
        <v>10.0390823157254</v>
      </c>
    </row>
    <row r="34" spans="2:15" x14ac:dyDescent="0.2">
      <c r="G34" t="s">
        <v>15</v>
      </c>
      <c r="H34">
        <v>1</v>
      </c>
    </row>
    <row r="35" spans="2:15" x14ac:dyDescent="0.2">
      <c r="G35" t="s">
        <v>16</v>
      </c>
      <c r="H35">
        <v>2</v>
      </c>
    </row>
    <row r="36" spans="2:15" x14ac:dyDescent="0.2">
      <c r="G36" t="s">
        <v>17</v>
      </c>
      <c r="H36">
        <v>3</v>
      </c>
    </row>
    <row r="37" spans="2:15" x14ac:dyDescent="0.2">
      <c r="G37" t="s">
        <v>18</v>
      </c>
      <c r="H37">
        <v>12.3</v>
      </c>
      <c r="L37">
        <f t="array" aca="1" ref="L37:O46" ca="1">_xll.Cholesky(I22:K29)</f>
        <v>10.738974704609296</v>
      </c>
      <c r="M37">
        <f ca="1"/>
        <v>10.36584436452863</v>
      </c>
      <c r="N37">
        <f ca="1"/>
        <v>10.94223136710152</v>
      </c>
      <c r="O37" t="e">
        <f ca="1"/>
        <v>#N/A</v>
      </c>
    </row>
    <row r="38" spans="2:15" x14ac:dyDescent="0.2">
      <c r="L38">
        <f ca="1"/>
        <v>10.821760030252516</v>
      </c>
      <c r="M38">
        <f ca="1"/>
        <v>10.78413936975206</v>
      </c>
      <c r="N38">
        <f ca="1"/>
        <v>10.754201593543382</v>
      </c>
      <c r="O38" t="e">
        <f ca="1"/>
        <v>#N/A</v>
      </c>
    </row>
    <row r="39" spans="2:15" x14ac:dyDescent="0.2">
      <c r="G39">
        <f>_xll.SumArray(G34:H37)</f>
        <v>0</v>
      </c>
      <c r="L39">
        <f ca="1"/>
        <v>10.044773473809563</v>
      </c>
      <c r="M39">
        <f ca="1"/>
        <v>10.00816793073686</v>
      </c>
      <c r="N39">
        <f ca="1"/>
        <v>10.692645530933229</v>
      </c>
      <c r="O39" t="e">
        <f ca="1"/>
        <v>#N/A</v>
      </c>
    </row>
    <row r="40" spans="2:15" x14ac:dyDescent="0.2">
      <c r="L40">
        <f ca="1"/>
        <v>10.863807183515515</v>
      </c>
      <c r="M40">
        <f ca="1"/>
        <v>10.57701525797065</v>
      </c>
      <c r="N40">
        <f ca="1"/>
        <v>10.500560576199943</v>
      </c>
      <c r="O40" t="e">
        <f ca="1"/>
        <v>#N/A</v>
      </c>
    </row>
    <row r="41" spans="2:15" x14ac:dyDescent="0.2">
      <c r="L41">
        <f ca="1"/>
        <v>10.740083266585936</v>
      </c>
      <c r="M41">
        <f ca="1"/>
        <v>10.416833552863288</v>
      </c>
      <c r="N41">
        <f ca="1"/>
        <v>10.387734143158616</v>
      </c>
      <c r="O41" t="e">
        <f ca="1"/>
        <v>#N/A</v>
      </c>
    </row>
    <row r="42" spans="2:15" x14ac:dyDescent="0.2">
      <c r="L42">
        <f ca="1"/>
        <v>10.099568416892078</v>
      </c>
      <c r="M42">
        <f ca="1"/>
        <v>10.257349854204767</v>
      </c>
      <c r="N42">
        <f ca="1"/>
        <v>10.439443548088525</v>
      </c>
      <c r="O42" t="e">
        <f ca="1"/>
        <v>#N/A</v>
      </c>
    </row>
    <row r="43" spans="2:15" x14ac:dyDescent="0.2">
      <c r="L43">
        <f ca="1"/>
        <v>10.540934462785611</v>
      </c>
      <c r="M43">
        <f ca="1"/>
        <v>10.711057345945241</v>
      </c>
      <c r="N43">
        <f ca="1"/>
        <v>10.999365342419411</v>
      </c>
      <c r="O43" t="e">
        <f ca="1"/>
        <v>#N/A</v>
      </c>
    </row>
    <row r="44" spans="2:15" x14ac:dyDescent="0.2">
      <c r="L44">
        <f ca="1"/>
        <v>10.052307278678413</v>
      </c>
      <c r="M44">
        <f ca="1"/>
        <v>10.967688087660431</v>
      </c>
      <c r="N44">
        <f ca="1"/>
        <v>10.528656677674547</v>
      </c>
      <c r="O44" t="e">
        <f ca="1"/>
        <v>#N/A</v>
      </c>
    </row>
    <row r="45" spans="2:15" x14ac:dyDescent="0.2">
      <c r="B45" s="6">
        <v>1</v>
      </c>
      <c r="C45" s="6">
        <v>2</v>
      </c>
      <c r="E45" s="7">
        <v>5</v>
      </c>
      <c r="F45" s="7">
        <v>6</v>
      </c>
      <c r="L45" t="e">
        <f ca="1"/>
        <v>#N/A</v>
      </c>
      <c r="M45" t="e">
        <f ca="1"/>
        <v>#N/A</v>
      </c>
      <c r="N45" t="e">
        <f ca="1"/>
        <v>#N/A</v>
      </c>
      <c r="O45" t="e">
        <f ca="1"/>
        <v>#N/A</v>
      </c>
    </row>
    <row r="46" spans="2:15" x14ac:dyDescent="0.2">
      <c r="B46" s="6">
        <v>3</v>
      </c>
      <c r="C46" s="6">
        <v>4</v>
      </c>
      <c r="E46" s="7">
        <v>7</v>
      </c>
      <c r="F46" s="7">
        <v>8</v>
      </c>
      <c r="L46" t="e">
        <f ca="1"/>
        <v>#N/A</v>
      </c>
      <c r="M46" t="e">
        <f ca="1"/>
        <v>#N/A</v>
      </c>
      <c r="N46" t="e">
        <f ca="1"/>
        <v>#N/A</v>
      </c>
      <c r="O46" t="e">
        <f ca="1"/>
        <v>#N/A</v>
      </c>
    </row>
    <row r="50" spans="2:16" x14ac:dyDescent="0.2">
      <c r="H50">
        <f t="array" ref="H50:K54">_xll.EigenValuesVectors(B54:E57)</f>
        <v>0.21707188167534319</v>
      </c>
      <c r="I50">
        <v>0.89572191554736191</v>
      </c>
      <c r="J50">
        <v>-3.0922119743462444</v>
      </c>
      <c r="K50">
        <v>9.9794181771235326</v>
      </c>
    </row>
    <row r="51" spans="2:16" x14ac:dyDescent="0.2">
      <c r="C51" t="str">
        <f t="array" ref="C51:D52">_xll.MatProd(B45:C46,E45:F46)</f>
        <v>To be implemented.</v>
      </c>
      <c r="D51" t="str">
        <v>To be implemented.</v>
      </c>
      <c r="H51">
        <v>0.14536880177590439</v>
      </c>
      <c r="I51">
        <v>-0.44155901364585665</v>
      </c>
      <c r="J51">
        <v>0.73189226119689654</v>
      </c>
      <c r="K51">
        <v>0.49822411316437626</v>
      </c>
      <c r="M51" t="str">
        <f t="array" ref="M51:P54">_xll.MatProd(H51:K54,H56:K59)</f>
        <v>To be implemented.</v>
      </c>
      <c r="N51" t="str">
        <v>To be implemented.</v>
      </c>
      <c r="O51" t="str">
        <v>To be implemented.</v>
      </c>
      <c r="P51" t="str">
        <v>To be implemented.</v>
      </c>
    </row>
    <row r="52" spans="2:16" x14ac:dyDescent="0.2">
      <c r="C52" t="str">
        <v>To be implemented.</v>
      </c>
      <c r="D52" t="str">
        <v>To be implemented.</v>
      </c>
      <c r="H52">
        <v>-0.88492287033557793</v>
      </c>
      <c r="I52">
        <v>0.19190892848251737</v>
      </c>
      <c r="J52">
        <v>2.6731779774836215E-3</v>
      </c>
      <c r="K52">
        <v>0.42435283767783955</v>
      </c>
      <c r="M52" t="str">
        <v>To be implemented.</v>
      </c>
      <c r="N52" t="str">
        <v>To be implemented.</v>
      </c>
      <c r="O52" t="str">
        <v>To be implemented.</v>
      </c>
      <c r="P52" t="str">
        <v>To be implemented.</v>
      </c>
    </row>
    <row r="53" spans="2:16" x14ac:dyDescent="0.2">
      <c r="H53">
        <v>-3.5993560674263514E-2</v>
      </c>
      <c r="I53">
        <v>-0.73962151999569381</v>
      </c>
      <c r="J53">
        <v>-0.61832524965352031</v>
      </c>
      <c r="K53">
        <v>0.26332177348286068</v>
      </c>
      <c r="M53" t="str">
        <v>To be implemented.</v>
      </c>
      <c r="N53" t="str">
        <v>To be implemented.</v>
      </c>
      <c r="O53" t="str">
        <v>To be implemented.</v>
      </c>
      <c r="P53" t="str">
        <v>To be implemented.</v>
      </c>
    </row>
    <row r="54" spans="2:16" x14ac:dyDescent="0.2">
      <c r="B54">
        <v>1</v>
      </c>
      <c r="C54">
        <v>2</v>
      </c>
      <c r="D54">
        <v>3</v>
      </c>
      <c r="E54">
        <v>4</v>
      </c>
      <c r="H54">
        <v>0.44100327506410697</v>
      </c>
      <c r="I54">
        <v>0.47027290778445829</v>
      </c>
      <c r="J54">
        <v>-0.2863572205489246</v>
      </c>
      <c r="K54">
        <v>0.70877291555629895</v>
      </c>
      <c r="M54" t="str">
        <v>To be implemented.</v>
      </c>
      <c r="N54" t="str">
        <v>To be implemented.</v>
      </c>
      <c r="O54" t="str">
        <v>To be implemented.</v>
      </c>
      <c r="P54" t="str">
        <v>To be implemented.</v>
      </c>
    </row>
    <row r="55" spans="2:16" x14ac:dyDescent="0.2">
      <c r="B55">
        <v>2</v>
      </c>
      <c r="C55">
        <v>2</v>
      </c>
      <c r="D55">
        <v>1</v>
      </c>
      <c r="E55">
        <v>3</v>
      </c>
    </row>
    <row r="56" spans="2:16" x14ac:dyDescent="0.2">
      <c r="B56">
        <v>3</v>
      </c>
      <c r="C56">
        <v>1</v>
      </c>
      <c r="D56">
        <v>0</v>
      </c>
      <c r="E56">
        <v>1</v>
      </c>
      <c r="H56">
        <f t="array" ref="H56:K59">TRANSPOSE(H51:K54)</f>
        <v>0.14536880177590439</v>
      </c>
      <c r="I56">
        <v>-0.88492287033557793</v>
      </c>
      <c r="J56">
        <v>-3.5993560674263514E-2</v>
      </c>
      <c r="K56">
        <v>0.44100327506410697</v>
      </c>
      <c r="M56" t="str">
        <f t="array" ref="M56:P59">_xll.MatProd(H51:K54,TRANSPOSE(H50:K50))</f>
        <v>To be implemented.</v>
      </c>
      <c r="N56" t="str">
        <v>To be implemented.</v>
      </c>
      <c r="O56" t="str">
        <v>To be implemented.</v>
      </c>
      <c r="P56" t="str">
        <v>To be implemented.</v>
      </c>
    </row>
    <row r="57" spans="2:16" x14ac:dyDescent="0.2">
      <c r="B57">
        <v>4</v>
      </c>
      <c r="C57">
        <v>3</v>
      </c>
      <c r="D57">
        <v>1</v>
      </c>
      <c r="E57">
        <v>5</v>
      </c>
      <c r="H57">
        <v>-0.44155901364585665</v>
      </c>
      <c r="I57">
        <v>0.19190892848251737</v>
      </c>
      <c r="J57">
        <v>-0.73962151999569381</v>
      </c>
      <c r="K57">
        <v>0.47027290778445829</v>
      </c>
      <c r="M57" t="str">
        <v>To be implemented.</v>
      </c>
      <c r="N57" t="str">
        <v>To be implemented.</v>
      </c>
      <c r="O57" t="str">
        <v>To be implemented.</v>
      </c>
      <c r="P57" t="str">
        <v>To be implemented.</v>
      </c>
    </row>
    <row r="58" spans="2:16" x14ac:dyDescent="0.2">
      <c r="H58">
        <v>0.73189226119689654</v>
      </c>
      <c r="I58">
        <v>2.6731779774836215E-3</v>
      </c>
      <c r="J58">
        <v>-0.61832524965352031</v>
      </c>
      <c r="K58">
        <v>-0.2863572205489246</v>
      </c>
      <c r="M58" t="str">
        <v>To be implemented.</v>
      </c>
      <c r="N58" t="str">
        <v>To be implemented.</v>
      </c>
      <c r="O58" t="str">
        <v>To be implemented.</v>
      </c>
      <c r="P58" t="str">
        <v>To be implemented.</v>
      </c>
    </row>
    <row r="59" spans="2:16" x14ac:dyDescent="0.2">
      <c r="H59">
        <v>0.49822411316437626</v>
      </c>
      <c r="I59">
        <v>0.42435283767783955</v>
      </c>
      <c r="J59">
        <v>0.26332177348286068</v>
      </c>
      <c r="K59">
        <v>0.70877291555629895</v>
      </c>
      <c r="M59" t="str">
        <v>To be implemented.</v>
      </c>
      <c r="N59" t="str">
        <v>To be implemented.</v>
      </c>
      <c r="O59" t="str">
        <v>To be implemented.</v>
      </c>
      <c r="P59" t="str">
        <v>To be implemented.</v>
      </c>
    </row>
    <row r="61" spans="2:16" x14ac:dyDescent="0.2">
      <c r="M61" t="str">
        <f t="array" ref="M61:P64">_xll.MatProd(M56:P59,TRANSPOSE(H56:K59))</f>
        <v>command failed Conversion to Double</v>
      </c>
      <c r="N61" t="str">
        <v>command failed Conversion to Double</v>
      </c>
      <c r="O61" t="str">
        <v>command failed Conversion to Double</v>
      </c>
      <c r="P61" t="str">
        <v>command failed Conversion to Double</v>
      </c>
    </row>
    <row r="62" spans="2:16" x14ac:dyDescent="0.2">
      <c r="M62" t="str">
        <v>command failed Conversion to Double</v>
      </c>
      <c r="N62" t="str">
        <v>command failed Conversion to Double</v>
      </c>
      <c r="O62" t="str">
        <v>command failed Conversion to Double</v>
      </c>
      <c r="P62" t="str">
        <v>command failed Conversion to Double</v>
      </c>
    </row>
    <row r="63" spans="2:16" x14ac:dyDescent="0.2">
      <c r="M63" t="str">
        <v>command failed Conversion to Double</v>
      </c>
      <c r="N63" t="str">
        <v>command failed Conversion to Double</v>
      </c>
      <c r="O63" t="str">
        <v>command failed Conversion to Double</v>
      </c>
      <c r="P63" t="str">
        <v>command failed Conversion to Double</v>
      </c>
    </row>
    <row r="64" spans="2:16" x14ac:dyDescent="0.2">
      <c r="M64" t="str">
        <v>command failed Conversion to Double</v>
      </c>
      <c r="N64" t="str">
        <v>command failed Conversion to Double</v>
      </c>
      <c r="O64" t="str">
        <v>command failed Conversion to Double</v>
      </c>
      <c r="P64" t="str">
        <v>command failed Conversion to Double</v>
      </c>
    </row>
  </sheetData>
  <phoneticPr fontId="0" type="noConversion"/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F11"/>
  <sheetViews>
    <sheetView workbookViewId="0">
      <selection activeCell="G19" sqref="G19"/>
    </sheetView>
  </sheetViews>
  <sheetFormatPr defaultColWidth="11.42578125" defaultRowHeight="12.75" x14ac:dyDescent="0.2"/>
  <sheetData>
    <row r="3" spans="2:6" x14ac:dyDescent="0.2">
      <c r="B3" t="s">
        <v>22</v>
      </c>
      <c r="C3">
        <v>5</v>
      </c>
    </row>
    <row r="4" spans="2:6" x14ac:dyDescent="0.2">
      <c r="B4" t="s">
        <v>21</v>
      </c>
      <c r="C4">
        <v>5</v>
      </c>
    </row>
    <row r="5" spans="2:6" x14ac:dyDescent="0.2">
      <c r="B5" t="s">
        <v>23</v>
      </c>
      <c r="C5" s="8">
        <v>0.2</v>
      </c>
    </row>
    <row r="6" spans="2:6" x14ac:dyDescent="0.2">
      <c r="B6" t="s">
        <v>24</v>
      </c>
      <c r="C6">
        <v>5</v>
      </c>
    </row>
    <row r="8" spans="2:6" x14ac:dyDescent="0.2">
      <c r="B8" t="s">
        <v>25</v>
      </c>
      <c r="C8" t="s">
        <v>26</v>
      </c>
    </row>
    <row r="9" spans="2:6" x14ac:dyDescent="0.2">
      <c r="B9" t="s">
        <v>27</v>
      </c>
      <c r="C9">
        <v>1000</v>
      </c>
    </row>
    <row r="10" spans="2:6" x14ac:dyDescent="0.2">
      <c r="B10" t="s">
        <v>28</v>
      </c>
      <c r="C10">
        <v>0.54</v>
      </c>
    </row>
    <row r="11" spans="2:6" x14ac:dyDescent="0.2">
      <c r="E11" t="s">
        <v>19</v>
      </c>
      <c r="F11">
        <f>_xll.OptionPricer(C3, C4,C5,C6,B8:C10)</f>
        <v>0.877414743278635</v>
      </c>
    </row>
  </sheetData>
  <phoneticPr fontId="0" type="noConversion"/>
  <pageMargins left="0.75" right="0.75" top="1" bottom="1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510"/>
  <sheetViews>
    <sheetView workbookViewId="0">
      <selection activeCell="E15" sqref="E15"/>
    </sheetView>
  </sheetViews>
  <sheetFormatPr defaultColWidth="11.42578125" defaultRowHeight="12.75" x14ac:dyDescent="0.2"/>
  <cols>
    <col min="2" max="2" width="16.7109375" customWidth="1"/>
    <col min="5" max="5" width="14" bestFit="1" customWidth="1"/>
    <col min="6" max="6" width="12.140625" bestFit="1" customWidth="1"/>
    <col min="10" max="13" width="13.140625" bestFit="1" customWidth="1"/>
    <col min="14" max="14" width="13.5703125" bestFit="1" customWidth="1"/>
    <col min="15" max="15" width="25.7109375" customWidth="1"/>
  </cols>
  <sheetData>
    <row r="1" spans="1:12" x14ac:dyDescent="0.2">
      <c r="A1" s="11"/>
    </row>
    <row r="3" spans="1:12" x14ac:dyDescent="0.2">
      <c r="A3" t="s">
        <v>83</v>
      </c>
    </row>
    <row r="4" spans="1:12" x14ac:dyDescent="0.2">
      <c r="B4" s="6" t="s">
        <v>62</v>
      </c>
      <c r="C4" s="9" t="s">
        <v>35</v>
      </c>
      <c r="E4" s="6" t="s">
        <v>62</v>
      </c>
      <c r="F4" s="9" t="s">
        <v>39</v>
      </c>
    </row>
    <row r="5" spans="1:12" x14ac:dyDescent="0.2">
      <c r="B5" s="6" t="s">
        <v>36</v>
      </c>
      <c r="C5" s="6">
        <v>50</v>
      </c>
      <c r="E5" s="6" t="s">
        <v>36</v>
      </c>
      <c r="F5" s="6">
        <v>50</v>
      </c>
      <c r="J5" t="s">
        <v>43</v>
      </c>
    </row>
    <row r="6" spans="1:12" x14ac:dyDescent="0.2">
      <c r="B6" s="13" t="s">
        <v>78</v>
      </c>
      <c r="C6" s="10">
        <f>_xll.TimeSeries("createIndicator",B4:C5)</f>
        <v>4</v>
      </c>
      <c r="E6" s="6" t="s">
        <v>38</v>
      </c>
      <c r="F6" s="6">
        <f>C6</f>
        <v>4</v>
      </c>
      <c r="K6" s="6" t="s">
        <v>53</v>
      </c>
      <c r="L6" s="6" t="e">
        <f>#REF!</f>
        <v>#REF!</v>
      </c>
    </row>
    <row r="7" spans="1:12" x14ac:dyDescent="0.2">
      <c r="E7" s="13" t="s">
        <v>78</v>
      </c>
      <c r="F7" s="10" t="str">
        <f>_xll.TimeSeries("createIndicator",E4:F6)</f>
        <v>Handle does not point to underlying &lt;indexT&gt; type.</v>
      </c>
      <c r="K7" s="6" t="s">
        <v>32</v>
      </c>
      <c r="L7" s="6">
        <v>1</v>
      </c>
    </row>
    <row r="8" spans="1:12" x14ac:dyDescent="0.2">
      <c r="K8" s="6" t="s">
        <v>33</v>
      </c>
      <c r="L8" s="6">
        <v>500</v>
      </c>
    </row>
    <row r="9" spans="1:12" x14ac:dyDescent="0.2">
      <c r="K9" s="6" t="s">
        <v>44</v>
      </c>
      <c r="L9" s="6">
        <v>2</v>
      </c>
    </row>
    <row r="10" spans="1:12" x14ac:dyDescent="0.2">
      <c r="B10" s="6" t="s">
        <v>62</v>
      </c>
      <c r="C10" s="9" t="s">
        <v>40</v>
      </c>
      <c r="E10" s="6" t="s">
        <v>62</v>
      </c>
      <c r="F10" s="9" t="s">
        <v>40</v>
      </c>
      <c r="K10" s="6" t="s">
        <v>45</v>
      </c>
      <c r="L10" s="6">
        <v>3</v>
      </c>
    </row>
    <row r="11" spans="1:12" x14ac:dyDescent="0.2">
      <c r="B11" s="6" t="s">
        <v>41</v>
      </c>
      <c r="C11" s="6">
        <v>0.4</v>
      </c>
      <c r="E11" s="6" t="s">
        <v>41</v>
      </c>
      <c r="F11" s="6">
        <v>0.9</v>
      </c>
      <c r="K11" s="6" t="s">
        <v>46</v>
      </c>
      <c r="L11" s="6">
        <v>6</v>
      </c>
    </row>
    <row r="12" spans="1:12" x14ac:dyDescent="0.2">
      <c r="B12" s="13" t="s">
        <v>78</v>
      </c>
      <c r="C12" s="10">
        <f>_xll.TimeSeries("createIndicator",B10:C11)</f>
        <v>1</v>
      </c>
      <c r="E12" s="13" t="s">
        <v>78</v>
      </c>
      <c r="F12" s="10">
        <f>_xll.TimeSeries("createIndicator",E10:F11)</f>
        <v>3</v>
      </c>
    </row>
    <row r="14" spans="1:12" x14ac:dyDescent="0.2">
      <c r="B14" s="6" t="s">
        <v>62</v>
      </c>
      <c r="C14" s="9" t="s">
        <v>79</v>
      </c>
    </row>
    <row r="15" spans="1:12" x14ac:dyDescent="0.2">
      <c r="B15" s="6" t="s">
        <v>80</v>
      </c>
      <c r="C15" s="6">
        <v>3</v>
      </c>
    </row>
    <row r="16" spans="1:12" x14ac:dyDescent="0.2">
      <c r="B16" s="13" t="s">
        <v>78</v>
      </c>
      <c r="C16" s="10">
        <f>_xll.TimeSeries("createIndicator",B14:C15)</f>
        <v>0</v>
      </c>
    </row>
    <row r="19" spans="2:15" x14ac:dyDescent="0.2">
      <c r="B19" s="6" t="s">
        <v>62</v>
      </c>
      <c r="C19" s="9" t="s">
        <v>85</v>
      </c>
    </row>
    <row r="20" spans="2:15" x14ac:dyDescent="0.2">
      <c r="B20" s="6" t="s">
        <v>41</v>
      </c>
      <c r="C20" s="6">
        <v>0.4</v>
      </c>
    </row>
    <row r="21" spans="2:15" x14ac:dyDescent="0.2">
      <c r="B21" s="6" t="s">
        <v>84</v>
      </c>
      <c r="C21" s="6">
        <v>2</v>
      </c>
    </row>
    <row r="22" spans="2:15" x14ac:dyDescent="0.2">
      <c r="B22" s="13" t="s">
        <v>78</v>
      </c>
      <c r="C22" s="10">
        <f>_xll.TimeSeries("createIndicator",B19:C21)</f>
        <v>6</v>
      </c>
      <c r="J22" s="10" t="str">
        <f t="array" ref="J22:N474">_xll.TimeSeries("analyse",K6:L11)</f>
        <v>parameter is error Conversion to Double</v>
      </c>
      <c r="K22" t="str">
        <v>parameter is error Conversion to Double</v>
      </c>
      <c r="L22" t="str">
        <v>parameter is error Conversion to Double</v>
      </c>
      <c r="M22" t="str">
        <v>parameter is error Conversion to Double</v>
      </c>
      <c r="N22" t="str">
        <v>parameter is error Conversion to Double</v>
      </c>
    </row>
    <row r="23" spans="2:15" x14ac:dyDescent="0.2">
      <c r="I23">
        <v>0</v>
      </c>
      <c r="J23" t="str">
        <v>parameter is error Conversion to Double</v>
      </c>
      <c r="K23" t="str">
        <v>parameter is error Conversion to Double</v>
      </c>
      <c r="L23" t="str">
        <v>parameter is error Conversion to Double</v>
      </c>
      <c r="M23" t="str">
        <v>parameter is error Conversion to Double</v>
      </c>
      <c r="N23" t="str">
        <v>parameter is error Conversion to Double</v>
      </c>
      <c r="O23" t="e">
        <f t="shared" ref="O23:O86" si="0">M23-N23</f>
        <v>#VALUE!</v>
      </c>
    </row>
    <row r="24" spans="2:15" x14ac:dyDescent="0.2">
      <c r="I24">
        <f>I23+1</f>
        <v>1</v>
      </c>
      <c r="J24" t="str">
        <v>parameter is error Conversion to Double</v>
      </c>
      <c r="K24" t="str">
        <v>parameter is error Conversion to Double</v>
      </c>
      <c r="L24" t="str">
        <v>parameter is error Conversion to Double</v>
      </c>
      <c r="M24" t="str">
        <v>parameter is error Conversion to Double</v>
      </c>
      <c r="N24" t="str">
        <v>parameter is error Conversion to Double</v>
      </c>
      <c r="O24" t="e">
        <f t="shared" si="0"/>
        <v>#VALUE!</v>
      </c>
    </row>
    <row r="25" spans="2:15" x14ac:dyDescent="0.2">
      <c r="B25" s="6" t="s">
        <v>62</v>
      </c>
      <c r="C25" s="9" t="s">
        <v>86</v>
      </c>
      <c r="I25">
        <f t="shared" ref="I25:I88" si="1">I24+1</f>
        <v>2</v>
      </c>
      <c r="J25" t="str">
        <v>parameter is error Conversion to Double</v>
      </c>
      <c r="K25" t="str">
        <v>parameter is error Conversion to Double</v>
      </c>
      <c r="L25" t="str">
        <v>parameter is error Conversion to Double</v>
      </c>
      <c r="M25" t="str">
        <v>parameter is error Conversion to Double</v>
      </c>
      <c r="N25" t="str">
        <v>parameter is error Conversion to Double</v>
      </c>
      <c r="O25" t="e">
        <f t="shared" si="0"/>
        <v>#VALUE!</v>
      </c>
    </row>
    <row r="26" spans="2:15" x14ac:dyDescent="0.2">
      <c r="B26" s="6" t="s">
        <v>41</v>
      </c>
      <c r="C26" s="6">
        <f>1/(C28*(8*C27-3))</f>
        <v>0.3719441072151205</v>
      </c>
      <c r="I26">
        <f t="shared" si="1"/>
        <v>3</v>
      </c>
      <c r="J26" t="str">
        <v>parameter is error Conversion to Double</v>
      </c>
      <c r="K26" t="str">
        <v>parameter is error Conversion to Double</v>
      </c>
      <c r="L26" t="str">
        <v>parameter is error Conversion to Double</v>
      </c>
      <c r="M26" t="str">
        <v>parameter is error Conversion to Double</v>
      </c>
      <c r="N26" t="str">
        <v>parameter is error Conversion to Double</v>
      </c>
      <c r="O26" t="e">
        <f t="shared" si="0"/>
        <v>#VALUE!</v>
      </c>
    </row>
    <row r="27" spans="2:15" x14ac:dyDescent="0.2">
      <c r="B27" s="6" t="s">
        <v>87</v>
      </c>
      <c r="C27" s="6">
        <v>0.65</v>
      </c>
      <c r="I27">
        <f t="shared" si="1"/>
        <v>4</v>
      </c>
      <c r="J27" t="str">
        <v>parameter is error Conversion to Double</v>
      </c>
      <c r="K27" t="str">
        <v>parameter is error Conversion to Double</v>
      </c>
      <c r="L27" t="str">
        <v>parameter is error Conversion to Double</v>
      </c>
      <c r="M27" t="str">
        <v>parameter is error Conversion to Double</v>
      </c>
      <c r="N27" t="str">
        <v>parameter is error Conversion to Double</v>
      </c>
      <c r="O27" t="e">
        <f t="shared" si="0"/>
        <v>#VALUE!</v>
      </c>
    </row>
    <row r="28" spans="2:15" x14ac:dyDescent="0.2">
      <c r="B28" s="6" t="s">
        <v>88</v>
      </c>
      <c r="C28" s="6">
        <v>1.2220800000000001</v>
      </c>
      <c r="I28">
        <f t="shared" si="1"/>
        <v>5</v>
      </c>
      <c r="J28" t="str">
        <v>parameter is error Conversion to Double</v>
      </c>
      <c r="K28" t="str">
        <v>parameter is error Conversion to Double</v>
      </c>
      <c r="L28" t="str">
        <v>parameter is error Conversion to Double</v>
      </c>
      <c r="M28" t="str">
        <v>parameter is error Conversion to Double</v>
      </c>
      <c r="N28" t="str">
        <v>parameter is error Conversion to Double</v>
      </c>
      <c r="O28" t="e">
        <f t="shared" si="0"/>
        <v>#VALUE!</v>
      </c>
    </row>
    <row r="29" spans="2:15" x14ac:dyDescent="0.2">
      <c r="B29" s="6" t="s">
        <v>80</v>
      </c>
      <c r="C29" s="6">
        <v>3</v>
      </c>
      <c r="I29">
        <f t="shared" si="1"/>
        <v>6</v>
      </c>
      <c r="J29" t="str">
        <v>parameter is error Conversion to Double</v>
      </c>
      <c r="K29" t="str">
        <v>parameter is error Conversion to Double</v>
      </c>
      <c r="L29" t="str">
        <v>parameter is error Conversion to Double</v>
      </c>
      <c r="M29" t="str">
        <v>parameter is error Conversion to Double</v>
      </c>
      <c r="N29" t="str">
        <v>parameter is error Conversion to Double</v>
      </c>
      <c r="O29" t="e">
        <f t="shared" si="0"/>
        <v>#VALUE!</v>
      </c>
    </row>
    <row r="30" spans="2:15" x14ac:dyDescent="0.2">
      <c r="B30" s="13" t="s">
        <v>78</v>
      </c>
      <c r="C30" s="10" t="str">
        <f>_xll.TimeSeries("createIndicator",B25:C28)</f>
        <v>Unknown indicator name.</v>
      </c>
      <c r="I30">
        <f t="shared" si="1"/>
        <v>7</v>
      </c>
      <c r="J30" t="str">
        <v>parameter is error Conversion to Double</v>
      </c>
      <c r="K30" t="str">
        <v>parameter is error Conversion to Double</v>
      </c>
      <c r="L30" t="str">
        <v>parameter is error Conversion to Double</v>
      </c>
      <c r="M30" t="str">
        <v>parameter is error Conversion to Double</v>
      </c>
      <c r="N30" t="str">
        <v>parameter is error Conversion to Double</v>
      </c>
      <c r="O30" t="e">
        <f t="shared" si="0"/>
        <v>#VALUE!</v>
      </c>
    </row>
    <row r="31" spans="2:15" x14ac:dyDescent="0.2">
      <c r="I31">
        <f t="shared" si="1"/>
        <v>8</v>
      </c>
      <c r="J31" t="str">
        <v>parameter is error Conversion to Double</v>
      </c>
      <c r="K31" t="str">
        <v>parameter is error Conversion to Double</v>
      </c>
      <c r="L31" t="str">
        <v>parameter is error Conversion to Double</v>
      </c>
      <c r="M31" t="str">
        <v>parameter is error Conversion to Double</v>
      </c>
      <c r="N31" t="str">
        <v>parameter is error Conversion to Double</v>
      </c>
      <c r="O31" t="e">
        <f t="shared" si="0"/>
        <v>#VALUE!</v>
      </c>
    </row>
    <row r="32" spans="2:15" x14ac:dyDescent="0.2">
      <c r="I32">
        <f t="shared" si="1"/>
        <v>9</v>
      </c>
      <c r="J32" t="str">
        <v>parameter is error Conversion to Double</v>
      </c>
      <c r="K32" t="str">
        <v>parameter is error Conversion to Double</v>
      </c>
      <c r="L32" t="str">
        <v>parameter is error Conversion to Double</v>
      </c>
      <c r="M32" t="str">
        <v>parameter is error Conversion to Double</v>
      </c>
      <c r="N32" t="str">
        <v>parameter is error Conversion to Double</v>
      </c>
      <c r="O32" t="e">
        <f t="shared" si="0"/>
        <v>#VALUE!</v>
      </c>
    </row>
    <row r="33" spans="2:15" x14ac:dyDescent="0.2">
      <c r="I33">
        <f t="shared" si="1"/>
        <v>10</v>
      </c>
      <c r="J33" t="str">
        <v>parameter is error Conversion to Double</v>
      </c>
      <c r="K33" t="str">
        <v>parameter is error Conversion to Double</v>
      </c>
      <c r="L33" t="str">
        <v>parameter is error Conversion to Double</v>
      </c>
      <c r="M33" t="str">
        <v>parameter is error Conversion to Double</v>
      </c>
      <c r="N33" t="str">
        <v>parameter is error Conversion to Double</v>
      </c>
      <c r="O33" t="e">
        <f t="shared" si="0"/>
        <v>#VALUE!</v>
      </c>
    </row>
    <row r="34" spans="2:15" x14ac:dyDescent="0.2">
      <c r="B34" s="6" t="s">
        <v>62</v>
      </c>
      <c r="C34" s="9" t="s">
        <v>42</v>
      </c>
      <c r="I34">
        <f t="shared" si="1"/>
        <v>11</v>
      </c>
      <c r="J34" t="str">
        <v>parameter is error Conversion to Double</v>
      </c>
      <c r="K34" t="str">
        <v>parameter is error Conversion to Double</v>
      </c>
      <c r="L34" t="str">
        <v>parameter is error Conversion to Double</v>
      </c>
      <c r="M34" t="str">
        <v>parameter is error Conversion to Double</v>
      </c>
      <c r="N34" t="str">
        <v>parameter is error Conversion to Double</v>
      </c>
      <c r="O34" t="e">
        <f t="shared" si="0"/>
        <v>#VALUE!</v>
      </c>
    </row>
    <row r="35" spans="2:15" x14ac:dyDescent="0.2">
      <c r="B35" s="6" t="s">
        <v>41</v>
      </c>
      <c r="C35" s="6">
        <v>0.6</v>
      </c>
      <c r="I35">
        <f t="shared" si="1"/>
        <v>12</v>
      </c>
      <c r="J35" t="str">
        <v>parameter is error Conversion to Double</v>
      </c>
      <c r="K35" t="str">
        <v>parameter is error Conversion to Double</v>
      </c>
      <c r="L35" t="str">
        <v>parameter is error Conversion to Double</v>
      </c>
      <c r="M35" t="str">
        <v>parameter is error Conversion to Double</v>
      </c>
      <c r="N35" t="str">
        <v>parameter is error Conversion to Double</v>
      </c>
      <c r="O35" t="e">
        <f t="shared" si="0"/>
        <v>#VALUE!</v>
      </c>
    </row>
    <row r="36" spans="2:15" x14ac:dyDescent="0.2">
      <c r="B36" s="6" t="s">
        <v>38</v>
      </c>
      <c r="C36" s="6">
        <f>C12</f>
        <v>1</v>
      </c>
      <c r="I36">
        <f t="shared" si="1"/>
        <v>13</v>
      </c>
      <c r="J36" t="str">
        <v>parameter is error Conversion to Double</v>
      </c>
      <c r="K36" t="str">
        <v>parameter is error Conversion to Double</v>
      </c>
      <c r="L36" t="str">
        <v>parameter is error Conversion to Double</v>
      </c>
      <c r="M36" t="str">
        <v>parameter is error Conversion to Double</v>
      </c>
      <c r="N36" t="str">
        <v>parameter is error Conversion to Double</v>
      </c>
      <c r="O36" t="e">
        <f t="shared" si="0"/>
        <v>#VALUE!</v>
      </c>
    </row>
    <row r="37" spans="2:15" x14ac:dyDescent="0.2">
      <c r="B37" s="13" t="s">
        <v>78</v>
      </c>
      <c r="C37" s="10">
        <f>_xll.TimeSeries("createIndicator",B34:C36)</f>
        <v>10</v>
      </c>
      <c r="I37">
        <f t="shared" si="1"/>
        <v>14</v>
      </c>
      <c r="J37" t="str">
        <v>parameter is error Conversion to Double</v>
      </c>
      <c r="K37" t="str">
        <v>parameter is error Conversion to Double</v>
      </c>
      <c r="L37" t="str">
        <v>parameter is error Conversion to Double</v>
      </c>
      <c r="M37" t="str">
        <v>parameter is error Conversion to Double</v>
      </c>
      <c r="N37" t="str">
        <v>parameter is error Conversion to Double</v>
      </c>
      <c r="O37" t="e">
        <f t="shared" si="0"/>
        <v>#VALUE!</v>
      </c>
    </row>
    <row r="38" spans="2:15" x14ac:dyDescent="0.2">
      <c r="I38">
        <f t="shared" si="1"/>
        <v>15</v>
      </c>
      <c r="J38" t="str">
        <v>parameter is error Conversion to Double</v>
      </c>
      <c r="K38" t="str">
        <v>parameter is error Conversion to Double</v>
      </c>
      <c r="L38" t="str">
        <v>parameter is error Conversion to Double</v>
      </c>
      <c r="M38" t="str">
        <v>parameter is error Conversion to Double</v>
      </c>
      <c r="N38" t="str">
        <v>parameter is error Conversion to Double</v>
      </c>
      <c r="O38" t="e">
        <f t="shared" si="0"/>
        <v>#VALUE!</v>
      </c>
    </row>
    <row r="39" spans="2:15" x14ac:dyDescent="0.2">
      <c r="B39" s="6" t="s">
        <v>62</v>
      </c>
      <c r="C39" s="12" t="s">
        <v>66</v>
      </c>
      <c r="E39" s="6" t="s">
        <v>62</v>
      </c>
      <c r="F39" s="12" t="s">
        <v>67</v>
      </c>
      <c r="I39">
        <f t="shared" si="1"/>
        <v>16</v>
      </c>
      <c r="J39" t="str">
        <v>parameter is error Conversion to Double</v>
      </c>
      <c r="K39" t="str">
        <v>parameter is error Conversion to Double</v>
      </c>
      <c r="L39" t="str">
        <v>parameter is error Conversion to Double</v>
      </c>
      <c r="M39" t="str">
        <v>parameter is error Conversion to Double</v>
      </c>
      <c r="N39" t="str">
        <v>parameter is error Conversion to Double</v>
      </c>
      <c r="O39" t="e">
        <f t="shared" si="0"/>
        <v>#VALUE!</v>
      </c>
    </row>
    <row r="40" spans="2:15" x14ac:dyDescent="0.2">
      <c r="B40" s="6" t="s">
        <v>36</v>
      </c>
      <c r="C40" s="6">
        <v>10</v>
      </c>
      <c r="E40" s="6" t="s">
        <v>36</v>
      </c>
      <c r="F40" s="6">
        <v>10</v>
      </c>
      <c r="I40">
        <f t="shared" si="1"/>
        <v>17</v>
      </c>
      <c r="J40" t="str">
        <v>parameter is error Conversion to Double</v>
      </c>
      <c r="K40" t="str">
        <v>parameter is error Conversion to Double</v>
      </c>
      <c r="L40" t="str">
        <v>parameter is error Conversion to Double</v>
      </c>
      <c r="M40" t="str">
        <v>parameter is error Conversion to Double</v>
      </c>
      <c r="N40" t="str">
        <v>parameter is error Conversion to Double</v>
      </c>
      <c r="O40" t="e">
        <f t="shared" si="0"/>
        <v>#VALUE!</v>
      </c>
    </row>
    <row r="41" spans="2:15" x14ac:dyDescent="0.2">
      <c r="B41" s="13" t="s">
        <v>78</v>
      </c>
      <c r="C41" s="10">
        <f>_xll.TimeSeries("createIndicator",B39:C40)</f>
        <v>2</v>
      </c>
      <c r="E41" s="6" t="s">
        <v>68</v>
      </c>
      <c r="F41" s="6">
        <f>C6</f>
        <v>4</v>
      </c>
      <c r="I41">
        <f t="shared" si="1"/>
        <v>18</v>
      </c>
      <c r="J41" t="str">
        <v>parameter is error Conversion to Double</v>
      </c>
      <c r="K41" t="str">
        <v>parameter is error Conversion to Double</v>
      </c>
      <c r="L41" t="str">
        <v>parameter is error Conversion to Double</v>
      </c>
      <c r="M41" t="str">
        <v>parameter is error Conversion to Double</v>
      </c>
      <c r="N41" t="str">
        <v>parameter is error Conversion to Double</v>
      </c>
      <c r="O41" t="e">
        <f t="shared" si="0"/>
        <v>#VALUE!</v>
      </c>
    </row>
    <row r="42" spans="2:15" x14ac:dyDescent="0.2">
      <c r="E42" s="13" t="s">
        <v>78</v>
      </c>
      <c r="F42" s="10" t="str">
        <f>_xll.TimeSeries("createIndicator",E39:F41)</f>
        <v>Handle does not point to underlying &lt;indexT&gt; type.</v>
      </c>
      <c r="I42">
        <f t="shared" si="1"/>
        <v>19</v>
      </c>
      <c r="J42" t="str">
        <v>parameter is error Conversion to Double</v>
      </c>
      <c r="K42" t="str">
        <v>parameter is error Conversion to Double</v>
      </c>
      <c r="L42" t="str">
        <v>parameter is error Conversion to Double</v>
      </c>
      <c r="M42" t="str">
        <v>parameter is error Conversion to Double</v>
      </c>
      <c r="N42" t="str">
        <v>parameter is error Conversion to Double</v>
      </c>
      <c r="O42" t="e">
        <f t="shared" si="0"/>
        <v>#VALUE!</v>
      </c>
    </row>
    <row r="43" spans="2:15" x14ac:dyDescent="0.2">
      <c r="I43">
        <f t="shared" si="1"/>
        <v>20</v>
      </c>
      <c r="J43" t="str">
        <v>parameter is error Conversion to Double</v>
      </c>
      <c r="K43" t="str">
        <v>parameter is error Conversion to Double</v>
      </c>
      <c r="L43" t="str">
        <v>parameter is error Conversion to Double</v>
      </c>
      <c r="M43" t="str">
        <v>parameter is error Conversion to Double</v>
      </c>
      <c r="N43" t="str">
        <v>parameter is error Conversion to Double</v>
      </c>
      <c r="O43" t="e">
        <f t="shared" si="0"/>
        <v>#VALUE!</v>
      </c>
    </row>
    <row r="44" spans="2:15" x14ac:dyDescent="0.2">
      <c r="I44">
        <f t="shared" si="1"/>
        <v>21</v>
      </c>
      <c r="J44" t="str">
        <v>parameter is error Conversion to Double</v>
      </c>
      <c r="K44" t="str">
        <v>parameter is error Conversion to Double</v>
      </c>
      <c r="L44" t="str">
        <v>parameter is error Conversion to Double</v>
      </c>
      <c r="M44" t="str">
        <v>parameter is error Conversion to Double</v>
      </c>
      <c r="N44" t="str">
        <v>parameter is error Conversion to Double</v>
      </c>
      <c r="O44" t="e">
        <f t="shared" si="0"/>
        <v>#VALUE!</v>
      </c>
    </row>
    <row r="45" spans="2:15" x14ac:dyDescent="0.2">
      <c r="I45">
        <f t="shared" si="1"/>
        <v>22</v>
      </c>
      <c r="J45" t="str">
        <v>parameter is error Conversion to Double</v>
      </c>
      <c r="K45" t="str">
        <v>parameter is error Conversion to Double</v>
      </c>
      <c r="L45" t="str">
        <v>parameter is error Conversion to Double</v>
      </c>
      <c r="M45" t="str">
        <v>parameter is error Conversion to Double</v>
      </c>
      <c r="N45" t="str">
        <v>parameter is error Conversion to Double</v>
      </c>
      <c r="O45" t="e">
        <f t="shared" si="0"/>
        <v>#VALUE!</v>
      </c>
    </row>
    <row r="46" spans="2:15" x14ac:dyDescent="0.2">
      <c r="I46">
        <f t="shared" si="1"/>
        <v>23</v>
      </c>
      <c r="J46" t="str">
        <v>parameter is error Conversion to Double</v>
      </c>
      <c r="K46" t="str">
        <v>parameter is error Conversion to Double</v>
      </c>
      <c r="L46" t="str">
        <v>parameter is error Conversion to Double</v>
      </c>
      <c r="M46" t="str">
        <v>parameter is error Conversion to Double</v>
      </c>
      <c r="N46" t="str">
        <v>parameter is error Conversion to Double</v>
      </c>
      <c r="O46" t="e">
        <f t="shared" si="0"/>
        <v>#VALUE!</v>
      </c>
    </row>
    <row r="47" spans="2:15" x14ac:dyDescent="0.2">
      <c r="I47">
        <f t="shared" si="1"/>
        <v>24</v>
      </c>
      <c r="J47" t="str">
        <v>parameter is error Conversion to Double</v>
      </c>
      <c r="K47" t="str">
        <v>parameter is error Conversion to Double</v>
      </c>
      <c r="L47" t="str">
        <v>parameter is error Conversion to Double</v>
      </c>
      <c r="M47" t="str">
        <v>parameter is error Conversion to Double</v>
      </c>
      <c r="N47" t="str">
        <v>parameter is error Conversion to Double</v>
      </c>
      <c r="O47" t="e">
        <f t="shared" si="0"/>
        <v>#VALUE!</v>
      </c>
    </row>
    <row r="48" spans="2:15" x14ac:dyDescent="0.2">
      <c r="I48">
        <f t="shared" si="1"/>
        <v>25</v>
      </c>
      <c r="J48" t="str">
        <v>parameter is error Conversion to Double</v>
      </c>
      <c r="K48" t="str">
        <v>parameter is error Conversion to Double</v>
      </c>
      <c r="L48" t="str">
        <v>parameter is error Conversion to Double</v>
      </c>
      <c r="M48" t="str">
        <v>parameter is error Conversion to Double</v>
      </c>
      <c r="N48" t="str">
        <v>parameter is error Conversion to Double</v>
      </c>
      <c r="O48" t="e">
        <f t="shared" si="0"/>
        <v>#VALUE!</v>
      </c>
    </row>
    <row r="49" spans="1:15" x14ac:dyDescent="0.2">
      <c r="I49">
        <f t="shared" si="1"/>
        <v>26</v>
      </c>
      <c r="J49" t="str">
        <v>parameter is error Conversion to Double</v>
      </c>
      <c r="K49" t="str">
        <v>parameter is error Conversion to Double</v>
      </c>
      <c r="L49" t="str">
        <v>parameter is error Conversion to Double</v>
      </c>
      <c r="M49" t="str">
        <v>parameter is error Conversion to Double</v>
      </c>
      <c r="N49" t="str">
        <v>parameter is error Conversion to Double</v>
      </c>
      <c r="O49" t="e">
        <f t="shared" si="0"/>
        <v>#VALUE!</v>
      </c>
    </row>
    <row r="50" spans="1:15" x14ac:dyDescent="0.2">
      <c r="I50">
        <f t="shared" si="1"/>
        <v>27</v>
      </c>
      <c r="J50" t="str">
        <v>parameter is error Conversion to Double</v>
      </c>
      <c r="K50" t="str">
        <v>parameter is error Conversion to Double</v>
      </c>
      <c r="L50" t="str">
        <v>parameter is error Conversion to Double</v>
      </c>
      <c r="M50" t="str">
        <v>parameter is error Conversion to Double</v>
      </c>
      <c r="N50" t="str">
        <v>parameter is error Conversion to Double</v>
      </c>
      <c r="O50" t="e">
        <f t="shared" si="0"/>
        <v>#VALUE!</v>
      </c>
    </row>
    <row r="51" spans="1:15" x14ac:dyDescent="0.2">
      <c r="I51">
        <f t="shared" si="1"/>
        <v>28</v>
      </c>
      <c r="J51" t="str">
        <v>parameter is error Conversion to Double</v>
      </c>
      <c r="K51" t="str">
        <v>parameter is error Conversion to Double</v>
      </c>
      <c r="L51" t="str">
        <v>parameter is error Conversion to Double</v>
      </c>
      <c r="M51" t="str">
        <v>parameter is error Conversion to Double</v>
      </c>
      <c r="N51" t="str">
        <v>parameter is error Conversion to Double</v>
      </c>
      <c r="O51" t="e">
        <f t="shared" si="0"/>
        <v>#VALUE!</v>
      </c>
    </row>
    <row r="52" spans="1:15" x14ac:dyDescent="0.2">
      <c r="I52">
        <f t="shared" si="1"/>
        <v>29</v>
      </c>
      <c r="J52" t="str">
        <v>parameter is error Conversion to Double</v>
      </c>
      <c r="K52" t="str">
        <v>parameter is error Conversion to Double</v>
      </c>
      <c r="L52" t="str">
        <v>parameter is error Conversion to Double</v>
      </c>
      <c r="M52" t="str">
        <v>parameter is error Conversion to Double</v>
      </c>
      <c r="N52" t="str">
        <v>parameter is error Conversion to Double</v>
      </c>
      <c r="O52" t="e">
        <f t="shared" si="0"/>
        <v>#VALUE!</v>
      </c>
    </row>
    <row r="53" spans="1:15" x14ac:dyDescent="0.2">
      <c r="I53">
        <f t="shared" si="1"/>
        <v>30</v>
      </c>
      <c r="J53" t="str">
        <v>parameter is error Conversion to Double</v>
      </c>
      <c r="K53" t="str">
        <v>parameter is error Conversion to Double</v>
      </c>
      <c r="L53" t="str">
        <v>parameter is error Conversion to Double</v>
      </c>
      <c r="M53" t="str">
        <v>parameter is error Conversion to Double</v>
      </c>
      <c r="N53" t="str">
        <v>parameter is error Conversion to Double</v>
      </c>
      <c r="O53" t="e">
        <f t="shared" si="0"/>
        <v>#VALUE!</v>
      </c>
    </row>
    <row r="54" spans="1:15" x14ac:dyDescent="0.2">
      <c r="I54">
        <f t="shared" si="1"/>
        <v>31</v>
      </c>
      <c r="J54" t="str">
        <v>parameter is error Conversion to Double</v>
      </c>
      <c r="K54" t="str">
        <v>parameter is error Conversion to Double</v>
      </c>
      <c r="L54" t="str">
        <v>parameter is error Conversion to Double</v>
      </c>
      <c r="M54" t="str">
        <v>parameter is error Conversion to Double</v>
      </c>
      <c r="N54" t="str">
        <v>parameter is error Conversion to Double</v>
      </c>
      <c r="O54" t="e">
        <f t="shared" si="0"/>
        <v>#VALUE!</v>
      </c>
    </row>
    <row r="55" spans="1:15" x14ac:dyDescent="0.2">
      <c r="I55">
        <f t="shared" si="1"/>
        <v>32</v>
      </c>
      <c r="J55" t="str">
        <v>parameter is error Conversion to Double</v>
      </c>
      <c r="K55" t="str">
        <v>parameter is error Conversion to Double</v>
      </c>
      <c r="L55" t="str">
        <v>parameter is error Conversion to Double</v>
      </c>
      <c r="M55" t="str">
        <v>parameter is error Conversion to Double</v>
      </c>
      <c r="N55" t="str">
        <v>parameter is error Conversion to Double</v>
      </c>
      <c r="O55" t="e">
        <f t="shared" si="0"/>
        <v>#VALUE!</v>
      </c>
    </row>
    <row r="56" spans="1:15" x14ac:dyDescent="0.2">
      <c r="I56">
        <f t="shared" si="1"/>
        <v>33</v>
      </c>
      <c r="J56" t="str">
        <v>parameter is error Conversion to Double</v>
      </c>
      <c r="K56" t="str">
        <v>parameter is error Conversion to Double</v>
      </c>
      <c r="L56" t="str">
        <v>parameter is error Conversion to Double</v>
      </c>
      <c r="M56" t="str">
        <v>parameter is error Conversion to Double</v>
      </c>
      <c r="N56" t="str">
        <v>parameter is error Conversion to Double</v>
      </c>
      <c r="O56" t="e">
        <f t="shared" si="0"/>
        <v>#VALUE!</v>
      </c>
    </row>
    <row r="57" spans="1:15" x14ac:dyDescent="0.2">
      <c r="I57">
        <f t="shared" si="1"/>
        <v>34</v>
      </c>
      <c r="J57" t="str">
        <v>parameter is error Conversion to Double</v>
      </c>
      <c r="K57" t="str">
        <v>parameter is error Conversion to Double</v>
      </c>
      <c r="L57" t="str">
        <v>parameter is error Conversion to Double</v>
      </c>
      <c r="M57" t="str">
        <v>parameter is error Conversion to Double</v>
      </c>
      <c r="N57" t="str">
        <v>parameter is error Conversion to Double</v>
      </c>
      <c r="O57" t="e">
        <f t="shared" si="0"/>
        <v>#VALUE!</v>
      </c>
    </row>
    <row r="58" spans="1:15" x14ac:dyDescent="0.2">
      <c r="I58">
        <f t="shared" si="1"/>
        <v>35</v>
      </c>
      <c r="J58" t="str">
        <v>parameter is error Conversion to Double</v>
      </c>
      <c r="K58" t="str">
        <v>parameter is error Conversion to Double</v>
      </c>
      <c r="L58" t="str">
        <v>parameter is error Conversion to Double</v>
      </c>
      <c r="M58" t="str">
        <v>parameter is error Conversion to Double</v>
      </c>
      <c r="N58" t="str">
        <v>parameter is error Conversion to Double</v>
      </c>
      <c r="O58" t="e">
        <f t="shared" si="0"/>
        <v>#VALUE!</v>
      </c>
    </row>
    <row r="59" spans="1:15" x14ac:dyDescent="0.2">
      <c r="I59">
        <f t="shared" si="1"/>
        <v>36</v>
      </c>
      <c r="J59" t="str">
        <v>parameter is error Conversion to Double</v>
      </c>
      <c r="K59" t="str">
        <v>parameter is error Conversion to Double</v>
      </c>
      <c r="L59" t="str">
        <v>parameter is error Conversion to Double</v>
      </c>
      <c r="M59" t="str">
        <v>parameter is error Conversion to Double</v>
      </c>
      <c r="N59" t="str">
        <v>parameter is error Conversion to Double</v>
      </c>
      <c r="O59" t="e">
        <f t="shared" si="0"/>
        <v>#VALUE!</v>
      </c>
    </row>
    <row r="60" spans="1:15" x14ac:dyDescent="0.2">
      <c r="I60">
        <f t="shared" si="1"/>
        <v>37</v>
      </c>
      <c r="J60" t="str">
        <v>parameter is error Conversion to Double</v>
      </c>
      <c r="K60" t="str">
        <v>parameter is error Conversion to Double</v>
      </c>
      <c r="L60" t="str">
        <v>parameter is error Conversion to Double</v>
      </c>
      <c r="M60" t="str">
        <v>parameter is error Conversion to Double</v>
      </c>
      <c r="N60" t="str">
        <v>parameter is error Conversion to Double</v>
      </c>
      <c r="O60" t="e">
        <f t="shared" si="0"/>
        <v>#VALUE!</v>
      </c>
    </row>
    <row r="61" spans="1:15" x14ac:dyDescent="0.2">
      <c r="I61">
        <f t="shared" si="1"/>
        <v>38</v>
      </c>
      <c r="J61" t="str">
        <v>parameter is error Conversion to Double</v>
      </c>
      <c r="K61" t="str">
        <v>parameter is error Conversion to Double</v>
      </c>
      <c r="L61" t="str">
        <v>parameter is error Conversion to Double</v>
      </c>
      <c r="M61" t="str">
        <v>parameter is error Conversion to Double</v>
      </c>
      <c r="N61" t="str">
        <v>parameter is error Conversion to Double</v>
      </c>
      <c r="O61" t="e">
        <f t="shared" si="0"/>
        <v>#VALUE!</v>
      </c>
    </row>
    <row r="62" spans="1:15" x14ac:dyDescent="0.2">
      <c r="I62">
        <f t="shared" si="1"/>
        <v>39</v>
      </c>
      <c r="J62" t="str">
        <v>parameter is error Conversion to Double</v>
      </c>
      <c r="K62" t="str">
        <v>parameter is error Conversion to Double</v>
      </c>
      <c r="L62" t="str">
        <v>parameter is error Conversion to Double</v>
      </c>
      <c r="M62" t="str">
        <v>parameter is error Conversion to Double</v>
      </c>
      <c r="N62" t="str">
        <v>parameter is error Conversion to Double</v>
      </c>
      <c r="O62" t="e">
        <f t="shared" si="0"/>
        <v>#VALUE!</v>
      </c>
    </row>
    <row r="63" spans="1:15" x14ac:dyDescent="0.2">
      <c r="I63">
        <f t="shared" si="1"/>
        <v>40</v>
      </c>
      <c r="J63" t="str">
        <v>parameter is error Conversion to Double</v>
      </c>
      <c r="K63" t="str">
        <v>parameter is error Conversion to Double</v>
      </c>
      <c r="L63" t="str">
        <v>parameter is error Conversion to Double</v>
      </c>
      <c r="M63" t="str">
        <v>parameter is error Conversion to Double</v>
      </c>
      <c r="N63" t="str">
        <v>parameter is error Conversion to Double</v>
      </c>
      <c r="O63" t="e">
        <f t="shared" si="0"/>
        <v>#VALUE!</v>
      </c>
    </row>
    <row r="64" spans="1:15" x14ac:dyDescent="0.2">
      <c r="A64" s="13"/>
      <c r="I64">
        <f t="shared" si="1"/>
        <v>41</v>
      </c>
      <c r="J64" t="str">
        <v>parameter is error Conversion to Double</v>
      </c>
      <c r="K64" t="str">
        <v>parameter is error Conversion to Double</v>
      </c>
      <c r="L64" t="str">
        <v>parameter is error Conversion to Double</v>
      </c>
      <c r="M64" t="str">
        <v>parameter is error Conversion to Double</v>
      </c>
      <c r="N64" t="str">
        <v>parameter is error Conversion to Double</v>
      </c>
      <c r="O64" t="e">
        <f t="shared" si="0"/>
        <v>#VALUE!</v>
      </c>
    </row>
    <row r="65" spans="9:15" x14ac:dyDescent="0.2">
      <c r="I65">
        <f t="shared" si="1"/>
        <v>42</v>
      </c>
      <c r="J65" t="str">
        <v>parameter is error Conversion to Double</v>
      </c>
      <c r="K65" t="str">
        <v>parameter is error Conversion to Double</v>
      </c>
      <c r="L65" t="str">
        <v>parameter is error Conversion to Double</v>
      </c>
      <c r="M65" t="str">
        <v>parameter is error Conversion to Double</v>
      </c>
      <c r="N65" t="str">
        <v>parameter is error Conversion to Double</v>
      </c>
      <c r="O65" t="e">
        <f t="shared" si="0"/>
        <v>#VALUE!</v>
      </c>
    </row>
    <row r="66" spans="9:15" x14ac:dyDescent="0.2">
      <c r="I66">
        <f t="shared" si="1"/>
        <v>43</v>
      </c>
      <c r="J66" t="str">
        <v>parameter is error Conversion to Double</v>
      </c>
      <c r="K66" t="str">
        <v>parameter is error Conversion to Double</v>
      </c>
      <c r="L66" t="str">
        <v>parameter is error Conversion to Double</v>
      </c>
      <c r="M66" t="str">
        <v>parameter is error Conversion to Double</v>
      </c>
      <c r="N66" t="str">
        <v>parameter is error Conversion to Double</v>
      </c>
      <c r="O66" t="e">
        <f t="shared" si="0"/>
        <v>#VALUE!</v>
      </c>
    </row>
    <row r="67" spans="9:15" x14ac:dyDescent="0.2">
      <c r="I67">
        <f t="shared" si="1"/>
        <v>44</v>
      </c>
      <c r="J67" t="str">
        <v>parameter is error Conversion to Double</v>
      </c>
      <c r="K67" t="str">
        <v>parameter is error Conversion to Double</v>
      </c>
      <c r="L67" t="str">
        <v>parameter is error Conversion to Double</v>
      </c>
      <c r="M67" t="str">
        <v>parameter is error Conversion to Double</v>
      </c>
      <c r="N67" t="str">
        <v>parameter is error Conversion to Double</v>
      </c>
      <c r="O67" t="e">
        <f t="shared" si="0"/>
        <v>#VALUE!</v>
      </c>
    </row>
    <row r="68" spans="9:15" x14ac:dyDescent="0.2">
      <c r="I68">
        <f t="shared" si="1"/>
        <v>45</v>
      </c>
      <c r="J68" t="str">
        <v>parameter is error Conversion to Double</v>
      </c>
      <c r="K68" t="str">
        <v>parameter is error Conversion to Double</v>
      </c>
      <c r="L68" t="str">
        <v>parameter is error Conversion to Double</v>
      </c>
      <c r="M68" t="str">
        <v>parameter is error Conversion to Double</v>
      </c>
      <c r="N68" t="str">
        <v>parameter is error Conversion to Double</v>
      </c>
      <c r="O68" t="e">
        <f t="shared" si="0"/>
        <v>#VALUE!</v>
      </c>
    </row>
    <row r="69" spans="9:15" x14ac:dyDescent="0.2">
      <c r="I69">
        <f t="shared" si="1"/>
        <v>46</v>
      </c>
      <c r="J69" t="str">
        <v>parameter is error Conversion to Double</v>
      </c>
      <c r="K69" t="str">
        <v>parameter is error Conversion to Double</v>
      </c>
      <c r="L69" t="str">
        <v>parameter is error Conversion to Double</v>
      </c>
      <c r="M69" t="str">
        <v>parameter is error Conversion to Double</v>
      </c>
      <c r="N69" t="str">
        <v>parameter is error Conversion to Double</v>
      </c>
      <c r="O69" t="e">
        <f t="shared" si="0"/>
        <v>#VALUE!</v>
      </c>
    </row>
    <row r="70" spans="9:15" x14ac:dyDescent="0.2">
      <c r="I70">
        <f t="shared" si="1"/>
        <v>47</v>
      </c>
      <c r="J70" t="str">
        <v>parameter is error Conversion to Double</v>
      </c>
      <c r="K70" t="str">
        <v>parameter is error Conversion to Double</v>
      </c>
      <c r="L70" t="str">
        <v>parameter is error Conversion to Double</v>
      </c>
      <c r="M70" t="str">
        <v>parameter is error Conversion to Double</v>
      </c>
      <c r="N70" t="str">
        <v>parameter is error Conversion to Double</v>
      </c>
      <c r="O70" t="e">
        <f t="shared" si="0"/>
        <v>#VALUE!</v>
      </c>
    </row>
    <row r="71" spans="9:15" x14ac:dyDescent="0.2">
      <c r="I71">
        <f t="shared" si="1"/>
        <v>48</v>
      </c>
      <c r="J71" t="str">
        <v>parameter is error Conversion to Double</v>
      </c>
      <c r="K71" t="str">
        <v>parameter is error Conversion to Double</v>
      </c>
      <c r="L71" t="str">
        <v>parameter is error Conversion to Double</v>
      </c>
      <c r="M71" t="str">
        <v>parameter is error Conversion to Double</v>
      </c>
      <c r="N71" t="str">
        <v>parameter is error Conversion to Double</v>
      </c>
      <c r="O71" t="e">
        <f t="shared" si="0"/>
        <v>#VALUE!</v>
      </c>
    </row>
    <row r="72" spans="9:15" x14ac:dyDescent="0.2">
      <c r="I72">
        <f t="shared" si="1"/>
        <v>49</v>
      </c>
      <c r="J72" t="str">
        <v>parameter is error Conversion to Double</v>
      </c>
      <c r="K72" t="str">
        <v>parameter is error Conversion to Double</v>
      </c>
      <c r="L72" t="str">
        <v>parameter is error Conversion to Double</v>
      </c>
      <c r="M72" t="str">
        <v>parameter is error Conversion to Double</v>
      </c>
      <c r="N72" t="str">
        <v>parameter is error Conversion to Double</v>
      </c>
      <c r="O72" t="e">
        <f t="shared" si="0"/>
        <v>#VALUE!</v>
      </c>
    </row>
    <row r="73" spans="9:15" x14ac:dyDescent="0.2">
      <c r="I73">
        <f t="shared" si="1"/>
        <v>50</v>
      </c>
      <c r="J73" t="str">
        <v>parameter is error Conversion to Double</v>
      </c>
      <c r="K73" t="str">
        <v>parameter is error Conversion to Double</v>
      </c>
      <c r="L73" t="str">
        <v>parameter is error Conversion to Double</v>
      </c>
      <c r="M73" t="str">
        <v>parameter is error Conversion to Double</v>
      </c>
      <c r="N73" t="str">
        <v>parameter is error Conversion to Double</v>
      </c>
      <c r="O73" t="e">
        <f t="shared" si="0"/>
        <v>#VALUE!</v>
      </c>
    </row>
    <row r="74" spans="9:15" x14ac:dyDescent="0.2">
      <c r="I74">
        <f t="shared" si="1"/>
        <v>51</v>
      </c>
      <c r="J74" t="str">
        <v>parameter is error Conversion to Double</v>
      </c>
      <c r="K74" t="str">
        <v>parameter is error Conversion to Double</v>
      </c>
      <c r="L74" t="str">
        <v>parameter is error Conversion to Double</v>
      </c>
      <c r="M74" t="str">
        <v>parameter is error Conversion to Double</v>
      </c>
      <c r="N74" t="str">
        <v>parameter is error Conversion to Double</v>
      </c>
      <c r="O74" t="e">
        <f t="shared" si="0"/>
        <v>#VALUE!</v>
      </c>
    </row>
    <row r="75" spans="9:15" x14ac:dyDescent="0.2">
      <c r="I75">
        <f t="shared" si="1"/>
        <v>52</v>
      </c>
      <c r="J75" t="str">
        <v>parameter is error Conversion to Double</v>
      </c>
      <c r="K75" t="str">
        <v>parameter is error Conversion to Double</v>
      </c>
      <c r="L75" t="str">
        <v>parameter is error Conversion to Double</v>
      </c>
      <c r="M75" t="str">
        <v>parameter is error Conversion to Double</v>
      </c>
      <c r="N75" t="str">
        <v>parameter is error Conversion to Double</v>
      </c>
      <c r="O75" t="e">
        <f t="shared" si="0"/>
        <v>#VALUE!</v>
      </c>
    </row>
    <row r="76" spans="9:15" x14ac:dyDescent="0.2">
      <c r="I76">
        <f t="shared" si="1"/>
        <v>53</v>
      </c>
      <c r="J76" t="str">
        <v>parameter is error Conversion to Double</v>
      </c>
      <c r="K76" t="str">
        <v>parameter is error Conversion to Double</v>
      </c>
      <c r="L76" t="str">
        <v>parameter is error Conversion to Double</v>
      </c>
      <c r="M76" t="str">
        <v>parameter is error Conversion to Double</v>
      </c>
      <c r="N76" t="str">
        <v>parameter is error Conversion to Double</v>
      </c>
      <c r="O76" t="e">
        <f t="shared" si="0"/>
        <v>#VALUE!</v>
      </c>
    </row>
    <row r="77" spans="9:15" x14ac:dyDescent="0.2">
      <c r="I77">
        <f t="shared" si="1"/>
        <v>54</v>
      </c>
      <c r="J77" t="str">
        <v>parameter is error Conversion to Double</v>
      </c>
      <c r="K77" t="str">
        <v>parameter is error Conversion to Double</v>
      </c>
      <c r="L77" t="str">
        <v>parameter is error Conversion to Double</v>
      </c>
      <c r="M77" t="str">
        <v>parameter is error Conversion to Double</v>
      </c>
      <c r="N77" t="str">
        <v>parameter is error Conversion to Double</v>
      </c>
      <c r="O77" t="e">
        <f t="shared" si="0"/>
        <v>#VALUE!</v>
      </c>
    </row>
    <row r="78" spans="9:15" x14ac:dyDescent="0.2">
      <c r="I78">
        <f t="shared" si="1"/>
        <v>55</v>
      </c>
      <c r="J78" t="str">
        <v>parameter is error Conversion to Double</v>
      </c>
      <c r="K78" t="str">
        <v>parameter is error Conversion to Double</v>
      </c>
      <c r="L78" t="str">
        <v>parameter is error Conversion to Double</v>
      </c>
      <c r="M78" t="str">
        <v>parameter is error Conversion to Double</v>
      </c>
      <c r="N78" t="str">
        <v>parameter is error Conversion to Double</v>
      </c>
      <c r="O78" t="e">
        <f t="shared" si="0"/>
        <v>#VALUE!</v>
      </c>
    </row>
    <row r="79" spans="9:15" x14ac:dyDescent="0.2">
      <c r="I79">
        <f t="shared" si="1"/>
        <v>56</v>
      </c>
      <c r="J79" t="str">
        <v>parameter is error Conversion to Double</v>
      </c>
      <c r="K79" t="str">
        <v>parameter is error Conversion to Double</v>
      </c>
      <c r="L79" t="str">
        <v>parameter is error Conversion to Double</v>
      </c>
      <c r="M79" t="str">
        <v>parameter is error Conversion to Double</v>
      </c>
      <c r="N79" t="str">
        <v>parameter is error Conversion to Double</v>
      </c>
      <c r="O79" t="e">
        <f t="shared" si="0"/>
        <v>#VALUE!</v>
      </c>
    </row>
    <row r="80" spans="9:15" x14ac:dyDescent="0.2">
      <c r="I80">
        <f t="shared" si="1"/>
        <v>57</v>
      </c>
      <c r="J80" t="str">
        <v>parameter is error Conversion to Double</v>
      </c>
      <c r="K80" t="str">
        <v>parameter is error Conversion to Double</v>
      </c>
      <c r="L80" t="str">
        <v>parameter is error Conversion to Double</v>
      </c>
      <c r="M80" t="str">
        <v>parameter is error Conversion to Double</v>
      </c>
      <c r="N80" t="str">
        <v>parameter is error Conversion to Double</v>
      </c>
      <c r="O80" t="e">
        <f t="shared" si="0"/>
        <v>#VALUE!</v>
      </c>
    </row>
    <row r="81" spans="9:15" x14ac:dyDescent="0.2">
      <c r="I81">
        <f t="shared" si="1"/>
        <v>58</v>
      </c>
      <c r="J81" t="str">
        <v>parameter is error Conversion to Double</v>
      </c>
      <c r="K81" t="str">
        <v>parameter is error Conversion to Double</v>
      </c>
      <c r="L81" t="str">
        <v>parameter is error Conversion to Double</v>
      </c>
      <c r="M81" t="str">
        <v>parameter is error Conversion to Double</v>
      </c>
      <c r="N81" t="str">
        <v>parameter is error Conversion to Double</v>
      </c>
      <c r="O81" t="e">
        <f t="shared" si="0"/>
        <v>#VALUE!</v>
      </c>
    </row>
    <row r="82" spans="9:15" x14ac:dyDescent="0.2">
      <c r="I82">
        <f t="shared" si="1"/>
        <v>59</v>
      </c>
      <c r="J82" t="str">
        <v>parameter is error Conversion to Double</v>
      </c>
      <c r="K82" t="str">
        <v>parameter is error Conversion to Double</v>
      </c>
      <c r="L82" t="str">
        <v>parameter is error Conversion to Double</v>
      </c>
      <c r="M82" t="str">
        <v>parameter is error Conversion to Double</v>
      </c>
      <c r="N82" t="str">
        <v>parameter is error Conversion to Double</v>
      </c>
      <c r="O82" t="e">
        <f t="shared" si="0"/>
        <v>#VALUE!</v>
      </c>
    </row>
    <row r="83" spans="9:15" x14ac:dyDescent="0.2">
      <c r="I83">
        <f t="shared" si="1"/>
        <v>60</v>
      </c>
      <c r="J83" t="str">
        <v>parameter is error Conversion to Double</v>
      </c>
      <c r="K83" t="str">
        <v>parameter is error Conversion to Double</v>
      </c>
      <c r="L83" t="str">
        <v>parameter is error Conversion to Double</v>
      </c>
      <c r="M83" t="str">
        <v>parameter is error Conversion to Double</v>
      </c>
      <c r="N83" t="str">
        <v>parameter is error Conversion to Double</v>
      </c>
      <c r="O83" t="e">
        <f t="shared" si="0"/>
        <v>#VALUE!</v>
      </c>
    </row>
    <row r="84" spans="9:15" x14ac:dyDescent="0.2">
      <c r="I84">
        <f t="shared" si="1"/>
        <v>61</v>
      </c>
      <c r="J84" t="str">
        <v>parameter is error Conversion to Double</v>
      </c>
      <c r="K84" t="str">
        <v>parameter is error Conversion to Double</v>
      </c>
      <c r="L84" t="str">
        <v>parameter is error Conversion to Double</v>
      </c>
      <c r="M84" t="str">
        <v>parameter is error Conversion to Double</v>
      </c>
      <c r="N84" t="str">
        <v>parameter is error Conversion to Double</v>
      </c>
      <c r="O84" t="e">
        <f t="shared" si="0"/>
        <v>#VALUE!</v>
      </c>
    </row>
    <row r="85" spans="9:15" x14ac:dyDescent="0.2">
      <c r="I85">
        <f t="shared" si="1"/>
        <v>62</v>
      </c>
      <c r="J85" t="str">
        <v>parameter is error Conversion to Double</v>
      </c>
      <c r="K85" t="str">
        <v>parameter is error Conversion to Double</v>
      </c>
      <c r="L85" t="str">
        <v>parameter is error Conversion to Double</v>
      </c>
      <c r="M85" t="str">
        <v>parameter is error Conversion to Double</v>
      </c>
      <c r="N85" t="str">
        <v>parameter is error Conversion to Double</v>
      </c>
      <c r="O85" t="e">
        <f t="shared" si="0"/>
        <v>#VALUE!</v>
      </c>
    </row>
    <row r="86" spans="9:15" x14ac:dyDescent="0.2">
      <c r="I86">
        <f t="shared" si="1"/>
        <v>63</v>
      </c>
      <c r="J86" t="str">
        <v>parameter is error Conversion to Double</v>
      </c>
      <c r="K86" t="str">
        <v>parameter is error Conversion to Double</v>
      </c>
      <c r="L86" t="str">
        <v>parameter is error Conversion to Double</v>
      </c>
      <c r="M86" t="str">
        <v>parameter is error Conversion to Double</v>
      </c>
      <c r="N86" t="str">
        <v>parameter is error Conversion to Double</v>
      </c>
      <c r="O86" t="e">
        <f t="shared" si="0"/>
        <v>#VALUE!</v>
      </c>
    </row>
    <row r="87" spans="9:15" x14ac:dyDescent="0.2">
      <c r="I87">
        <f t="shared" si="1"/>
        <v>64</v>
      </c>
      <c r="J87" t="str">
        <v>parameter is error Conversion to Double</v>
      </c>
      <c r="K87" t="str">
        <v>parameter is error Conversion to Double</v>
      </c>
      <c r="L87" t="str">
        <v>parameter is error Conversion to Double</v>
      </c>
      <c r="M87" t="str">
        <v>parameter is error Conversion to Double</v>
      </c>
      <c r="N87" t="str">
        <v>parameter is error Conversion to Double</v>
      </c>
      <c r="O87" t="e">
        <f t="shared" ref="O87:O150" si="2">M87-N87</f>
        <v>#VALUE!</v>
      </c>
    </row>
    <row r="88" spans="9:15" x14ac:dyDescent="0.2">
      <c r="I88">
        <f t="shared" si="1"/>
        <v>65</v>
      </c>
      <c r="J88" t="str">
        <v>parameter is error Conversion to Double</v>
      </c>
      <c r="K88" t="str">
        <v>parameter is error Conversion to Double</v>
      </c>
      <c r="L88" t="str">
        <v>parameter is error Conversion to Double</v>
      </c>
      <c r="M88" t="str">
        <v>parameter is error Conversion to Double</v>
      </c>
      <c r="N88" t="str">
        <v>parameter is error Conversion to Double</v>
      </c>
      <c r="O88" t="e">
        <f t="shared" si="2"/>
        <v>#VALUE!</v>
      </c>
    </row>
    <row r="89" spans="9:15" x14ac:dyDescent="0.2">
      <c r="I89">
        <f t="shared" ref="I89:I152" si="3">I88+1</f>
        <v>66</v>
      </c>
      <c r="J89" t="str">
        <v>parameter is error Conversion to Double</v>
      </c>
      <c r="K89" t="str">
        <v>parameter is error Conversion to Double</v>
      </c>
      <c r="L89" t="str">
        <v>parameter is error Conversion to Double</v>
      </c>
      <c r="M89" t="str">
        <v>parameter is error Conversion to Double</v>
      </c>
      <c r="N89" t="str">
        <v>parameter is error Conversion to Double</v>
      </c>
      <c r="O89" t="e">
        <f t="shared" si="2"/>
        <v>#VALUE!</v>
      </c>
    </row>
    <row r="90" spans="9:15" x14ac:dyDescent="0.2">
      <c r="I90">
        <f t="shared" si="3"/>
        <v>67</v>
      </c>
      <c r="J90" t="str">
        <v>parameter is error Conversion to Double</v>
      </c>
      <c r="K90" t="str">
        <v>parameter is error Conversion to Double</v>
      </c>
      <c r="L90" t="str">
        <v>parameter is error Conversion to Double</v>
      </c>
      <c r="M90" t="str">
        <v>parameter is error Conversion to Double</v>
      </c>
      <c r="N90" t="str">
        <v>parameter is error Conversion to Double</v>
      </c>
      <c r="O90" t="e">
        <f t="shared" si="2"/>
        <v>#VALUE!</v>
      </c>
    </row>
    <row r="91" spans="9:15" x14ac:dyDescent="0.2">
      <c r="I91">
        <f t="shared" si="3"/>
        <v>68</v>
      </c>
      <c r="J91" t="str">
        <v>parameter is error Conversion to Double</v>
      </c>
      <c r="K91" t="str">
        <v>parameter is error Conversion to Double</v>
      </c>
      <c r="L91" t="str">
        <v>parameter is error Conversion to Double</v>
      </c>
      <c r="M91" t="str">
        <v>parameter is error Conversion to Double</v>
      </c>
      <c r="N91" t="str">
        <v>parameter is error Conversion to Double</v>
      </c>
      <c r="O91" t="e">
        <f t="shared" si="2"/>
        <v>#VALUE!</v>
      </c>
    </row>
    <row r="92" spans="9:15" x14ac:dyDescent="0.2">
      <c r="I92">
        <f t="shared" si="3"/>
        <v>69</v>
      </c>
      <c r="J92" t="str">
        <v>parameter is error Conversion to Double</v>
      </c>
      <c r="K92" t="str">
        <v>parameter is error Conversion to Double</v>
      </c>
      <c r="L92" t="str">
        <v>parameter is error Conversion to Double</v>
      </c>
      <c r="M92" t="str">
        <v>parameter is error Conversion to Double</v>
      </c>
      <c r="N92" t="str">
        <v>parameter is error Conversion to Double</v>
      </c>
      <c r="O92" t="e">
        <f t="shared" si="2"/>
        <v>#VALUE!</v>
      </c>
    </row>
    <row r="93" spans="9:15" x14ac:dyDescent="0.2">
      <c r="I93">
        <f t="shared" si="3"/>
        <v>70</v>
      </c>
      <c r="J93" t="str">
        <v>parameter is error Conversion to Double</v>
      </c>
      <c r="K93" t="str">
        <v>parameter is error Conversion to Double</v>
      </c>
      <c r="L93" t="str">
        <v>parameter is error Conversion to Double</v>
      </c>
      <c r="M93" t="str">
        <v>parameter is error Conversion to Double</v>
      </c>
      <c r="N93" t="str">
        <v>parameter is error Conversion to Double</v>
      </c>
      <c r="O93" t="e">
        <f t="shared" si="2"/>
        <v>#VALUE!</v>
      </c>
    </row>
    <row r="94" spans="9:15" x14ac:dyDescent="0.2">
      <c r="I94">
        <f t="shared" si="3"/>
        <v>71</v>
      </c>
      <c r="J94" t="str">
        <v>parameter is error Conversion to Double</v>
      </c>
      <c r="K94" t="str">
        <v>parameter is error Conversion to Double</v>
      </c>
      <c r="L94" t="str">
        <v>parameter is error Conversion to Double</v>
      </c>
      <c r="M94" t="str">
        <v>parameter is error Conversion to Double</v>
      </c>
      <c r="N94" t="str">
        <v>parameter is error Conversion to Double</v>
      </c>
      <c r="O94" t="e">
        <f t="shared" si="2"/>
        <v>#VALUE!</v>
      </c>
    </row>
    <row r="95" spans="9:15" x14ac:dyDescent="0.2">
      <c r="I95">
        <f t="shared" si="3"/>
        <v>72</v>
      </c>
      <c r="J95" t="str">
        <v>parameter is error Conversion to Double</v>
      </c>
      <c r="K95" t="str">
        <v>parameter is error Conversion to Double</v>
      </c>
      <c r="L95" t="str">
        <v>parameter is error Conversion to Double</v>
      </c>
      <c r="M95" t="str">
        <v>parameter is error Conversion to Double</v>
      </c>
      <c r="N95" t="str">
        <v>parameter is error Conversion to Double</v>
      </c>
      <c r="O95" t="e">
        <f t="shared" si="2"/>
        <v>#VALUE!</v>
      </c>
    </row>
    <row r="96" spans="9:15" x14ac:dyDescent="0.2">
      <c r="I96">
        <f t="shared" si="3"/>
        <v>73</v>
      </c>
      <c r="J96" t="str">
        <v>parameter is error Conversion to Double</v>
      </c>
      <c r="K96" t="str">
        <v>parameter is error Conversion to Double</v>
      </c>
      <c r="L96" t="str">
        <v>parameter is error Conversion to Double</v>
      </c>
      <c r="M96" t="str">
        <v>parameter is error Conversion to Double</v>
      </c>
      <c r="N96" t="str">
        <v>parameter is error Conversion to Double</v>
      </c>
      <c r="O96" t="e">
        <f t="shared" si="2"/>
        <v>#VALUE!</v>
      </c>
    </row>
    <row r="97" spans="9:15" x14ac:dyDescent="0.2">
      <c r="I97">
        <f t="shared" si="3"/>
        <v>74</v>
      </c>
      <c r="J97" t="str">
        <v>parameter is error Conversion to Double</v>
      </c>
      <c r="K97" t="str">
        <v>parameter is error Conversion to Double</v>
      </c>
      <c r="L97" t="str">
        <v>parameter is error Conversion to Double</v>
      </c>
      <c r="M97" t="str">
        <v>parameter is error Conversion to Double</v>
      </c>
      <c r="N97" t="str">
        <v>parameter is error Conversion to Double</v>
      </c>
      <c r="O97" t="e">
        <f t="shared" si="2"/>
        <v>#VALUE!</v>
      </c>
    </row>
    <row r="98" spans="9:15" x14ac:dyDescent="0.2">
      <c r="I98">
        <f t="shared" si="3"/>
        <v>75</v>
      </c>
      <c r="J98" t="str">
        <v>parameter is error Conversion to Double</v>
      </c>
      <c r="K98" t="str">
        <v>parameter is error Conversion to Double</v>
      </c>
      <c r="L98" t="str">
        <v>parameter is error Conversion to Double</v>
      </c>
      <c r="M98" t="str">
        <v>parameter is error Conversion to Double</v>
      </c>
      <c r="N98" t="str">
        <v>parameter is error Conversion to Double</v>
      </c>
      <c r="O98" t="e">
        <f t="shared" si="2"/>
        <v>#VALUE!</v>
      </c>
    </row>
    <row r="99" spans="9:15" x14ac:dyDescent="0.2">
      <c r="I99">
        <f t="shared" si="3"/>
        <v>76</v>
      </c>
      <c r="J99" t="str">
        <v>parameter is error Conversion to Double</v>
      </c>
      <c r="K99" t="str">
        <v>parameter is error Conversion to Double</v>
      </c>
      <c r="L99" t="str">
        <v>parameter is error Conversion to Double</v>
      </c>
      <c r="M99" t="str">
        <v>parameter is error Conversion to Double</v>
      </c>
      <c r="N99" t="str">
        <v>parameter is error Conversion to Double</v>
      </c>
      <c r="O99" t="e">
        <f t="shared" si="2"/>
        <v>#VALUE!</v>
      </c>
    </row>
    <row r="100" spans="9:15" x14ac:dyDescent="0.2">
      <c r="I100">
        <f t="shared" si="3"/>
        <v>77</v>
      </c>
      <c r="J100" t="str">
        <v>parameter is error Conversion to Double</v>
      </c>
      <c r="K100" t="str">
        <v>parameter is error Conversion to Double</v>
      </c>
      <c r="L100" t="str">
        <v>parameter is error Conversion to Double</v>
      </c>
      <c r="M100" t="str">
        <v>parameter is error Conversion to Double</v>
      </c>
      <c r="N100" t="str">
        <v>parameter is error Conversion to Double</v>
      </c>
      <c r="O100" t="e">
        <f t="shared" si="2"/>
        <v>#VALUE!</v>
      </c>
    </row>
    <row r="101" spans="9:15" x14ac:dyDescent="0.2">
      <c r="I101">
        <f t="shared" si="3"/>
        <v>78</v>
      </c>
      <c r="J101" t="str">
        <v>parameter is error Conversion to Double</v>
      </c>
      <c r="K101" t="str">
        <v>parameter is error Conversion to Double</v>
      </c>
      <c r="L101" t="str">
        <v>parameter is error Conversion to Double</v>
      </c>
      <c r="M101" t="str">
        <v>parameter is error Conversion to Double</v>
      </c>
      <c r="N101" t="str">
        <v>parameter is error Conversion to Double</v>
      </c>
      <c r="O101" t="e">
        <f t="shared" si="2"/>
        <v>#VALUE!</v>
      </c>
    </row>
    <row r="102" spans="9:15" x14ac:dyDescent="0.2">
      <c r="I102">
        <f t="shared" si="3"/>
        <v>79</v>
      </c>
      <c r="J102" t="str">
        <v>parameter is error Conversion to Double</v>
      </c>
      <c r="K102" t="str">
        <v>parameter is error Conversion to Double</v>
      </c>
      <c r="L102" t="str">
        <v>parameter is error Conversion to Double</v>
      </c>
      <c r="M102" t="str">
        <v>parameter is error Conversion to Double</v>
      </c>
      <c r="N102" t="str">
        <v>parameter is error Conversion to Double</v>
      </c>
      <c r="O102" t="e">
        <f t="shared" si="2"/>
        <v>#VALUE!</v>
      </c>
    </row>
    <row r="103" spans="9:15" x14ac:dyDescent="0.2">
      <c r="I103">
        <f t="shared" si="3"/>
        <v>80</v>
      </c>
      <c r="J103" t="str">
        <v>parameter is error Conversion to Double</v>
      </c>
      <c r="K103" t="str">
        <v>parameter is error Conversion to Double</v>
      </c>
      <c r="L103" t="str">
        <v>parameter is error Conversion to Double</v>
      </c>
      <c r="M103" t="str">
        <v>parameter is error Conversion to Double</v>
      </c>
      <c r="N103" t="str">
        <v>parameter is error Conversion to Double</v>
      </c>
      <c r="O103" t="e">
        <f t="shared" si="2"/>
        <v>#VALUE!</v>
      </c>
    </row>
    <row r="104" spans="9:15" x14ac:dyDescent="0.2">
      <c r="I104">
        <f t="shared" si="3"/>
        <v>81</v>
      </c>
      <c r="J104" t="str">
        <v>parameter is error Conversion to Double</v>
      </c>
      <c r="K104" t="str">
        <v>parameter is error Conversion to Double</v>
      </c>
      <c r="L104" t="str">
        <v>parameter is error Conversion to Double</v>
      </c>
      <c r="M104" t="str">
        <v>parameter is error Conversion to Double</v>
      </c>
      <c r="N104" t="str">
        <v>parameter is error Conversion to Double</v>
      </c>
      <c r="O104" t="e">
        <f t="shared" si="2"/>
        <v>#VALUE!</v>
      </c>
    </row>
    <row r="105" spans="9:15" x14ac:dyDescent="0.2">
      <c r="I105">
        <f t="shared" si="3"/>
        <v>82</v>
      </c>
      <c r="J105" t="str">
        <v>parameter is error Conversion to Double</v>
      </c>
      <c r="K105" t="str">
        <v>parameter is error Conversion to Double</v>
      </c>
      <c r="L105" t="str">
        <v>parameter is error Conversion to Double</v>
      </c>
      <c r="M105" t="str">
        <v>parameter is error Conversion to Double</v>
      </c>
      <c r="N105" t="str">
        <v>parameter is error Conversion to Double</v>
      </c>
      <c r="O105" t="e">
        <f t="shared" si="2"/>
        <v>#VALUE!</v>
      </c>
    </row>
    <row r="106" spans="9:15" x14ac:dyDescent="0.2">
      <c r="I106">
        <f t="shared" si="3"/>
        <v>83</v>
      </c>
      <c r="J106" t="str">
        <v>parameter is error Conversion to Double</v>
      </c>
      <c r="K106" t="str">
        <v>parameter is error Conversion to Double</v>
      </c>
      <c r="L106" t="str">
        <v>parameter is error Conversion to Double</v>
      </c>
      <c r="M106" t="str">
        <v>parameter is error Conversion to Double</v>
      </c>
      <c r="N106" t="str">
        <v>parameter is error Conversion to Double</v>
      </c>
      <c r="O106" t="e">
        <f t="shared" si="2"/>
        <v>#VALUE!</v>
      </c>
    </row>
    <row r="107" spans="9:15" x14ac:dyDescent="0.2">
      <c r="I107">
        <f t="shared" si="3"/>
        <v>84</v>
      </c>
      <c r="J107" t="str">
        <v>parameter is error Conversion to Double</v>
      </c>
      <c r="K107" t="str">
        <v>parameter is error Conversion to Double</v>
      </c>
      <c r="L107" t="str">
        <v>parameter is error Conversion to Double</v>
      </c>
      <c r="M107" t="str">
        <v>parameter is error Conversion to Double</v>
      </c>
      <c r="N107" t="str">
        <v>parameter is error Conversion to Double</v>
      </c>
      <c r="O107" t="e">
        <f t="shared" si="2"/>
        <v>#VALUE!</v>
      </c>
    </row>
    <row r="108" spans="9:15" x14ac:dyDescent="0.2">
      <c r="I108">
        <f t="shared" si="3"/>
        <v>85</v>
      </c>
      <c r="J108" t="str">
        <v>parameter is error Conversion to Double</v>
      </c>
      <c r="K108" t="str">
        <v>parameter is error Conversion to Double</v>
      </c>
      <c r="L108" t="str">
        <v>parameter is error Conversion to Double</v>
      </c>
      <c r="M108" t="str">
        <v>parameter is error Conversion to Double</v>
      </c>
      <c r="N108" t="str">
        <v>parameter is error Conversion to Double</v>
      </c>
      <c r="O108" t="e">
        <f t="shared" si="2"/>
        <v>#VALUE!</v>
      </c>
    </row>
    <row r="109" spans="9:15" x14ac:dyDescent="0.2">
      <c r="I109">
        <f t="shared" si="3"/>
        <v>86</v>
      </c>
      <c r="J109" t="str">
        <v>parameter is error Conversion to Double</v>
      </c>
      <c r="K109" t="str">
        <v>parameter is error Conversion to Double</v>
      </c>
      <c r="L109" t="str">
        <v>parameter is error Conversion to Double</v>
      </c>
      <c r="M109" t="str">
        <v>parameter is error Conversion to Double</v>
      </c>
      <c r="N109" t="str">
        <v>parameter is error Conversion to Double</v>
      </c>
      <c r="O109" t="e">
        <f t="shared" si="2"/>
        <v>#VALUE!</v>
      </c>
    </row>
    <row r="110" spans="9:15" x14ac:dyDescent="0.2">
      <c r="I110">
        <f t="shared" si="3"/>
        <v>87</v>
      </c>
      <c r="J110" t="str">
        <v>parameter is error Conversion to Double</v>
      </c>
      <c r="K110" t="str">
        <v>parameter is error Conversion to Double</v>
      </c>
      <c r="L110" t="str">
        <v>parameter is error Conversion to Double</v>
      </c>
      <c r="M110" t="str">
        <v>parameter is error Conversion to Double</v>
      </c>
      <c r="N110" t="str">
        <v>parameter is error Conversion to Double</v>
      </c>
      <c r="O110" t="e">
        <f t="shared" si="2"/>
        <v>#VALUE!</v>
      </c>
    </row>
    <row r="111" spans="9:15" x14ac:dyDescent="0.2">
      <c r="I111">
        <f t="shared" si="3"/>
        <v>88</v>
      </c>
      <c r="J111" t="str">
        <v>parameter is error Conversion to Double</v>
      </c>
      <c r="K111" t="str">
        <v>parameter is error Conversion to Double</v>
      </c>
      <c r="L111" t="str">
        <v>parameter is error Conversion to Double</v>
      </c>
      <c r="M111" t="str">
        <v>parameter is error Conversion to Double</v>
      </c>
      <c r="N111" t="str">
        <v>parameter is error Conversion to Double</v>
      </c>
      <c r="O111" t="e">
        <f t="shared" si="2"/>
        <v>#VALUE!</v>
      </c>
    </row>
    <row r="112" spans="9:15" x14ac:dyDescent="0.2">
      <c r="I112">
        <f t="shared" si="3"/>
        <v>89</v>
      </c>
      <c r="J112" t="str">
        <v>parameter is error Conversion to Double</v>
      </c>
      <c r="K112" t="str">
        <v>parameter is error Conversion to Double</v>
      </c>
      <c r="L112" t="str">
        <v>parameter is error Conversion to Double</v>
      </c>
      <c r="M112" t="str">
        <v>parameter is error Conversion to Double</v>
      </c>
      <c r="N112" t="str">
        <v>parameter is error Conversion to Double</v>
      </c>
      <c r="O112" t="e">
        <f t="shared" si="2"/>
        <v>#VALUE!</v>
      </c>
    </row>
    <row r="113" spans="9:15" x14ac:dyDescent="0.2">
      <c r="I113">
        <f t="shared" si="3"/>
        <v>90</v>
      </c>
      <c r="J113" t="str">
        <v>parameter is error Conversion to Double</v>
      </c>
      <c r="K113" t="str">
        <v>parameter is error Conversion to Double</v>
      </c>
      <c r="L113" t="str">
        <v>parameter is error Conversion to Double</v>
      </c>
      <c r="M113" t="str">
        <v>parameter is error Conversion to Double</v>
      </c>
      <c r="N113" t="str">
        <v>parameter is error Conversion to Double</v>
      </c>
      <c r="O113" t="e">
        <f t="shared" si="2"/>
        <v>#VALUE!</v>
      </c>
    </row>
    <row r="114" spans="9:15" x14ac:dyDescent="0.2">
      <c r="I114">
        <f t="shared" si="3"/>
        <v>91</v>
      </c>
      <c r="J114" t="str">
        <v>parameter is error Conversion to Double</v>
      </c>
      <c r="K114" t="str">
        <v>parameter is error Conversion to Double</v>
      </c>
      <c r="L114" t="str">
        <v>parameter is error Conversion to Double</v>
      </c>
      <c r="M114" t="str">
        <v>parameter is error Conversion to Double</v>
      </c>
      <c r="N114" t="str">
        <v>parameter is error Conversion to Double</v>
      </c>
      <c r="O114" t="e">
        <f t="shared" si="2"/>
        <v>#VALUE!</v>
      </c>
    </row>
    <row r="115" spans="9:15" x14ac:dyDescent="0.2">
      <c r="I115">
        <f t="shared" si="3"/>
        <v>92</v>
      </c>
      <c r="J115" t="str">
        <v>parameter is error Conversion to Double</v>
      </c>
      <c r="K115" t="str">
        <v>parameter is error Conversion to Double</v>
      </c>
      <c r="L115" t="str">
        <v>parameter is error Conversion to Double</v>
      </c>
      <c r="M115" t="str">
        <v>parameter is error Conversion to Double</v>
      </c>
      <c r="N115" t="str">
        <v>parameter is error Conversion to Double</v>
      </c>
      <c r="O115" t="e">
        <f t="shared" si="2"/>
        <v>#VALUE!</v>
      </c>
    </row>
    <row r="116" spans="9:15" x14ac:dyDescent="0.2">
      <c r="I116">
        <f t="shared" si="3"/>
        <v>93</v>
      </c>
      <c r="J116" t="str">
        <v>parameter is error Conversion to Double</v>
      </c>
      <c r="K116" t="str">
        <v>parameter is error Conversion to Double</v>
      </c>
      <c r="L116" t="str">
        <v>parameter is error Conversion to Double</v>
      </c>
      <c r="M116" t="str">
        <v>parameter is error Conversion to Double</v>
      </c>
      <c r="N116" t="str">
        <v>parameter is error Conversion to Double</v>
      </c>
      <c r="O116" t="e">
        <f t="shared" si="2"/>
        <v>#VALUE!</v>
      </c>
    </row>
    <row r="117" spans="9:15" x14ac:dyDescent="0.2">
      <c r="I117">
        <f t="shared" si="3"/>
        <v>94</v>
      </c>
      <c r="J117" t="str">
        <v>parameter is error Conversion to Double</v>
      </c>
      <c r="K117" t="str">
        <v>parameter is error Conversion to Double</v>
      </c>
      <c r="L117" t="str">
        <v>parameter is error Conversion to Double</v>
      </c>
      <c r="M117" t="str">
        <v>parameter is error Conversion to Double</v>
      </c>
      <c r="N117" t="str">
        <v>parameter is error Conversion to Double</v>
      </c>
      <c r="O117" t="e">
        <f t="shared" si="2"/>
        <v>#VALUE!</v>
      </c>
    </row>
    <row r="118" spans="9:15" x14ac:dyDescent="0.2">
      <c r="I118">
        <f t="shared" si="3"/>
        <v>95</v>
      </c>
      <c r="J118" t="str">
        <v>parameter is error Conversion to Double</v>
      </c>
      <c r="K118" t="str">
        <v>parameter is error Conversion to Double</v>
      </c>
      <c r="L118" t="str">
        <v>parameter is error Conversion to Double</v>
      </c>
      <c r="M118" t="str">
        <v>parameter is error Conversion to Double</v>
      </c>
      <c r="N118" t="str">
        <v>parameter is error Conversion to Double</v>
      </c>
      <c r="O118" t="e">
        <f t="shared" si="2"/>
        <v>#VALUE!</v>
      </c>
    </row>
    <row r="119" spans="9:15" x14ac:dyDescent="0.2">
      <c r="I119">
        <f t="shared" si="3"/>
        <v>96</v>
      </c>
      <c r="J119" t="str">
        <v>parameter is error Conversion to Double</v>
      </c>
      <c r="K119" t="str">
        <v>parameter is error Conversion to Double</v>
      </c>
      <c r="L119" t="str">
        <v>parameter is error Conversion to Double</v>
      </c>
      <c r="M119" t="str">
        <v>parameter is error Conversion to Double</v>
      </c>
      <c r="N119" t="str">
        <v>parameter is error Conversion to Double</v>
      </c>
      <c r="O119" t="e">
        <f t="shared" si="2"/>
        <v>#VALUE!</v>
      </c>
    </row>
    <row r="120" spans="9:15" x14ac:dyDescent="0.2">
      <c r="I120">
        <f t="shared" si="3"/>
        <v>97</v>
      </c>
      <c r="J120" t="str">
        <v>parameter is error Conversion to Double</v>
      </c>
      <c r="K120" t="str">
        <v>parameter is error Conversion to Double</v>
      </c>
      <c r="L120" t="str">
        <v>parameter is error Conversion to Double</v>
      </c>
      <c r="M120" t="str">
        <v>parameter is error Conversion to Double</v>
      </c>
      <c r="N120" t="str">
        <v>parameter is error Conversion to Double</v>
      </c>
      <c r="O120" t="e">
        <f t="shared" si="2"/>
        <v>#VALUE!</v>
      </c>
    </row>
    <row r="121" spans="9:15" x14ac:dyDescent="0.2">
      <c r="I121">
        <f t="shared" si="3"/>
        <v>98</v>
      </c>
      <c r="J121" t="str">
        <v>parameter is error Conversion to Double</v>
      </c>
      <c r="K121" t="str">
        <v>parameter is error Conversion to Double</v>
      </c>
      <c r="L121" t="str">
        <v>parameter is error Conversion to Double</v>
      </c>
      <c r="M121" t="str">
        <v>parameter is error Conversion to Double</v>
      </c>
      <c r="N121" t="str">
        <v>parameter is error Conversion to Double</v>
      </c>
      <c r="O121" t="e">
        <f t="shared" si="2"/>
        <v>#VALUE!</v>
      </c>
    </row>
    <row r="122" spans="9:15" x14ac:dyDescent="0.2">
      <c r="I122">
        <f t="shared" si="3"/>
        <v>99</v>
      </c>
      <c r="J122" t="str">
        <v>parameter is error Conversion to Double</v>
      </c>
      <c r="K122" t="str">
        <v>parameter is error Conversion to Double</v>
      </c>
      <c r="L122" t="str">
        <v>parameter is error Conversion to Double</v>
      </c>
      <c r="M122" t="str">
        <v>parameter is error Conversion to Double</v>
      </c>
      <c r="N122" t="str">
        <v>parameter is error Conversion to Double</v>
      </c>
      <c r="O122" t="e">
        <f t="shared" si="2"/>
        <v>#VALUE!</v>
      </c>
    </row>
    <row r="123" spans="9:15" x14ac:dyDescent="0.2">
      <c r="I123">
        <f t="shared" si="3"/>
        <v>100</v>
      </c>
      <c r="J123" t="str">
        <v>parameter is error Conversion to Double</v>
      </c>
      <c r="K123" t="str">
        <v>parameter is error Conversion to Double</v>
      </c>
      <c r="L123" t="str">
        <v>parameter is error Conversion to Double</v>
      </c>
      <c r="M123" t="str">
        <v>parameter is error Conversion to Double</v>
      </c>
      <c r="N123" t="str">
        <v>parameter is error Conversion to Double</v>
      </c>
      <c r="O123" t="e">
        <f t="shared" si="2"/>
        <v>#VALUE!</v>
      </c>
    </row>
    <row r="124" spans="9:15" x14ac:dyDescent="0.2">
      <c r="I124">
        <f t="shared" si="3"/>
        <v>101</v>
      </c>
      <c r="J124" t="str">
        <v>parameter is error Conversion to Double</v>
      </c>
      <c r="K124" t="str">
        <v>parameter is error Conversion to Double</v>
      </c>
      <c r="L124" t="str">
        <v>parameter is error Conversion to Double</v>
      </c>
      <c r="M124" t="str">
        <v>parameter is error Conversion to Double</v>
      </c>
      <c r="N124" t="str">
        <v>parameter is error Conversion to Double</v>
      </c>
      <c r="O124" t="e">
        <f t="shared" si="2"/>
        <v>#VALUE!</v>
      </c>
    </row>
    <row r="125" spans="9:15" x14ac:dyDescent="0.2">
      <c r="I125">
        <f t="shared" si="3"/>
        <v>102</v>
      </c>
      <c r="J125" t="str">
        <v>parameter is error Conversion to Double</v>
      </c>
      <c r="K125" t="str">
        <v>parameter is error Conversion to Double</v>
      </c>
      <c r="L125" t="str">
        <v>parameter is error Conversion to Double</v>
      </c>
      <c r="M125" t="str">
        <v>parameter is error Conversion to Double</v>
      </c>
      <c r="N125" t="str">
        <v>parameter is error Conversion to Double</v>
      </c>
      <c r="O125" t="e">
        <f t="shared" si="2"/>
        <v>#VALUE!</v>
      </c>
    </row>
    <row r="126" spans="9:15" x14ac:dyDescent="0.2">
      <c r="I126">
        <f t="shared" si="3"/>
        <v>103</v>
      </c>
      <c r="J126" t="str">
        <v>parameter is error Conversion to Double</v>
      </c>
      <c r="K126" t="str">
        <v>parameter is error Conversion to Double</v>
      </c>
      <c r="L126" t="str">
        <v>parameter is error Conversion to Double</v>
      </c>
      <c r="M126" t="str">
        <v>parameter is error Conversion to Double</v>
      </c>
      <c r="N126" t="str">
        <v>parameter is error Conversion to Double</v>
      </c>
      <c r="O126" t="e">
        <f t="shared" si="2"/>
        <v>#VALUE!</v>
      </c>
    </row>
    <row r="127" spans="9:15" x14ac:dyDescent="0.2">
      <c r="I127">
        <f t="shared" si="3"/>
        <v>104</v>
      </c>
      <c r="J127" t="str">
        <v>parameter is error Conversion to Double</v>
      </c>
      <c r="K127" t="str">
        <v>parameter is error Conversion to Double</v>
      </c>
      <c r="L127" t="str">
        <v>parameter is error Conversion to Double</v>
      </c>
      <c r="M127" t="str">
        <v>parameter is error Conversion to Double</v>
      </c>
      <c r="N127" t="str">
        <v>parameter is error Conversion to Double</v>
      </c>
      <c r="O127" t="e">
        <f t="shared" si="2"/>
        <v>#VALUE!</v>
      </c>
    </row>
    <row r="128" spans="9:15" x14ac:dyDescent="0.2">
      <c r="I128">
        <f t="shared" si="3"/>
        <v>105</v>
      </c>
      <c r="J128" t="str">
        <v>parameter is error Conversion to Double</v>
      </c>
      <c r="K128" t="str">
        <v>parameter is error Conversion to Double</v>
      </c>
      <c r="L128" t="str">
        <v>parameter is error Conversion to Double</v>
      </c>
      <c r="M128" t="str">
        <v>parameter is error Conversion to Double</v>
      </c>
      <c r="N128" t="str">
        <v>parameter is error Conversion to Double</v>
      </c>
      <c r="O128" t="e">
        <f t="shared" si="2"/>
        <v>#VALUE!</v>
      </c>
    </row>
    <row r="129" spans="9:15" x14ac:dyDescent="0.2">
      <c r="I129">
        <f t="shared" si="3"/>
        <v>106</v>
      </c>
      <c r="J129" t="str">
        <v>parameter is error Conversion to Double</v>
      </c>
      <c r="K129" t="str">
        <v>parameter is error Conversion to Double</v>
      </c>
      <c r="L129" t="str">
        <v>parameter is error Conversion to Double</v>
      </c>
      <c r="M129" t="str">
        <v>parameter is error Conversion to Double</v>
      </c>
      <c r="N129" t="str">
        <v>parameter is error Conversion to Double</v>
      </c>
      <c r="O129" t="e">
        <f t="shared" si="2"/>
        <v>#VALUE!</v>
      </c>
    </row>
    <row r="130" spans="9:15" x14ac:dyDescent="0.2">
      <c r="I130">
        <f t="shared" si="3"/>
        <v>107</v>
      </c>
      <c r="J130" t="str">
        <v>parameter is error Conversion to Double</v>
      </c>
      <c r="K130" t="str">
        <v>parameter is error Conversion to Double</v>
      </c>
      <c r="L130" t="str">
        <v>parameter is error Conversion to Double</v>
      </c>
      <c r="M130" t="str">
        <v>parameter is error Conversion to Double</v>
      </c>
      <c r="N130" t="str">
        <v>parameter is error Conversion to Double</v>
      </c>
      <c r="O130" t="e">
        <f t="shared" si="2"/>
        <v>#VALUE!</v>
      </c>
    </row>
    <row r="131" spans="9:15" x14ac:dyDescent="0.2">
      <c r="I131">
        <f t="shared" si="3"/>
        <v>108</v>
      </c>
      <c r="J131" t="str">
        <v>parameter is error Conversion to Double</v>
      </c>
      <c r="K131" t="str">
        <v>parameter is error Conversion to Double</v>
      </c>
      <c r="L131" t="str">
        <v>parameter is error Conversion to Double</v>
      </c>
      <c r="M131" t="str">
        <v>parameter is error Conversion to Double</v>
      </c>
      <c r="N131" t="str">
        <v>parameter is error Conversion to Double</v>
      </c>
      <c r="O131" t="e">
        <f t="shared" si="2"/>
        <v>#VALUE!</v>
      </c>
    </row>
    <row r="132" spans="9:15" x14ac:dyDescent="0.2">
      <c r="I132">
        <f t="shared" si="3"/>
        <v>109</v>
      </c>
      <c r="J132" t="str">
        <v>parameter is error Conversion to Double</v>
      </c>
      <c r="K132" t="str">
        <v>parameter is error Conversion to Double</v>
      </c>
      <c r="L132" t="str">
        <v>parameter is error Conversion to Double</v>
      </c>
      <c r="M132" t="str">
        <v>parameter is error Conversion to Double</v>
      </c>
      <c r="N132" t="str">
        <v>parameter is error Conversion to Double</v>
      </c>
      <c r="O132" t="e">
        <f t="shared" si="2"/>
        <v>#VALUE!</v>
      </c>
    </row>
    <row r="133" spans="9:15" x14ac:dyDescent="0.2">
      <c r="I133">
        <f t="shared" si="3"/>
        <v>110</v>
      </c>
      <c r="J133" t="str">
        <v>parameter is error Conversion to Double</v>
      </c>
      <c r="K133" t="str">
        <v>parameter is error Conversion to Double</v>
      </c>
      <c r="L133" t="str">
        <v>parameter is error Conversion to Double</v>
      </c>
      <c r="M133" t="str">
        <v>parameter is error Conversion to Double</v>
      </c>
      <c r="N133" t="str">
        <v>parameter is error Conversion to Double</v>
      </c>
      <c r="O133" t="e">
        <f t="shared" si="2"/>
        <v>#VALUE!</v>
      </c>
    </row>
    <row r="134" spans="9:15" x14ac:dyDescent="0.2">
      <c r="I134">
        <f t="shared" si="3"/>
        <v>111</v>
      </c>
      <c r="J134" t="str">
        <v>parameter is error Conversion to Double</v>
      </c>
      <c r="K134" t="str">
        <v>parameter is error Conversion to Double</v>
      </c>
      <c r="L134" t="str">
        <v>parameter is error Conversion to Double</v>
      </c>
      <c r="M134" t="str">
        <v>parameter is error Conversion to Double</v>
      </c>
      <c r="N134" t="str">
        <v>parameter is error Conversion to Double</v>
      </c>
      <c r="O134" t="e">
        <f t="shared" si="2"/>
        <v>#VALUE!</v>
      </c>
    </row>
    <row r="135" spans="9:15" x14ac:dyDescent="0.2">
      <c r="I135">
        <f t="shared" si="3"/>
        <v>112</v>
      </c>
      <c r="J135" t="str">
        <v>parameter is error Conversion to Double</v>
      </c>
      <c r="K135" t="str">
        <v>parameter is error Conversion to Double</v>
      </c>
      <c r="L135" t="str">
        <v>parameter is error Conversion to Double</v>
      </c>
      <c r="M135" t="str">
        <v>parameter is error Conversion to Double</v>
      </c>
      <c r="N135" t="str">
        <v>parameter is error Conversion to Double</v>
      </c>
      <c r="O135" t="e">
        <f t="shared" si="2"/>
        <v>#VALUE!</v>
      </c>
    </row>
    <row r="136" spans="9:15" x14ac:dyDescent="0.2">
      <c r="I136">
        <f t="shared" si="3"/>
        <v>113</v>
      </c>
      <c r="J136" t="str">
        <v>parameter is error Conversion to Double</v>
      </c>
      <c r="K136" t="str">
        <v>parameter is error Conversion to Double</v>
      </c>
      <c r="L136" t="str">
        <v>parameter is error Conversion to Double</v>
      </c>
      <c r="M136" t="str">
        <v>parameter is error Conversion to Double</v>
      </c>
      <c r="N136" t="str">
        <v>parameter is error Conversion to Double</v>
      </c>
      <c r="O136" t="e">
        <f t="shared" si="2"/>
        <v>#VALUE!</v>
      </c>
    </row>
    <row r="137" spans="9:15" x14ac:dyDescent="0.2">
      <c r="I137">
        <f t="shared" si="3"/>
        <v>114</v>
      </c>
      <c r="J137" t="str">
        <v>parameter is error Conversion to Double</v>
      </c>
      <c r="K137" t="str">
        <v>parameter is error Conversion to Double</v>
      </c>
      <c r="L137" t="str">
        <v>parameter is error Conversion to Double</v>
      </c>
      <c r="M137" t="str">
        <v>parameter is error Conversion to Double</v>
      </c>
      <c r="N137" t="str">
        <v>parameter is error Conversion to Double</v>
      </c>
      <c r="O137" t="e">
        <f t="shared" si="2"/>
        <v>#VALUE!</v>
      </c>
    </row>
    <row r="138" spans="9:15" x14ac:dyDescent="0.2">
      <c r="I138">
        <f t="shared" si="3"/>
        <v>115</v>
      </c>
      <c r="J138" t="str">
        <v>parameter is error Conversion to Double</v>
      </c>
      <c r="K138" t="str">
        <v>parameter is error Conversion to Double</v>
      </c>
      <c r="L138" t="str">
        <v>parameter is error Conversion to Double</v>
      </c>
      <c r="M138" t="str">
        <v>parameter is error Conversion to Double</v>
      </c>
      <c r="N138" t="str">
        <v>parameter is error Conversion to Double</v>
      </c>
      <c r="O138" t="e">
        <f t="shared" si="2"/>
        <v>#VALUE!</v>
      </c>
    </row>
    <row r="139" spans="9:15" x14ac:dyDescent="0.2">
      <c r="I139">
        <f t="shared" si="3"/>
        <v>116</v>
      </c>
      <c r="J139" t="str">
        <v>parameter is error Conversion to Double</v>
      </c>
      <c r="K139" t="str">
        <v>parameter is error Conversion to Double</v>
      </c>
      <c r="L139" t="str">
        <v>parameter is error Conversion to Double</v>
      </c>
      <c r="M139" t="str">
        <v>parameter is error Conversion to Double</v>
      </c>
      <c r="N139" t="str">
        <v>parameter is error Conversion to Double</v>
      </c>
      <c r="O139" t="e">
        <f t="shared" si="2"/>
        <v>#VALUE!</v>
      </c>
    </row>
    <row r="140" spans="9:15" x14ac:dyDescent="0.2">
      <c r="I140">
        <f t="shared" si="3"/>
        <v>117</v>
      </c>
      <c r="J140" t="str">
        <v>parameter is error Conversion to Double</v>
      </c>
      <c r="K140" t="str">
        <v>parameter is error Conversion to Double</v>
      </c>
      <c r="L140" t="str">
        <v>parameter is error Conversion to Double</v>
      </c>
      <c r="M140" t="str">
        <v>parameter is error Conversion to Double</v>
      </c>
      <c r="N140" t="str">
        <v>parameter is error Conversion to Double</v>
      </c>
      <c r="O140" t="e">
        <f t="shared" si="2"/>
        <v>#VALUE!</v>
      </c>
    </row>
    <row r="141" spans="9:15" x14ac:dyDescent="0.2">
      <c r="I141">
        <f t="shared" si="3"/>
        <v>118</v>
      </c>
      <c r="J141" t="str">
        <v>parameter is error Conversion to Double</v>
      </c>
      <c r="K141" t="str">
        <v>parameter is error Conversion to Double</v>
      </c>
      <c r="L141" t="str">
        <v>parameter is error Conversion to Double</v>
      </c>
      <c r="M141" t="str">
        <v>parameter is error Conversion to Double</v>
      </c>
      <c r="N141" t="str">
        <v>parameter is error Conversion to Double</v>
      </c>
      <c r="O141" t="e">
        <f t="shared" si="2"/>
        <v>#VALUE!</v>
      </c>
    </row>
    <row r="142" spans="9:15" x14ac:dyDescent="0.2">
      <c r="I142">
        <f t="shared" si="3"/>
        <v>119</v>
      </c>
      <c r="J142" t="str">
        <v>parameter is error Conversion to Double</v>
      </c>
      <c r="K142" t="str">
        <v>parameter is error Conversion to Double</v>
      </c>
      <c r="L142" t="str">
        <v>parameter is error Conversion to Double</v>
      </c>
      <c r="M142" t="str">
        <v>parameter is error Conversion to Double</v>
      </c>
      <c r="N142" t="str">
        <v>parameter is error Conversion to Double</v>
      </c>
      <c r="O142" t="e">
        <f t="shared" si="2"/>
        <v>#VALUE!</v>
      </c>
    </row>
    <row r="143" spans="9:15" x14ac:dyDescent="0.2">
      <c r="I143">
        <f t="shared" si="3"/>
        <v>120</v>
      </c>
      <c r="J143" t="str">
        <v>parameter is error Conversion to Double</v>
      </c>
      <c r="K143" t="str">
        <v>parameter is error Conversion to Double</v>
      </c>
      <c r="L143" t="str">
        <v>parameter is error Conversion to Double</v>
      </c>
      <c r="M143" t="str">
        <v>parameter is error Conversion to Double</v>
      </c>
      <c r="N143" t="str">
        <v>parameter is error Conversion to Double</v>
      </c>
      <c r="O143" t="e">
        <f t="shared" si="2"/>
        <v>#VALUE!</v>
      </c>
    </row>
    <row r="144" spans="9:15" x14ac:dyDescent="0.2">
      <c r="I144">
        <f t="shared" si="3"/>
        <v>121</v>
      </c>
      <c r="J144" t="str">
        <v>parameter is error Conversion to Double</v>
      </c>
      <c r="K144" t="str">
        <v>parameter is error Conversion to Double</v>
      </c>
      <c r="L144" t="str">
        <v>parameter is error Conversion to Double</v>
      </c>
      <c r="M144" t="str">
        <v>parameter is error Conversion to Double</v>
      </c>
      <c r="N144" t="str">
        <v>parameter is error Conversion to Double</v>
      </c>
      <c r="O144" t="e">
        <f t="shared" si="2"/>
        <v>#VALUE!</v>
      </c>
    </row>
    <row r="145" spans="9:15" x14ac:dyDescent="0.2">
      <c r="I145">
        <f t="shared" si="3"/>
        <v>122</v>
      </c>
      <c r="J145" t="str">
        <v>parameter is error Conversion to Double</v>
      </c>
      <c r="K145" t="str">
        <v>parameter is error Conversion to Double</v>
      </c>
      <c r="L145" t="str">
        <v>parameter is error Conversion to Double</v>
      </c>
      <c r="M145" t="str">
        <v>parameter is error Conversion to Double</v>
      </c>
      <c r="N145" t="str">
        <v>parameter is error Conversion to Double</v>
      </c>
      <c r="O145" t="e">
        <f t="shared" si="2"/>
        <v>#VALUE!</v>
      </c>
    </row>
    <row r="146" spans="9:15" x14ac:dyDescent="0.2">
      <c r="I146">
        <f t="shared" si="3"/>
        <v>123</v>
      </c>
      <c r="J146" t="str">
        <v>parameter is error Conversion to Double</v>
      </c>
      <c r="K146" t="str">
        <v>parameter is error Conversion to Double</v>
      </c>
      <c r="L146" t="str">
        <v>parameter is error Conversion to Double</v>
      </c>
      <c r="M146" t="str">
        <v>parameter is error Conversion to Double</v>
      </c>
      <c r="N146" t="str">
        <v>parameter is error Conversion to Double</v>
      </c>
      <c r="O146" t="e">
        <f t="shared" si="2"/>
        <v>#VALUE!</v>
      </c>
    </row>
    <row r="147" spans="9:15" x14ac:dyDescent="0.2">
      <c r="I147">
        <f t="shared" si="3"/>
        <v>124</v>
      </c>
      <c r="J147" t="str">
        <v>parameter is error Conversion to Double</v>
      </c>
      <c r="K147" t="str">
        <v>parameter is error Conversion to Double</v>
      </c>
      <c r="L147" t="str">
        <v>parameter is error Conversion to Double</v>
      </c>
      <c r="M147" t="str">
        <v>parameter is error Conversion to Double</v>
      </c>
      <c r="N147" t="str">
        <v>parameter is error Conversion to Double</v>
      </c>
      <c r="O147" t="e">
        <f t="shared" si="2"/>
        <v>#VALUE!</v>
      </c>
    </row>
    <row r="148" spans="9:15" x14ac:dyDescent="0.2">
      <c r="I148">
        <f t="shared" si="3"/>
        <v>125</v>
      </c>
      <c r="J148" t="str">
        <v>parameter is error Conversion to Double</v>
      </c>
      <c r="K148" t="str">
        <v>parameter is error Conversion to Double</v>
      </c>
      <c r="L148" t="str">
        <v>parameter is error Conversion to Double</v>
      </c>
      <c r="M148" t="str">
        <v>parameter is error Conversion to Double</v>
      </c>
      <c r="N148" t="str">
        <v>parameter is error Conversion to Double</v>
      </c>
      <c r="O148" t="e">
        <f t="shared" si="2"/>
        <v>#VALUE!</v>
      </c>
    </row>
    <row r="149" spans="9:15" x14ac:dyDescent="0.2">
      <c r="I149">
        <f t="shared" si="3"/>
        <v>126</v>
      </c>
      <c r="J149" t="str">
        <v>parameter is error Conversion to Double</v>
      </c>
      <c r="K149" t="str">
        <v>parameter is error Conversion to Double</v>
      </c>
      <c r="L149" t="str">
        <v>parameter is error Conversion to Double</v>
      </c>
      <c r="M149" t="str">
        <v>parameter is error Conversion to Double</v>
      </c>
      <c r="N149" t="str">
        <v>parameter is error Conversion to Double</v>
      </c>
      <c r="O149" t="e">
        <f t="shared" si="2"/>
        <v>#VALUE!</v>
      </c>
    </row>
    <row r="150" spans="9:15" x14ac:dyDescent="0.2">
      <c r="I150">
        <f t="shared" si="3"/>
        <v>127</v>
      </c>
      <c r="J150" t="str">
        <v>parameter is error Conversion to Double</v>
      </c>
      <c r="K150" t="str">
        <v>parameter is error Conversion to Double</v>
      </c>
      <c r="L150" t="str">
        <v>parameter is error Conversion to Double</v>
      </c>
      <c r="M150" t="str">
        <v>parameter is error Conversion to Double</v>
      </c>
      <c r="N150" t="str">
        <v>parameter is error Conversion to Double</v>
      </c>
      <c r="O150" t="e">
        <f t="shared" si="2"/>
        <v>#VALUE!</v>
      </c>
    </row>
    <row r="151" spans="9:15" x14ac:dyDescent="0.2">
      <c r="I151">
        <f t="shared" si="3"/>
        <v>128</v>
      </c>
      <c r="J151" t="str">
        <v>parameter is error Conversion to Double</v>
      </c>
      <c r="K151" t="str">
        <v>parameter is error Conversion to Double</v>
      </c>
      <c r="L151" t="str">
        <v>parameter is error Conversion to Double</v>
      </c>
      <c r="M151" t="str">
        <v>parameter is error Conversion to Double</v>
      </c>
      <c r="N151" t="str">
        <v>parameter is error Conversion to Double</v>
      </c>
      <c r="O151" t="e">
        <f t="shared" ref="O151:O214" si="4">M151-N151</f>
        <v>#VALUE!</v>
      </c>
    </row>
    <row r="152" spans="9:15" x14ac:dyDescent="0.2">
      <c r="I152">
        <f t="shared" si="3"/>
        <v>129</v>
      </c>
      <c r="J152" t="str">
        <v>parameter is error Conversion to Double</v>
      </c>
      <c r="K152" t="str">
        <v>parameter is error Conversion to Double</v>
      </c>
      <c r="L152" t="str">
        <v>parameter is error Conversion to Double</v>
      </c>
      <c r="M152" t="str">
        <v>parameter is error Conversion to Double</v>
      </c>
      <c r="N152" t="str">
        <v>parameter is error Conversion to Double</v>
      </c>
      <c r="O152" t="e">
        <f t="shared" si="4"/>
        <v>#VALUE!</v>
      </c>
    </row>
    <row r="153" spans="9:15" x14ac:dyDescent="0.2">
      <c r="I153">
        <f t="shared" ref="I153:I216" si="5">I152+1</f>
        <v>130</v>
      </c>
      <c r="J153" t="str">
        <v>parameter is error Conversion to Double</v>
      </c>
      <c r="K153" t="str">
        <v>parameter is error Conversion to Double</v>
      </c>
      <c r="L153" t="str">
        <v>parameter is error Conversion to Double</v>
      </c>
      <c r="M153" t="str">
        <v>parameter is error Conversion to Double</v>
      </c>
      <c r="N153" t="str">
        <v>parameter is error Conversion to Double</v>
      </c>
      <c r="O153" t="e">
        <f t="shared" si="4"/>
        <v>#VALUE!</v>
      </c>
    </row>
    <row r="154" spans="9:15" x14ac:dyDescent="0.2">
      <c r="I154">
        <f t="shared" si="5"/>
        <v>131</v>
      </c>
      <c r="J154" t="str">
        <v>parameter is error Conversion to Double</v>
      </c>
      <c r="K154" t="str">
        <v>parameter is error Conversion to Double</v>
      </c>
      <c r="L154" t="str">
        <v>parameter is error Conversion to Double</v>
      </c>
      <c r="M154" t="str">
        <v>parameter is error Conversion to Double</v>
      </c>
      <c r="N154" t="str">
        <v>parameter is error Conversion to Double</v>
      </c>
      <c r="O154" t="e">
        <f t="shared" si="4"/>
        <v>#VALUE!</v>
      </c>
    </row>
    <row r="155" spans="9:15" x14ac:dyDescent="0.2">
      <c r="I155">
        <f t="shared" si="5"/>
        <v>132</v>
      </c>
      <c r="J155" t="str">
        <v>parameter is error Conversion to Double</v>
      </c>
      <c r="K155" t="str">
        <v>parameter is error Conversion to Double</v>
      </c>
      <c r="L155" t="str">
        <v>parameter is error Conversion to Double</v>
      </c>
      <c r="M155" t="str">
        <v>parameter is error Conversion to Double</v>
      </c>
      <c r="N155" t="str">
        <v>parameter is error Conversion to Double</v>
      </c>
      <c r="O155" t="e">
        <f t="shared" si="4"/>
        <v>#VALUE!</v>
      </c>
    </row>
    <row r="156" spans="9:15" x14ac:dyDescent="0.2">
      <c r="I156">
        <f t="shared" si="5"/>
        <v>133</v>
      </c>
      <c r="J156" t="str">
        <v>parameter is error Conversion to Double</v>
      </c>
      <c r="K156" t="str">
        <v>parameter is error Conversion to Double</v>
      </c>
      <c r="L156" t="str">
        <v>parameter is error Conversion to Double</v>
      </c>
      <c r="M156" t="str">
        <v>parameter is error Conversion to Double</v>
      </c>
      <c r="N156" t="str">
        <v>parameter is error Conversion to Double</v>
      </c>
      <c r="O156" t="e">
        <f t="shared" si="4"/>
        <v>#VALUE!</v>
      </c>
    </row>
    <row r="157" spans="9:15" x14ac:dyDescent="0.2">
      <c r="I157">
        <f t="shared" si="5"/>
        <v>134</v>
      </c>
      <c r="J157" t="str">
        <v>parameter is error Conversion to Double</v>
      </c>
      <c r="K157" t="str">
        <v>parameter is error Conversion to Double</v>
      </c>
      <c r="L157" t="str">
        <v>parameter is error Conversion to Double</v>
      </c>
      <c r="M157" t="str">
        <v>parameter is error Conversion to Double</v>
      </c>
      <c r="N157" t="str">
        <v>parameter is error Conversion to Double</v>
      </c>
      <c r="O157" t="e">
        <f t="shared" si="4"/>
        <v>#VALUE!</v>
      </c>
    </row>
    <row r="158" spans="9:15" x14ac:dyDescent="0.2">
      <c r="I158">
        <f t="shared" si="5"/>
        <v>135</v>
      </c>
      <c r="J158" t="str">
        <v>parameter is error Conversion to Double</v>
      </c>
      <c r="K158" t="str">
        <v>parameter is error Conversion to Double</v>
      </c>
      <c r="L158" t="str">
        <v>parameter is error Conversion to Double</v>
      </c>
      <c r="M158" t="str">
        <v>parameter is error Conversion to Double</v>
      </c>
      <c r="N158" t="str">
        <v>parameter is error Conversion to Double</v>
      </c>
      <c r="O158" t="e">
        <f t="shared" si="4"/>
        <v>#VALUE!</v>
      </c>
    </row>
    <row r="159" spans="9:15" x14ac:dyDescent="0.2">
      <c r="I159">
        <f t="shared" si="5"/>
        <v>136</v>
      </c>
      <c r="J159" t="str">
        <v>parameter is error Conversion to Double</v>
      </c>
      <c r="K159" t="str">
        <v>parameter is error Conversion to Double</v>
      </c>
      <c r="L159" t="str">
        <v>parameter is error Conversion to Double</v>
      </c>
      <c r="M159" t="str">
        <v>parameter is error Conversion to Double</v>
      </c>
      <c r="N159" t="str">
        <v>parameter is error Conversion to Double</v>
      </c>
      <c r="O159" t="e">
        <f t="shared" si="4"/>
        <v>#VALUE!</v>
      </c>
    </row>
    <row r="160" spans="9:15" x14ac:dyDescent="0.2">
      <c r="I160">
        <f t="shared" si="5"/>
        <v>137</v>
      </c>
      <c r="J160" t="str">
        <v>parameter is error Conversion to Double</v>
      </c>
      <c r="K160" t="str">
        <v>parameter is error Conversion to Double</v>
      </c>
      <c r="L160" t="str">
        <v>parameter is error Conversion to Double</v>
      </c>
      <c r="M160" t="str">
        <v>parameter is error Conversion to Double</v>
      </c>
      <c r="N160" t="str">
        <v>parameter is error Conversion to Double</v>
      </c>
      <c r="O160" t="e">
        <f t="shared" si="4"/>
        <v>#VALUE!</v>
      </c>
    </row>
    <row r="161" spans="9:16" x14ac:dyDescent="0.2">
      <c r="I161">
        <f t="shared" si="5"/>
        <v>138</v>
      </c>
      <c r="J161" t="str">
        <v>parameter is error Conversion to Double</v>
      </c>
      <c r="K161" t="str">
        <v>parameter is error Conversion to Double</v>
      </c>
      <c r="L161" t="str">
        <v>parameter is error Conversion to Double</v>
      </c>
      <c r="M161" t="str">
        <v>parameter is error Conversion to Double</v>
      </c>
      <c r="N161" t="str">
        <v>parameter is error Conversion to Double</v>
      </c>
      <c r="O161" t="e">
        <f t="shared" si="4"/>
        <v>#VALUE!</v>
      </c>
    </row>
    <row r="162" spans="9:16" x14ac:dyDescent="0.2">
      <c r="I162">
        <f t="shared" si="5"/>
        <v>139</v>
      </c>
      <c r="J162" t="str">
        <v>parameter is error Conversion to Double</v>
      </c>
      <c r="K162" t="str">
        <v>parameter is error Conversion to Double</v>
      </c>
      <c r="L162" t="str">
        <v>parameter is error Conversion to Double</v>
      </c>
      <c r="M162" t="str">
        <v>parameter is error Conversion to Double</v>
      </c>
      <c r="N162" t="str">
        <v>parameter is error Conversion to Double</v>
      </c>
      <c r="O162" t="e">
        <f t="shared" si="4"/>
        <v>#VALUE!</v>
      </c>
    </row>
    <row r="163" spans="9:16" x14ac:dyDescent="0.2">
      <c r="I163">
        <f t="shared" si="5"/>
        <v>140</v>
      </c>
      <c r="J163" t="str">
        <v>parameter is error Conversion to Double</v>
      </c>
      <c r="K163" t="str">
        <v>parameter is error Conversion to Double</v>
      </c>
      <c r="L163" t="str">
        <v>parameter is error Conversion to Double</v>
      </c>
      <c r="M163" t="str">
        <v>parameter is error Conversion to Double</v>
      </c>
      <c r="N163" t="str">
        <v>parameter is error Conversion to Double</v>
      </c>
      <c r="O163" t="e">
        <f t="shared" si="4"/>
        <v>#VALUE!</v>
      </c>
    </row>
    <row r="164" spans="9:16" x14ac:dyDescent="0.2">
      <c r="I164" s="6">
        <f t="shared" si="5"/>
        <v>141</v>
      </c>
      <c r="J164" s="6" t="str">
        <v>parameter is error Conversion to Double</v>
      </c>
      <c r="K164" s="6" t="str">
        <v>parameter is error Conversion to Double</v>
      </c>
      <c r="L164" s="6" t="str">
        <v>parameter is error Conversion to Double</v>
      </c>
      <c r="M164" s="6" t="str">
        <v>parameter is error Conversion to Double</v>
      </c>
      <c r="N164" s="6" t="str">
        <v>parameter is error Conversion to Double</v>
      </c>
      <c r="O164" s="6" t="e">
        <f t="shared" si="4"/>
        <v>#VALUE!</v>
      </c>
      <c r="P164" s="13" t="s">
        <v>76</v>
      </c>
    </row>
    <row r="165" spans="9:16" x14ac:dyDescent="0.2">
      <c r="I165">
        <f t="shared" si="5"/>
        <v>142</v>
      </c>
      <c r="J165" t="str">
        <v>parameter is error Conversion to Double</v>
      </c>
      <c r="K165" t="str">
        <v>parameter is error Conversion to Double</v>
      </c>
      <c r="L165" t="str">
        <v>parameter is error Conversion to Double</v>
      </c>
      <c r="M165" t="str">
        <v>parameter is error Conversion to Double</v>
      </c>
      <c r="N165" t="str">
        <v>parameter is error Conversion to Double</v>
      </c>
      <c r="O165" t="e">
        <f t="shared" si="4"/>
        <v>#VALUE!</v>
      </c>
    </row>
    <row r="166" spans="9:16" x14ac:dyDescent="0.2">
      <c r="I166">
        <f t="shared" si="5"/>
        <v>143</v>
      </c>
      <c r="J166" t="str">
        <v>parameter is error Conversion to Double</v>
      </c>
      <c r="K166" t="str">
        <v>parameter is error Conversion to Double</v>
      </c>
      <c r="L166" t="str">
        <v>parameter is error Conversion to Double</v>
      </c>
      <c r="M166" t="str">
        <v>parameter is error Conversion to Double</v>
      </c>
      <c r="N166" t="str">
        <v>parameter is error Conversion to Double</v>
      </c>
      <c r="O166" t="e">
        <f t="shared" si="4"/>
        <v>#VALUE!</v>
      </c>
    </row>
    <row r="167" spans="9:16" x14ac:dyDescent="0.2">
      <c r="I167">
        <f t="shared" si="5"/>
        <v>144</v>
      </c>
      <c r="J167" t="str">
        <v>parameter is error Conversion to Double</v>
      </c>
      <c r="K167" t="str">
        <v>parameter is error Conversion to Double</v>
      </c>
      <c r="L167" t="str">
        <v>parameter is error Conversion to Double</v>
      </c>
      <c r="M167" t="str">
        <v>parameter is error Conversion to Double</v>
      </c>
      <c r="N167" t="str">
        <v>parameter is error Conversion to Double</v>
      </c>
      <c r="O167" t="e">
        <f t="shared" si="4"/>
        <v>#VALUE!</v>
      </c>
    </row>
    <row r="168" spans="9:16" x14ac:dyDescent="0.2">
      <c r="I168">
        <f t="shared" si="5"/>
        <v>145</v>
      </c>
      <c r="J168" t="str">
        <v>parameter is error Conversion to Double</v>
      </c>
      <c r="K168" t="str">
        <v>parameter is error Conversion to Double</v>
      </c>
      <c r="L168" t="str">
        <v>parameter is error Conversion to Double</v>
      </c>
      <c r="M168" t="str">
        <v>parameter is error Conversion to Double</v>
      </c>
      <c r="N168" t="str">
        <v>parameter is error Conversion to Double</v>
      </c>
      <c r="O168" t="e">
        <f t="shared" si="4"/>
        <v>#VALUE!</v>
      </c>
    </row>
    <row r="169" spans="9:16" x14ac:dyDescent="0.2">
      <c r="I169">
        <f t="shared" si="5"/>
        <v>146</v>
      </c>
      <c r="J169" t="str">
        <v>parameter is error Conversion to Double</v>
      </c>
      <c r="K169" t="str">
        <v>parameter is error Conversion to Double</v>
      </c>
      <c r="L169" t="str">
        <v>parameter is error Conversion to Double</v>
      </c>
      <c r="M169" t="str">
        <v>parameter is error Conversion to Double</v>
      </c>
      <c r="N169" t="str">
        <v>parameter is error Conversion to Double</v>
      </c>
      <c r="O169" t="e">
        <f t="shared" si="4"/>
        <v>#VALUE!</v>
      </c>
    </row>
    <row r="170" spans="9:16" x14ac:dyDescent="0.2">
      <c r="I170">
        <f t="shared" si="5"/>
        <v>147</v>
      </c>
      <c r="J170" t="str">
        <v>parameter is error Conversion to Double</v>
      </c>
      <c r="K170" t="str">
        <v>parameter is error Conversion to Double</v>
      </c>
      <c r="L170" t="str">
        <v>parameter is error Conversion to Double</v>
      </c>
      <c r="M170" t="str">
        <v>parameter is error Conversion to Double</v>
      </c>
      <c r="N170" t="str">
        <v>parameter is error Conversion to Double</v>
      </c>
      <c r="O170" t="e">
        <f t="shared" si="4"/>
        <v>#VALUE!</v>
      </c>
    </row>
    <row r="171" spans="9:16" x14ac:dyDescent="0.2">
      <c r="I171">
        <f t="shared" si="5"/>
        <v>148</v>
      </c>
      <c r="J171" t="str">
        <v>parameter is error Conversion to Double</v>
      </c>
      <c r="K171" t="str">
        <v>parameter is error Conversion to Double</v>
      </c>
      <c r="L171" t="str">
        <v>parameter is error Conversion to Double</v>
      </c>
      <c r="M171" t="str">
        <v>parameter is error Conversion to Double</v>
      </c>
      <c r="N171" t="str">
        <v>parameter is error Conversion to Double</v>
      </c>
      <c r="O171" t="e">
        <f t="shared" si="4"/>
        <v>#VALUE!</v>
      </c>
    </row>
    <row r="172" spans="9:16" x14ac:dyDescent="0.2">
      <c r="I172">
        <f t="shared" si="5"/>
        <v>149</v>
      </c>
      <c r="J172" t="str">
        <v>parameter is error Conversion to Double</v>
      </c>
      <c r="K172" t="str">
        <v>parameter is error Conversion to Double</v>
      </c>
      <c r="L172" t="str">
        <v>parameter is error Conversion to Double</v>
      </c>
      <c r="M172" t="str">
        <v>parameter is error Conversion to Double</v>
      </c>
      <c r="N172" t="str">
        <v>parameter is error Conversion to Double</v>
      </c>
      <c r="O172" t="e">
        <f t="shared" si="4"/>
        <v>#VALUE!</v>
      </c>
    </row>
    <row r="173" spans="9:16" x14ac:dyDescent="0.2">
      <c r="I173">
        <f t="shared" si="5"/>
        <v>150</v>
      </c>
      <c r="J173" t="str">
        <v>parameter is error Conversion to Double</v>
      </c>
      <c r="K173" t="str">
        <v>parameter is error Conversion to Double</v>
      </c>
      <c r="L173" t="str">
        <v>parameter is error Conversion to Double</v>
      </c>
      <c r="M173" t="str">
        <v>parameter is error Conversion to Double</v>
      </c>
      <c r="N173" t="str">
        <v>parameter is error Conversion to Double</v>
      </c>
      <c r="O173" t="e">
        <f t="shared" si="4"/>
        <v>#VALUE!</v>
      </c>
    </row>
    <row r="174" spans="9:16" x14ac:dyDescent="0.2">
      <c r="I174">
        <f t="shared" si="5"/>
        <v>151</v>
      </c>
      <c r="J174" t="str">
        <v>parameter is error Conversion to Double</v>
      </c>
      <c r="K174" t="str">
        <v>parameter is error Conversion to Double</v>
      </c>
      <c r="L174" t="str">
        <v>parameter is error Conversion to Double</v>
      </c>
      <c r="M174" t="str">
        <v>parameter is error Conversion to Double</v>
      </c>
      <c r="N174" t="str">
        <v>parameter is error Conversion to Double</v>
      </c>
      <c r="O174" t="e">
        <f t="shared" si="4"/>
        <v>#VALUE!</v>
      </c>
    </row>
    <row r="175" spans="9:16" x14ac:dyDescent="0.2">
      <c r="I175">
        <f t="shared" si="5"/>
        <v>152</v>
      </c>
      <c r="J175" t="str">
        <v>parameter is error Conversion to Double</v>
      </c>
      <c r="K175" t="str">
        <v>parameter is error Conversion to Double</v>
      </c>
      <c r="L175" t="str">
        <v>parameter is error Conversion to Double</v>
      </c>
      <c r="M175" t="str">
        <v>parameter is error Conversion to Double</v>
      </c>
      <c r="N175" t="str">
        <v>parameter is error Conversion to Double</v>
      </c>
      <c r="O175" t="e">
        <f t="shared" si="4"/>
        <v>#VALUE!</v>
      </c>
    </row>
    <row r="176" spans="9:16" x14ac:dyDescent="0.2">
      <c r="I176">
        <f t="shared" si="5"/>
        <v>153</v>
      </c>
      <c r="J176" t="str">
        <v>parameter is error Conversion to Double</v>
      </c>
      <c r="K176" t="str">
        <v>parameter is error Conversion to Double</v>
      </c>
      <c r="L176" t="str">
        <v>parameter is error Conversion to Double</v>
      </c>
      <c r="M176" t="str">
        <v>parameter is error Conversion to Double</v>
      </c>
      <c r="N176" t="str">
        <v>parameter is error Conversion to Double</v>
      </c>
      <c r="O176" t="e">
        <f t="shared" si="4"/>
        <v>#VALUE!</v>
      </c>
    </row>
    <row r="177" spans="9:15" x14ac:dyDescent="0.2">
      <c r="I177">
        <f t="shared" si="5"/>
        <v>154</v>
      </c>
      <c r="J177" t="str">
        <v>parameter is error Conversion to Double</v>
      </c>
      <c r="K177" t="str">
        <v>parameter is error Conversion to Double</v>
      </c>
      <c r="L177" t="str">
        <v>parameter is error Conversion to Double</v>
      </c>
      <c r="M177" t="str">
        <v>parameter is error Conversion to Double</v>
      </c>
      <c r="N177" t="str">
        <v>parameter is error Conversion to Double</v>
      </c>
      <c r="O177" t="e">
        <f t="shared" si="4"/>
        <v>#VALUE!</v>
      </c>
    </row>
    <row r="178" spans="9:15" x14ac:dyDescent="0.2">
      <c r="I178">
        <f t="shared" si="5"/>
        <v>155</v>
      </c>
      <c r="J178" t="str">
        <v>parameter is error Conversion to Double</v>
      </c>
      <c r="K178" t="str">
        <v>parameter is error Conversion to Double</v>
      </c>
      <c r="L178" t="str">
        <v>parameter is error Conversion to Double</v>
      </c>
      <c r="M178" t="str">
        <v>parameter is error Conversion to Double</v>
      </c>
      <c r="N178" t="str">
        <v>parameter is error Conversion to Double</v>
      </c>
      <c r="O178" t="e">
        <f t="shared" si="4"/>
        <v>#VALUE!</v>
      </c>
    </row>
    <row r="179" spans="9:15" x14ac:dyDescent="0.2">
      <c r="I179">
        <f t="shared" si="5"/>
        <v>156</v>
      </c>
      <c r="J179" t="str">
        <v>parameter is error Conversion to Double</v>
      </c>
      <c r="K179" t="str">
        <v>parameter is error Conversion to Double</v>
      </c>
      <c r="L179" t="str">
        <v>parameter is error Conversion to Double</v>
      </c>
      <c r="M179" t="str">
        <v>parameter is error Conversion to Double</v>
      </c>
      <c r="N179" t="str">
        <v>parameter is error Conversion to Double</v>
      </c>
      <c r="O179" t="e">
        <f t="shared" si="4"/>
        <v>#VALUE!</v>
      </c>
    </row>
    <row r="180" spans="9:15" x14ac:dyDescent="0.2">
      <c r="I180">
        <f t="shared" si="5"/>
        <v>157</v>
      </c>
      <c r="J180" t="str">
        <v>parameter is error Conversion to Double</v>
      </c>
      <c r="K180" t="str">
        <v>parameter is error Conversion to Double</v>
      </c>
      <c r="L180" t="str">
        <v>parameter is error Conversion to Double</v>
      </c>
      <c r="M180" t="str">
        <v>parameter is error Conversion to Double</v>
      </c>
      <c r="N180" t="str">
        <v>parameter is error Conversion to Double</v>
      </c>
      <c r="O180" t="e">
        <f t="shared" si="4"/>
        <v>#VALUE!</v>
      </c>
    </row>
    <row r="181" spans="9:15" x14ac:dyDescent="0.2">
      <c r="I181">
        <f t="shared" si="5"/>
        <v>158</v>
      </c>
      <c r="J181" t="str">
        <v>parameter is error Conversion to Double</v>
      </c>
      <c r="K181" t="str">
        <v>parameter is error Conversion to Double</v>
      </c>
      <c r="L181" t="str">
        <v>parameter is error Conversion to Double</v>
      </c>
      <c r="M181" t="str">
        <v>parameter is error Conversion to Double</v>
      </c>
      <c r="N181" t="str">
        <v>parameter is error Conversion to Double</v>
      </c>
      <c r="O181" t="e">
        <f t="shared" si="4"/>
        <v>#VALUE!</v>
      </c>
    </row>
    <row r="182" spans="9:15" x14ac:dyDescent="0.2">
      <c r="I182">
        <f t="shared" si="5"/>
        <v>159</v>
      </c>
      <c r="J182" t="str">
        <v>parameter is error Conversion to Double</v>
      </c>
      <c r="K182" t="str">
        <v>parameter is error Conversion to Double</v>
      </c>
      <c r="L182" t="str">
        <v>parameter is error Conversion to Double</v>
      </c>
      <c r="M182" t="str">
        <v>parameter is error Conversion to Double</v>
      </c>
      <c r="N182" t="str">
        <v>parameter is error Conversion to Double</v>
      </c>
      <c r="O182" t="e">
        <f t="shared" si="4"/>
        <v>#VALUE!</v>
      </c>
    </row>
    <row r="183" spans="9:15" x14ac:dyDescent="0.2">
      <c r="I183">
        <f t="shared" si="5"/>
        <v>160</v>
      </c>
      <c r="J183" t="str">
        <v>parameter is error Conversion to Double</v>
      </c>
      <c r="K183" t="str">
        <v>parameter is error Conversion to Double</v>
      </c>
      <c r="L183" t="str">
        <v>parameter is error Conversion to Double</v>
      </c>
      <c r="M183" t="str">
        <v>parameter is error Conversion to Double</v>
      </c>
      <c r="N183" t="str">
        <v>parameter is error Conversion to Double</v>
      </c>
      <c r="O183" t="e">
        <f t="shared" si="4"/>
        <v>#VALUE!</v>
      </c>
    </row>
    <row r="184" spans="9:15" x14ac:dyDescent="0.2">
      <c r="I184">
        <f t="shared" si="5"/>
        <v>161</v>
      </c>
      <c r="J184" t="str">
        <v>parameter is error Conversion to Double</v>
      </c>
      <c r="K184" t="str">
        <v>parameter is error Conversion to Double</v>
      </c>
      <c r="L184" t="str">
        <v>parameter is error Conversion to Double</v>
      </c>
      <c r="M184" t="str">
        <v>parameter is error Conversion to Double</v>
      </c>
      <c r="N184" t="str">
        <v>parameter is error Conversion to Double</v>
      </c>
      <c r="O184" t="e">
        <f t="shared" si="4"/>
        <v>#VALUE!</v>
      </c>
    </row>
    <row r="185" spans="9:15" x14ac:dyDescent="0.2">
      <c r="I185">
        <f t="shared" si="5"/>
        <v>162</v>
      </c>
      <c r="J185" t="str">
        <v>parameter is error Conversion to Double</v>
      </c>
      <c r="K185" t="str">
        <v>parameter is error Conversion to Double</v>
      </c>
      <c r="L185" t="str">
        <v>parameter is error Conversion to Double</v>
      </c>
      <c r="M185" t="str">
        <v>parameter is error Conversion to Double</v>
      </c>
      <c r="N185" t="str">
        <v>parameter is error Conversion to Double</v>
      </c>
      <c r="O185" t="e">
        <f t="shared" si="4"/>
        <v>#VALUE!</v>
      </c>
    </row>
    <row r="186" spans="9:15" x14ac:dyDescent="0.2">
      <c r="I186">
        <f t="shared" si="5"/>
        <v>163</v>
      </c>
      <c r="J186" t="str">
        <v>parameter is error Conversion to Double</v>
      </c>
      <c r="K186" t="str">
        <v>parameter is error Conversion to Double</v>
      </c>
      <c r="L186" t="str">
        <v>parameter is error Conversion to Double</v>
      </c>
      <c r="M186" t="str">
        <v>parameter is error Conversion to Double</v>
      </c>
      <c r="N186" t="str">
        <v>parameter is error Conversion to Double</v>
      </c>
      <c r="O186" t="e">
        <f t="shared" si="4"/>
        <v>#VALUE!</v>
      </c>
    </row>
    <row r="187" spans="9:15" x14ac:dyDescent="0.2">
      <c r="I187">
        <f t="shared" si="5"/>
        <v>164</v>
      </c>
      <c r="J187" t="str">
        <v>parameter is error Conversion to Double</v>
      </c>
      <c r="K187" t="str">
        <v>parameter is error Conversion to Double</v>
      </c>
      <c r="L187" t="str">
        <v>parameter is error Conversion to Double</v>
      </c>
      <c r="M187" t="str">
        <v>parameter is error Conversion to Double</v>
      </c>
      <c r="N187" t="str">
        <v>parameter is error Conversion to Double</v>
      </c>
      <c r="O187" t="e">
        <f t="shared" si="4"/>
        <v>#VALUE!</v>
      </c>
    </row>
    <row r="188" spans="9:15" x14ac:dyDescent="0.2">
      <c r="I188">
        <f t="shared" si="5"/>
        <v>165</v>
      </c>
      <c r="J188" t="str">
        <v>parameter is error Conversion to Double</v>
      </c>
      <c r="K188" t="str">
        <v>parameter is error Conversion to Double</v>
      </c>
      <c r="L188" t="str">
        <v>parameter is error Conversion to Double</v>
      </c>
      <c r="M188" t="str">
        <v>parameter is error Conversion to Double</v>
      </c>
      <c r="N188" t="str">
        <v>parameter is error Conversion to Double</v>
      </c>
      <c r="O188" t="e">
        <f t="shared" si="4"/>
        <v>#VALUE!</v>
      </c>
    </row>
    <row r="189" spans="9:15" x14ac:dyDescent="0.2">
      <c r="I189">
        <f t="shared" si="5"/>
        <v>166</v>
      </c>
      <c r="J189" t="str">
        <v>parameter is error Conversion to Double</v>
      </c>
      <c r="K189" t="str">
        <v>parameter is error Conversion to Double</v>
      </c>
      <c r="L189" t="str">
        <v>parameter is error Conversion to Double</v>
      </c>
      <c r="M189" t="str">
        <v>parameter is error Conversion to Double</v>
      </c>
      <c r="N189" t="str">
        <v>parameter is error Conversion to Double</v>
      </c>
      <c r="O189" t="e">
        <f t="shared" si="4"/>
        <v>#VALUE!</v>
      </c>
    </row>
    <row r="190" spans="9:15" x14ac:dyDescent="0.2">
      <c r="I190">
        <f t="shared" si="5"/>
        <v>167</v>
      </c>
      <c r="J190" t="str">
        <v>parameter is error Conversion to Double</v>
      </c>
      <c r="K190" t="str">
        <v>parameter is error Conversion to Double</v>
      </c>
      <c r="L190" t="str">
        <v>parameter is error Conversion to Double</v>
      </c>
      <c r="M190" t="str">
        <v>parameter is error Conversion to Double</v>
      </c>
      <c r="N190" t="str">
        <v>parameter is error Conversion to Double</v>
      </c>
      <c r="O190" t="e">
        <f t="shared" si="4"/>
        <v>#VALUE!</v>
      </c>
    </row>
    <row r="191" spans="9:15" x14ac:dyDescent="0.2">
      <c r="I191">
        <f t="shared" si="5"/>
        <v>168</v>
      </c>
      <c r="J191" t="str">
        <v>parameter is error Conversion to Double</v>
      </c>
      <c r="K191" t="str">
        <v>parameter is error Conversion to Double</v>
      </c>
      <c r="L191" t="str">
        <v>parameter is error Conversion to Double</v>
      </c>
      <c r="M191" t="str">
        <v>parameter is error Conversion to Double</v>
      </c>
      <c r="N191" t="str">
        <v>parameter is error Conversion to Double</v>
      </c>
      <c r="O191" t="e">
        <f t="shared" si="4"/>
        <v>#VALUE!</v>
      </c>
    </row>
    <row r="192" spans="9:15" x14ac:dyDescent="0.2">
      <c r="I192">
        <f t="shared" si="5"/>
        <v>169</v>
      </c>
      <c r="J192" t="str">
        <v>parameter is error Conversion to Double</v>
      </c>
      <c r="K192" t="str">
        <v>parameter is error Conversion to Double</v>
      </c>
      <c r="L192" t="str">
        <v>parameter is error Conversion to Double</v>
      </c>
      <c r="M192" t="str">
        <v>parameter is error Conversion to Double</v>
      </c>
      <c r="N192" t="str">
        <v>parameter is error Conversion to Double</v>
      </c>
      <c r="O192" t="e">
        <f t="shared" si="4"/>
        <v>#VALUE!</v>
      </c>
    </row>
    <row r="193" spans="9:15" x14ac:dyDescent="0.2">
      <c r="I193">
        <f t="shared" si="5"/>
        <v>170</v>
      </c>
      <c r="J193" t="str">
        <v>parameter is error Conversion to Double</v>
      </c>
      <c r="K193" t="str">
        <v>parameter is error Conversion to Double</v>
      </c>
      <c r="L193" t="str">
        <v>parameter is error Conversion to Double</v>
      </c>
      <c r="M193" t="str">
        <v>parameter is error Conversion to Double</v>
      </c>
      <c r="N193" t="str">
        <v>parameter is error Conversion to Double</v>
      </c>
      <c r="O193" t="e">
        <f t="shared" si="4"/>
        <v>#VALUE!</v>
      </c>
    </row>
    <row r="194" spans="9:15" x14ac:dyDescent="0.2">
      <c r="I194">
        <f t="shared" si="5"/>
        <v>171</v>
      </c>
      <c r="J194" t="str">
        <v>parameter is error Conversion to Double</v>
      </c>
      <c r="K194" t="str">
        <v>parameter is error Conversion to Double</v>
      </c>
      <c r="L194" t="str">
        <v>parameter is error Conversion to Double</v>
      </c>
      <c r="M194" t="str">
        <v>parameter is error Conversion to Double</v>
      </c>
      <c r="N194" t="str">
        <v>parameter is error Conversion to Double</v>
      </c>
      <c r="O194" t="e">
        <f t="shared" si="4"/>
        <v>#VALUE!</v>
      </c>
    </row>
    <row r="195" spans="9:15" x14ac:dyDescent="0.2">
      <c r="I195">
        <f t="shared" si="5"/>
        <v>172</v>
      </c>
      <c r="J195" t="str">
        <v>parameter is error Conversion to Double</v>
      </c>
      <c r="K195" t="str">
        <v>parameter is error Conversion to Double</v>
      </c>
      <c r="L195" t="str">
        <v>parameter is error Conversion to Double</v>
      </c>
      <c r="M195" t="str">
        <v>parameter is error Conversion to Double</v>
      </c>
      <c r="N195" t="str">
        <v>parameter is error Conversion to Double</v>
      </c>
      <c r="O195" t="e">
        <f t="shared" si="4"/>
        <v>#VALUE!</v>
      </c>
    </row>
    <row r="196" spans="9:15" x14ac:dyDescent="0.2">
      <c r="I196">
        <f t="shared" si="5"/>
        <v>173</v>
      </c>
      <c r="J196" t="str">
        <v>parameter is error Conversion to Double</v>
      </c>
      <c r="K196" t="str">
        <v>parameter is error Conversion to Double</v>
      </c>
      <c r="L196" t="str">
        <v>parameter is error Conversion to Double</v>
      </c>
      <c r="M196" t="str">
        <v>parameter is error Conversion to Double</v>
      </c>
      <c r="N196" t="str">
        <v>parameter is error Conversion to Double</v>
      </c>
      <c r="O196" t="e">
        <f t="shared" si="4"/>
        <v>#VALUE!</v>
      </c>
    </row>
    <row r="197" spans="9:15" x14ac:dyDescent="0.2">
      <c r="I197">
        <f t="shared" si="5"/>
        <v>174</v>
      </c>
      <c r="J197" t="str">
        <v>parameter is error Conversion to Double</v>
      </c>
      <c r="K197" t="str">
        <v>parameter is error Conversion to Double</v>
      </c>
      <c r="L197" t="str">
        <v>parameter is error Conversion to Double</v>
      </c>
      <c r="M197" t="str">
        <v>parameter is error Conversion to Double</v>
      </c>
      <c r="N197" t="str">
        <v>parameter is error Conversion to Double</v>
      </c>
      <c r="O197" t="e">
        <f t="shared" si="4"/>
        <v>#VALUE!</v>
      </c>
    </row>
    <row r="198" spans="9:15" x14ac:dyDescent="0.2">
      <c r="I198">
        <f t="shared" si="5"/>
        <v>175</v>
      </c>
      <c r="J198" t="str">
        <v>parameter is error Conversion to Double</v>
      </c>
      <c r="K198" t="str">
        <v>parameter is error Conversion to Double</v>
      </c>
      <c r="L198" t="str">
        <v>parameter is error Conversion to Double</v>
      </c>
      <c r="M198" t="str">
        <v>parameter is error Conversion to Double</v>
      </c>
      <c r="N198" t="str">
        <v>parameter is error Conversion to Double</v>
      </c>
      <c r="O198" t="e">
        <f t="shared" si="4"/>
        <v>#VALUE!</v>
      </c>
    </row>
    <row r="199" spans="9:15" x14ac:dyDescent="0.2">
      <c r="I199">
        <f t="shared" si="5"/>
        <v>176</v>
      </c>
      <c r="J199" t="str">
        <v>parameter is error Conversion to Double</v>
      </c>
      <c r="K199" t="str">
        <v>parameter is error Conversion to Double</v>
      </c>
      <c r="L199" t="str">
        <v>parameter is error Conversion to Double</v>
      </c>
      <c r="M199" t="str">
        <v>parameter is error Conversion to Double</v>
      </c>
      <c r="N199" t="str">
        <v>parameter is error Conversion to Double</v>
      </c>
      <c r="O199" t="e">
        <f t="shared" si="4"/>
        <v>#VALUE!</v>
      </c>
    </row>
    <row r="200" spans="9:15" x14ac:dyDescent="0.2">
      <c r="I200">
        <f t="shared" si="5"/>
        <v>177</v>
      </c>
      <c r="J200" t="str">
        <v>parameter is error Conversion to Double</v>
      </c>
      <c r="K200" t="str">
        <v>parameter is error Conversion to Double</v>
      </c>
      <c r="L200" t="str">
        <v>parameter is error Conversion to Double</v>
      </c>
      <c r="M200" t="str">
        <v>parameter is error Conversion to Double</v>
      </c>
      <c r="N200" t="str">
        <v>parameter is error Conversion to Double</v>
      </c>
      <c r="O200" t="e">
        <f t="shared" si="4"/>
        <v>#VALUE!</v>
      </c>
    </row>
    <row r="201" spans="9:15" x14ac:dyDescent="0.2">
      <c r="I201">
        <f t="shared" si="5"/>
        <v>178</v>
      </c>
      <c r="J201" t="str">
        <v>parameter is error Conversion to Double</v>
      </c>
      <c r="K201" t="str">
        <v>parameter is error Conversion to Double</v>
      </c>
      <c r="L201" t="str">
        <v>parameter is error Conversion to Double</v>
      </c>
      <c r="M201" t="str">
        <v>parameter is error Conversion to Double</v>
      </c>
      <c r="N201" t="str">
        <v>parameter is error Conversion to Double</v>
      </c>
      <c r="O201" t="e">
        <f t="shared" si="4"/>
        <v>#VALUE!</v>
      </c>
    </row>
    <row r="202" spans="9:15" x14ac:dyDescent="0.2">
      <c r="I202">
        <f t="shared" si="5"/>
        <v>179</v>
      </c>
      <c r="J202" t="str">
        <v>parameter is error Conversion to Double</v>
      </c>
      <c r="K202" t="str">
        <v>parameter is error Conversion to Double</v>
      </c>
      <c r="L202" t="str">
        <v>parameter is error Conversion to Double</v>
      </c>
      <c r="M202" t="str">
        <v>parameter is error Conversion to Double</v>
      </c>
      <c r="N202" t="str">
        <v>parameter is error Conversion to Double</v>
      </c>
      <c r="O202" t="e">
        <f t="shared" si="4"/>
        <v>#VALUE!</v>
      </c>
    </row>
    <row r="203" spans="9:15" x14ac:dyDescent="0.2">
      <c r="I203">
        <f t="shared" si="5"/>
        <v>180</v>
      </c>
      <c r="J203" t="str">
        <v>parameter is error Conversion to Double</v>
      </c>
      <c r="K203" t="str">
        <v>parameter is error Conversion to Double</v>
      </c>
      <c r="L203" t="str">
        <v>parameter is error Conversion to Double</v>
      </c>
      <c r="M203" t="str">
        <v>parameter is error Conversion to Double</v>
      </c>
      <c r="N203" t="str">
        <v>parameter is error Conversion to Double</v>
      </c>
      <c r="O203" t="e">
        <f t="shared" si="4"/>
        <v>#VALUE!</v>
      </c>
    </row>
    <row r="204" spans="9:15" x14ac:dyDescent="0.2">
      <c r="I204">
        <f t="shared" si="5"/>
        <v>181</v>
      </c>
      <c r="J204" t="str">
        <v>parameter is error Conversion to Double</v>
      </c>
      <c r="K204" t="str">
        <v>parameter is error Conversion to Double</v>
      </c>
      <c r="L204" t="str">
        <v>parameter is error Conversion to Double</v>
      </c>
      <c r="M204" t="str">
        <v>parameter is error Conversion to Double</v>
      </c>
      <c r="N204" t="str">
        <v>parameter is error Conversion to Double</v>
      </c>
      <c r="O204" t="e">
        <f t="shared" si="4"/>
        <v>#VALUE!</v>
      </c>
    </row>
    <row r="205" spans="9:15" x14ac:dyDescent="0.2">
      <c r="I205">
        <f t="shared" si="5"/>
        <v>182</v>
      </c>
      <c r="J205" t="str">
        <v>parameter is error Conversion to Double</v>
      </c>
      <c r="K205" t="str">
        <v>parameter is error Conversion to Double</v>
      </c>
      <c r="L205" t="str">
        <v>parameter is error Conversion to Double</v>
      </c>
      <c r="M205" t="str">
        <v>parameter is error Conversion to Double</v>
      </c>
      <c r="N205" t="str">
        <v>parameter is error Conversion to Double</v>
      </c>
      <c r="O205" t="e">
        <f t="shared" si="4"/>
        <v>#VALUE!</v>
      </c>
    </row>
    <row r="206" spans="9:15" x14ac:dyDescent="0.2">
      <c r="I206">
        <f t="shared" si="5"/>
        <v>183</v>
      </c>
      <c r="J206" t="str">
        <v>parameter is error Conversion to Double</v>
      </c>
      <c r="K206" t="str">
        <v>parameter is error Conversion to Double</v>
      </c>
      <c r="L206" t="str">
        <v>parameter is error Conversion to Double</v>
      </c>
      <c r="M206" t="str">
        <v>parameter is error Conversion to Double</v>
      </c>
      <c r="N206" t="str">
        <v>parameter is error Conversion to Double</v>
      </c>
      <c r="O206" t="e">
        <f t="shared" si="4"/>
        <v>#VALUE!</v>
      </c>
    </row>
    <row r="207" spans="9:15" x14ac:dyDescent="0.2">
      <c r="I207">
        <f t="shared" si="5"/>
        <v>184</v>
      </c>
      <c r="J207" t="str">
        <v>parameter is error Conversion to Double</v>
      </c>
      <c r="K207" t="str">
        <v>parameter is error Conversion to Double</v>
      </c>
      <c r="L207" t="str">
        <v>parameter is error Conversion to Double</v>
      </c>
      <c r="M207" t="str">
        <v>parameter is error Conversion to Double</v>
      </c>
      <c r="N207" t="str">
        <v>parameter is error Conversion to Double</v>
      </c>
      <c r="O207" t="e">
        <f t="shared" si="4"/>
        <v>#VALUE!</v>
      </c>
    </row>
    <row r="208" spans="9:15" x14ac:dyDescent="0.2">
      <c r="I208">
        <f t="shared" si="5"/>
        <v>185</v>
      </c>
      <c r="J208" t="str">
        <v>parameter is error Conversion to Double</v>
      </c>
      <c r="K208" t="str">
        <v>parameter is error Conversion to Double</v>
      </c>
      <c r="L208" t="str">
        <v>parameter is error Conversion to Double</v>
      </c>
      <c r="M208" t="str">
        <v>parameter is error Conversion to Double</v>
      </c>
      <c r="N208" t="str">
        <v>parameter is error Conversion to Double</v>
      </c>
      <c r="O208" t="e">
        <f t="shared" si="4"/>
        <v>#VALUE!</v>
      </c>
    </row>
    <row r="209" spans="9:15" x14ac:dyDescent="0.2">
      <c r="I209">
        <f t="shared" si="5"/>
        <v>186</v>
      </c>
      <c r="J209" t="str">
        <v>parameter is error Conversion to Double</v>
      </c>
      <c r="K209" t="str">
        <v>parameter is error Conversion to Double</v>
      </c>
      <c r="L209" t="str">
        <v>parameter is error Conversion to Double</v>
      </c>
      <c r="M209" t="str">
        <v>parameter is error Conversion to Double</v>
      </c>
      <c r="N209" t="str">
        <v>parameter is error Conversion to Double</v>
      </c>
      <c r="O209" t="e">
        <f t="shared" si="4"/>
        <v>#VALUE!</v>
      </c>
    </row>
    <row r="210" spans="9:15" x14ac:dyDescent="0.2">
      <c r="I210">
        <f t="shared" si="5"/>
        <v>187</v>
      </c>
      <c r="J210" t="str">
        <v>parameter is error Conversion to Double</v>
      </c>
      <c r="K210" t="str">
        <v>parameter is error Conversion to Double</v>
      </c>
      <c r="L210" t="str">
        <v>parameter is error Conversion to Double</v>
      </c>
      <c r="M210" t="str">
        <v>parameter is error Conversion to Double</v>
      </c>
      <c r="N210" t="str">
        <v>parameter is error Conversion to Double</v>
      </c>
      <c r="O210" t="e">
        <f t="shared" si="4"/>
        <v>#VALUE!</v>
      </c>
    </row>
    <row r="211" spans="9:15" x14ac:dyDescent="0.2">
      <c r="I211">
        <f t="shared" si="5"/>
        <v>188</v>
      </c>
      <c r="J211" t="str">
        <v>parameter is error Conversion to Double</v>
      </c>
      <c r="K211" t="str">
        <v>parameter is error Conversion to Double</v>
      </c>
      <c r="L211" t="str">
        <v>parameter is error Conversion to Double</v>
      </c>
      <c r="M211" t="str">
        <v>parameter is error Conversion to Double</v>
      </c>
      <c r="N211" t="str">
        <v>parameter is error Conversion to Double</v>
      </c>
      <c r="O211" t="e">
        <f t="shared" si="4"/>
        <v>#VALUE!</v>
      </c>
    </row>
    <row r="212" spans="9:15" x14ac:dyDescent="0.2">
      <c r="I212">
        <f t="shared" si="5"/>
        <v>189</v>
      </c>
      <c r="J212" t="str">
        <v>parameter is error Conversion to Double</v>
      </c>
      <c r="K212" t="str">
        <v>parameter is error Conversion to Double</v>
      </c>
      <c r="L212" t="str">
        <v>parameter is error Conversion to Double</v>
      </c>
      <c r="M212" t="str">
        <v>parameter is error Conversion to Double</v>
      </c>
      <c r="N212" t="str">
        <v>parameter is error Conversion to Double</v>
      </c>
      <c r="O212" t="e">
        <f t="shared" si="4"/>
        <v>#VALUE!</v>
      </c>
    </row>
    <row r="213" spans="9:15" x14ac:dyDescent="0.2">
      <c r="I213">
        <f t="shared" si="5"/>
        <v>190</v>
      </c>
      <c r="J213" t="str">
        <v>parameter is error Conversion to Double</v>
      </c>
      <c r="K213" t="str">
        <v>parameter is error Conversion to Double</v>
      </c>
      <c r="L213" t="str">
        <v>parameter is error Conversion to Double</v>
      </c>
      <c r="M213" t="str">
        <v>parameter is error Conversion to Double</v>
      </c>
      <c r="N213" t="str">
        <v>parameter is error Conversion to Double</v>
      </c>
      <c r="O213" t="e">
        <f t="shared" si="4"/>
        <v>#VALUE!</v>
      </c>
    </row>
    <row r="214" spans="9:15" x14ac:dyDescent="0.2">
      <c r="I214">
        <f t="shared" si="5"/>
        <v>191</v>
      </c>
      <c r="J214" t="str">
        <v>parameter is error Conversion to Double</v>
      </c>
      <c r="K214" t="str">
        <v>parameter is error Conversion to Double</v>
      </c>
      <c r="L214" t="str">
        <v>parameter is error Conversion to Double</v>
      </c>
      <c r="M214" t="str">
        <v>parameter is error Conversion to Double</v>
      </c>
      <c r="N214" t="str">
        <v>parameter is error Conversion to Double</v>
      </c>
      <c r="O214" t="e">
        <f t="shared" si="4"/>
        <v>#VALUE!</v>
      </c>
    </row>
    <row r="215" spans="9:15" x14ac:dyDescent="0.2">
      <c r="I215">
        <f t="shared" si="5"/>
        <v>192</v>
      </c>
      <c r="J215" t="str">
        <v>parameter is error Conversion to Double</v>
      </c>
      <c r="K215" t="str">
        <v>parameter is error Conversion to Double</v>
      </c>
      <c r="L215" t="str">
        <v>parameter is error Conversion to Double</v>
      </c>
      <c r="M215" t="str">
        <v>parameter is error Conversion to Double</v>
      </c>
      <c r="N215" t="str">
        <v>parameter is error Conversion to Double</v>
      </c>
      <c r="O215" t="e">
        <f t="shared" ref="O215:O278" si="6">M215-N215</f>
        <v>#VALUE!</v>
      </c>
    </row>
    <row r="216" spans="9:15" x14ac:dyDescent="0.2">
      <c r="I216">
        <f t="shared" si="5"/>
        <v>193</v>
      </c>
      <c r="J216" t="str">
        <v>parameter is error Conversion to Double</v>
      </c>
      <c r="K216" t="str">
        <v>parameter is error Conversion to Double</v>
      </c>
      <c r="L216" t="str">
        <v>parameter is error Conversion to Double</v>
      </c>
      <c r="M216" t="str">
        <v>parameter is error Conversion to Double</v>
      </c>
      <c r="N216" t="str">
        <v>parameter is error Conversion to Double</v>
      </c>
      <c r="O216" t="e">
        <f t="shared" si="6"/>
        <v>#VALUE!</v>
      </c>
    </row>
    <row r="217" spans="9:15" x14ac:dyDescent="0.2">
      <c r="I217">
        <f t="shared" ref="I217:I280" si="7">I216+1</f>
        <v>194</v>
      </c>
      <c r="J217" t="str">
        <v>parameter is error Conversion to Double</v>
      </c>
      <c r="K217" t="str">
        <v>parameter is error Conversion to Double</v>
      </c>
      <c r="L217" t="str">
        <v>parameter is error Conversion to Double</v>
      </c>
      <c r="M217" t="str">
        <v>parameter is error Conversion to Double</v>
      </c>
      <c r="N217" t="str">
        <v>parameter is error Conversion to Double</v>
      </c>
      <c r="O217" t="e">
        <f t="shared" si="6"/>
        <v>#VALUE!</v>
      </c>
    </row>
    <row r="218" spans="9:15" x14ac:dyDescent="0.2">
      <c r="I218">
        <f t="shared" si="7"/>
        <v>195</v>
      </c>
      <c r="J218" t="str">
        <v>parameter is error Conversion to Double</v>
      </c>
      <c r="K218" t="str">
        <v>parameter is error Conversion to Double</v>
      </c>
      <c r="L218" t="str">
        <v>parameter is error Conversion to Double</v>
      </c>
      <c r="M218" t="str">
        <v>parameter is error Conversion to Double</v>
      </c>
      <c r="N218" t="str">
        <v>parameter is error Conversion to Double</v>
      </c>
      <c r="O218" t="e">
        <f t="shared" si="6"/>
        <v>#VALUE!</v>
      </c>
    </row>
    <row r="219" spans="9:15" x14ac:dyDescent="0.2">
      <c r="I219">
        <f t="shared" si="7"/>
        <v>196</v>
      </c>
      <c r="J219" t="str">
        <v>parameter is error Conversion to Double</v>
      </c>
      <c r="K219" t="str">
        <v>parameter is error Conversion to Double</v>
      </c>
      <c r="L219" t="str">
        <v>parameter is error Conversion to Double</v>
      </c>
      <c r="M219" t="str">
        <v>parameter is error Conversion to Double</v>
      </c>
      <c r="N219" t="str">
        <v>parameter is error Conversion to Double</v>
      </c>
      <c r="O219" t="e">
        <f t="shared" si="6"/>
        <v>#VALUE!</v>
      </c>
    </row>
    <row r="220" spans="9:15" x14ac:dyDescent="0.2">
      <c r="I220">
        <f t="shared" si="7"/>
        <v>197</v>
      </c>
      <c r="J220" t="str">
        <v>parameter is error Conversion to Double</v>
      </c>
      <c r="K220" t="str">
        <v>parameter is error Conversion to Double</v>
      </c>
      <c r="L220" t="str">
        <v>parameter is error Conversion to Double</v>
      </c>
      <c r="M220" t="str">
        <v>parameter is error Conversion to Double</v>
      </c>
      <c r="N220" t="str">
        <v>parameter is error Conversion to Double</v>
      </c>
      <c r="O220" t="e">
        <f t="shared" si="6"/>
        <v>#VALUE!</v>
      </c>
    </row>
    <row r="221" spans="9:15" x14ac:dyDescent="0.2">
      <c r="I221">
        <f t="shared" si="7"/>
        <v>198</v>
      </c>
      <c r="J221" t="str">
        <v>parameter is error Conversion to Double</v>
      </c>
      <c r="K221" t="str">
        <v>parameter is error Conversion to Double</v>
      </c>
      <c r="L221" t="str">
        <v>parameter is error Conversion to Double</v>
      </c>
      <c r="M221" t="str">
        <v>parameter is error Conversion to Double</v>
      </c>
      <c r="N221" t="str">
        <v>parameter is error Conversion to Double</v>
      </c>
      <c r="O221" t="e">
        <f t="shared" si="6"/>
        <v>#VALUE!</v>
      </c>
    </row>
    <row r="222" spans="9:15" x14ac:dyDescent="0.2">
      <c r="I222">
        <f t="shared" si="7"/>
        <v>199</v>
      </c>
      <c r="J222" t="str">
        <v>parameter is error Conversion to Double</v>
      </c>
      <c r="K222" t="str">
        <v>parameter is error Conversion to Double</v>
      </c>
      <c r="L222" t="str">
        <v>parameter is error Conversion to Double</v>
      </c>
      <c r="M222" t="str">
        <v>parameter is error Conversion to Double</v>
      </c>
      <c r="N222" t="str">
        <v>parameter is error Conversion to Double</v>
      </c>
      <c r="O222" t="e">
        <f t="shared" si="6"/>
        <v>#VALUE!</v>
      </c>
    </row>
    <row r="223" spans="9:15" x14ac:dyDescent="0.2">
      <c r="I223">
        <f t="shared" si="7"/>
        <v>200</v>
      </c>
      <c r="J223" t="str">
        <v>parameter is error Conversion to Double</v>
      </c>
      <c r="K223" t="str">
        <v>parameter is error Conversion to Double</v>
      </c>
      <c r="L223" t="str">
        <v>parameter is error Conversion to Double</v>
      </c>
      <c r="M223" t="str">
        <v>parameter is error Conversion to Double</v>
      </c>
      <c r="N223" t="str">
        <v>parameter is error Conversion to Double</v>
      </c>
      <c r="O223" t="e">
        <f t="shared" si="6"/>
        <v>#VALUE!</v>
      </c>
    </row>
    <row r="224" spans="9:15" x14ac:dyDescent="0.2">
      <c r="I224">
        <f t="shared" si="7"/>
        <v>201</v>
      </c>
      <c r="J224" t="str">
        <v>parameter is error Conversion to Double</v>
      </c>
      <c r="K224" t="str">
        <v>parameter is error Conversion to Double</v>
      </c>
      <c r="L224" t="str">
        <v>parameter is error Conversion to Double</v>
      </c>
      <c r="M224" t="str">
        <v>parameter is error Conversion to Double</v>
      </c>
      <c r="N224" t="str">
        <v>parameter is error Conversion to Double</v>
      </c>
      <c r="O224" t="e">
        <f t="shared" si="6"/>
        <v>#VALUE!</v>
      </c>
    </row>
    <row r="225" spans="9:15" x14ac:dyDescent="0.2">
      <c r="I225">
        <f t="shared" si="7"/>
        <v>202</v>
      </c>
      <c r="J225" t="str">
        <v>parameter is error Conversion to Double</v>
      </c>
      <c r="K225" t="str">
        <v>parameter is error Conversion to Double</v>
      </c>
      <c r="L225" t="str">
        <v>parameter is error Conversion to Double</v>
      </c>
      <c r="M225" t="str">
        <v>parameter is error Conversion to Double</v>
      </c>
      <c r="N225" t="str">
        <v>parameter is error Conversion to Double</v>
      </c>
      <c r="O225" t="e">
        <f t="shared" si="6"/>
        <v>#VALUE!</v>
      </c>
    </row>
    <row r="226" spans="9:15" x14ac:dyDescent="0.2">
      <c r="I226">
        <f t="shared" si="7"/>
        <v>203</v>
      </c>
      <c r="J226" t="str">
        <v>parameter is error Conversion to Double</v>
      </c>
      <c r="K226" t="str">
        <v>parameter is error Conversion to Double</v>
      </c>
      <c r="L226" t="str">
        <v>parameter is error Conversion to Double</v>
      </c>
      <c r="M226" t="str">
        <v>parameter is error Conversion to Double</v>
      </c>
      <c r="N226" t="str">
        <v>parameter is error Conversion to Double</v>
      </c>
      <c r="O226" t="e">
        <f t="shared" si="6"/>
        <v>#VALUE!</v>
      </c>
    </row>
    <row r="227" spans="9:15" x14ac:dyDescent="0.2">
      <c r="I227">
        <f t="shared" si="7"/>
        <v>204</v>
      </c>
      <c r="J227" t="str">
        <v>parameter is error Conversion to Double</v>
      </c>
      <c r="K227" t="str">
        <v>parameter is error Conversion to Double</v>
      </c>
      <c r="L227" t="str">
        <v>parameter is error Conversion to Double</v>
      </c>
      <c r="M227" t="str">
        <v>parameter is error Conversion to Double</v>
      </c>
      <c r="N227" t="str">
        <v>parameter is error Conversion to Double</v>
      </c>
      <c r="O227" t="e">
        <f t="shared" si="6"/>
        <v>#VALUE!</v>
      </c>
    </row>
    <row r="228" spans="9:15" x14ac:dyDescent="0.2">
      <c r="I228">
        <f t="shared" si="7"/>
        <v>205</v>
      </c>
      <c r="J228" t="str">
        <v>parameter is error Conversion to Double</v>
      </c>
      <c r="K228" t="str">
        <v>parameter is error Conversion to Double</v>
      </c>
      <c r="L228" t="str">
        <v>parameter is error Conversion to Double</v>
      </c>
      <c r="M228" t="str">
        <v>parameter is error Conversion to Double</v>
      </c>
      <c r="N228" t="str">
        <v>parameter is error Conversion to Double</v>
      </c>
      <c r="O228" t="e">
        <f t="shared" si="6"/>
        <v>#VALUE!</v>
      </c>
    </row>
    <row r="229" spans="9:15" x14ac:dyDescent="0.2">
      <c r="I229">
        <f t="shared" si="7"/>
        <v>206</v>
      </c>
      <c r="J229" t="str">
        <v>parameter is error Conversion to Double</v>
      </c>
      <c r="K229" t="str">
        <v>parameter is error Conversion to Double</v>
      </c>
      <c r="L229" t="str">
        <v>parameter is error Conversion to Double</v>
      </c>
      <c r="M229" t="str">
        <v>parameter is error Conversion to Double</v>
      </c>
      <c r="N229" t="str">
        <v>parameter is error Conversion to Double</v>
      </c>
      <c r="O229" t="e">
        <f t="shared" si="6"/>
        <v>#VALUE!</v>
      </c>
    </row>
    <row r="230" spans="9:15" x14ac:dyDescent="0.2">
      <c r="I230">
        <f t="shared" si="7"/>
        <v>207</v>
      </c>
      <c r="J230" t="str">
        <v>parameter is error Conversion to Double</v>
      </c>
      <c r="K230" t="str">
        <v>parameter is error Conversion to Double</v>
      </c>
      <c r="L230" t="str">
        <v>parameter is error Conversion to Double</v>
      </c>
      <c r="M230" t="str">
        <v>parameter is error Conversion to Double</v>
      </c>
      <c r="N230" t="str">
        <v>parameter is error Conversion to Double</v>
      </c>
      <c r="O230" t="e">
        <f t="shared" si="6"/>
        <v>#VALUE!</v>
      </c>
    </row>
    <row r="231" spans="9:15" x14ac:dyDescent="0.2">
      <c r="I231">
        <f t="shared" si="7"/>
        <v>208</v>
      </c>
      <c r="J231" t="str">
        <v>parameter is error Conversion to Double</v>
      </c>
      <c r="K231" t="str">
        <v>parameter is error Conversion to Double</v>
      </c>
      <c r="L231" t="str">
        <v>parameter is error Conversion to Double</v>
      </c>
      <c r="M231" t="str">
        <v>parameter is error Conversion to Double</v>
      </c>
      <c r="N231" t="str">
        <v>parameter is error Conversion to Double</v>
      </c>
      <c r="O231" t="e">
        <f t="shared" si="6"/>
        <v>#VALUE!</v>
      </c>
    </row>
    <row r="232" spans="9:15" x14ac:dyDescent="0.2">
      <c r="I232">
        <f t="shared" si="7"/>
        <v>209</v>
      </c>
      <c r="J232" t="str">
        <v>parameter is error Conversion to Double</v>
      </c>
      <c r="K232" t="str">
        <v>parameter is error Conversion to Double</v>
      </c>
      <c r="L232" t="str">
        <v>parameter is error Conversion to Double</v>
      </c>
      <c r="M232" t="str">
        <v>parameter is error Conversion to Double</v>
      </c>
      <c r="N232" t="str">
        <v>parameter is error Conversion to Double</v>
      </c>
      <c r="O232" t="e">
        <f t="shared" si="6"/>
        <v>#VALUE!</v>
      </c>
    </row>
    <row r="233" spans="9:15" x14ac:dyDescent="0.2">
      <c r="I233">
        <f t="shared" si="7"/>
        <v>210</v>
      </c>
      <c r="J233" t="str">
        <v>parameter is error Conversion to Double</v>
      </c>
      <c r="K233" t="str">
        <v>parameter is error Conversion to Double</v>
      </c>
      <c r="L233" t="str">
        <v>parameter is error Conversion to Double</v>
      </c>
      <c r="M233" t="str">
        <v>parameter is error Conversion to Double</v>
      </c>
      <c r="N233" t="str">
        <v>parameter is error Conversion to Double</v>
      </c>
      <c r="O233" t="e">
        <f t="shared" si="6"/>
        <v>#VALUE!</v>
      </c>
    </row>
    <row r="234" spans="9:15" x14ac:dyDescent="0.2">
      <c r="I234">
        <f t="shared" si="7"/>
        <v>211</v>
      </c>
      <c r="J234" t="str">
        <v>parameter is error Conversion to Double</v>
      </c>
      <c r="K234" t="str">
        <v>parameter is error Conversion to Double</v>
      </c>
      <c r="L234" t="str">
        <v>parameter is error Conversion to Double</v>
      </c>
      <c r="M234" t="str">
        <v>parameter is error Conversion to Double</v>
      </c>
      <c r="N234" t="str">
        <v>parameter is error Conversion to Double</v>
      </c>
      <c r="O234" t="e">
        <f t="shared" si="6"/>
        <v>#VALUE!</v>
      </c>
    </row>
    <row r="235" spans="9:15" x14ac:dyDescent="0.2">
      <c r="I235">
        <f t="shared" si="7"/>
        <v>212</v>
      </c>
      <c r="J235" t="str">
        <v>parameter is error Conversion to Double</v>
      </c>
      <c r="K235" t="str">
        <v>parameter is error Conversion to Double</v>
      </c>
      <c r="L235" t="str">
        <v>parameter is error Conversion to Double</v>
      </c>
      <c r="M235" t="str">
        <v>parameter is error Conversion to Double</v>
      </c>
      <c r="N235" t="str">
        <v>parameter is error Conversion to Double</v>
      </c>
      <c r="O235" t="e">
        <f t="shared" si="6"/>
        <v>#VALUE!</v>
      </c>
    </row>
    <row r="236" spans="9:15" x14ac:dyDescent="0.2">
      <c r="I236">
        <f t="shared" si="7"/>
        <v>213</v>
      </c>
      <c r="J236" t="str">
        <v>parameter is error Conversion to Double</v>
      </c>
      <c r="K236" t="str">
        <v>parameter is error Conversion to Double</v>
      </c>
      <c r="L236" t="str">
        <v>parameter is error Conversion to Double</v>
      </c>
      <c r="M236" t="str">
        <v>parameter is error Conversion to Double</v>
      </c>
      <c r="N236" t="str">
        <v>parameter is error Conversion to Double</v>
      </c>
      <c r="O236" t="e">
        <f t="shared" si="6"/>
        <v>#VALUE!</v>
      </c>
    </row>
    <row r="237" spans="9:15" x14ac:dyDescent="0.2">
      <c r="I237">
        <f t="shared" si="7"/>
        <v>214</v>
      </c>
      <c r="J237" t="str">
        <v>parameter is error Conversion to Double</v>
      </c>
      <c r="K237" t="str">
        <v>parameter is error Conversion to Double</v>
      </c>
      <c r="L237" t="str">
        <v>parameter is error Conversion to Double</v>
      </c>
      <c r="M237" t="str">
        <v>parameter is error Conversion to Double</v>
      </c>
      <c r="N237" t="str">
        <v>parameter is error Conversion to Double</v>
      </c>
      <c r="O237" t="e">
        <f t="shared" si="6"/>
        <v>#VALUE!</v>
      </c>
    </row>
    <row r="238" spans="9:15" x14ac:dyDescent="0.2">
      <c r="I238">
        <f t="shared" si="7"/>
        <v>215</v>
      </c>
      <c r="J238" t="str">
        <v>parameter is error Conversion to Double</v>
      </c>
      <c r="K238" t="str">
        <v>parameter is error Conversion to Double</v>
      </c>
      <c r="L238" t="str">
        <v>parameter is error Conversion to Double</v>
      </c>
      <c r="M238" t="str">
        <v>parameter is error Conversion to Double</v>
      </c>
      <c r="N238" t="str">
        <v>parameter is error Conversion to Double</v>
      </c>
      <c r="O238" t="e">
        <f t="shared" si="6"/>
        <v>#VALUE!</v>
      </c>
    </row>
    <row r="239" spans="9:15" x14ac:dyDescent="0.2">
      <c r="I239">
        <f t="shared" si="7"/>
        <v>216</v>
      </c>
      <c r="J239" t="str">
        <v>parameter is error Conversion to Double</v>
      </c>
      <c r="K239" t="str">
        <v>parameter is error Conversion to Double</v>
      </c>
      <c r="L239" t="str">
        <v>parameter is error Conversion to Double</v>
      </c>
      <c r="M239" t="str">
        <v>parameter is error Conversion to Double</v>
      </c>
      <c r="N239" t="str">
        <v>parameter is error Conversion to Double</v>
      </c>
      <c r="O239" t="e">
        <f t="shared" si="6"/>
        <v>#VALUE!</v>
      </c>
    </row>
    <row r="240" spans="9:15" x14ac:dyDescent="0.2">
      <c r="I240">
        <f t="shared" si="7"/>
        <v>217</v>
      </c>
      <c r="J240" t="str">
        <v>parameter is error Conversion to Double</v>
      </c>
      <c r="K240" t="str">
        <v>parameter is error Conversion to Double</v>
      </c>
      <c r="L240" t="str">
        <v>parameter is error Conversion to Double</v>
      </c>
      <c r="M240" t="str">
        <v>parameter is error Conversion to Double</v>
      </c>
      <c r="N240" t="str">
        <v>parameter is error Conversion to Double</v>
      </c>
      <c r="O240" t="e">
        <f t="shared" si="6"/>
        <v>#VALUE!</v>
      </c>
    </row>
    <row r="241" spans="9:15" x14ac:dyDescent="0.2">
      <c r="I241">
        <f t="shared" si="7"/>
        <v>218</v>
      </c>
      <c r="J241" t="str">
        <v>parameter is error Conversion to Double</v>
      </c>
      <c r="K241" t="str">
        <v>parameter is error Conversion to Double</v>
      </c>
      <c r="L241" t="str">
        <v>parameter is error Conversion to Double</v>
      </c>
      <c r="M241" t="str">
        <v>parameter is error Conversion to Double</v>
      </c>
      <c r="N241" t="str">
        <v>parameter is error Conversion to Double</v>
      </c>
      <c r="O241" t="e">
        <f t="shared" si="6"/>
        <v>#VALUE!</v>
      </c>
    </row>
    <row r="242" spans="9:15" x14ac:dyDescent="0.2">
      <c r="I242">
        <f t="shared" si="7"/>
        <v>219</v>
      </c>
      <c r="J242" t="str">
        <v>parameter is error Conversion to Double</v>
      </c>
      <c r="K242" t="str">
        <v>parameter is error Conversion to Double</v>
      </c>
      <c r="L242" t="str">
        <v>parameter is error Conversion to Double</v>
      </c>
      <c r="M242" t="str">
        <v>parameter is error Conversion to Double</v>
      </c>
      <c r="N242" t="str">
        <v>parameter is error Conversion to Double</v>
      </c>
      <c r="O242" t="e">
        <f t="shared" si="6"/>
        <v>#VALUE!</v>
      </c>
    </row>
    <row r="243" spans="9:15" x14ac:dyDescent="0.2">
      <c r="I243">
        <f t="shared" si="7"/>
        <v>220</v>
      </c>
      <c r="J243" t="str">
        <v>parameter is error Conversion to Double</v>
      </c>
      <c r="K243" t="str">
        <v>parameter is error Conversion to Double</v>
      </c>
      <c r="L243" t="str">
        <v>parameter is error Conversion to Double</v>
      </c>
      <c r="M243" t="str">
        <v>parameter is error Conversion to Double</v>
      </c>
      <c r="N243" t="str">
        <v>parameter is error Conversion to Double</v>
      </c>
      <c r="O243" t="e">
        <f t="shared" si="6"/>
        <v>#VALUE!</v>
      </c>
    </row>
    <row r="244" spans="9:15" x14ac:dyDescent="0.2">
      <c r="I244">
        <f t="shared" si="7"/>
        <v>221</v>
      </c>
      <c r="J244" t="str">
        <v>parameter is error Conversion to Double</v>
      </c>
      <c r="K244" t="str">
        <v>parameter is error Conversion to Double</v>
      </c>
      <c r="L244" t="str">
        <v>parameter is error Conversion to Double</v>
      </c>
      <c r="M244" t="str">
        <v>parameter is error Conversion to Double</v>
      </c>
      <c r="N244" t="str">
        <v>parameter is error Conversion to Double</v>
      </c>
      <c r="O244" t="e">
        <f t="shared" si="6"/>
        <v>#VALUE!</v>
      </c>
    </row>
    <row r="245" spans="9:15" x14ac:dyDescent="0.2">
      <c r="I245">
        <f t="shared" si="7"/>
        <v>222</v>
      </c>
      <c r="J245" t="str">
        <v>parameter is error Conversion to Double</v>
      </c>
      <c r="K245" t="str">
        <v>parameter is error Conversion to Double</v>
      </c>
      <c r="L245" t="str">
        <v>parameter is error Conversion to Double</v>
      </c>
      <c r="M245" t="str">
        <v>parameter is error Conversion to Double</v>
      </c>
      <c r="N245" t="str">
        <v>parameter is error Conversion to Double</v>
      </c>
      <c r="O245" t="e">
        <f t="shared" si="6"/>
        <v>#VALUE!</v>
      </c>
    </row>
    <row r="246" spans="9:15" x14ac:dyDescent="0.2">
      <c r="I246">
        <f t="shared" si="7"/>
        <v>223</v>
      </c>
      <c r="J246" t="str">
        <v>parameter is error Conversion to Double</v>
      </c>
      <c r="K246" t="str">
        <v>parameter is error Conversion to Double</v>
      </c>
      <c r="L246" t="str">
        <v>parameter is error Conversion to Double</v>
      </c>
      <c r="M246" t="str">
        <v>parameter is error Conversion to Double</v>
      </c>
      <c r="N246" t="str">
        <v>parameter is error Conversion to Double</v>
      </c>
      <c r="O246" t="e">
        <f t="shared" si="6"/>
        <v>#VALUE!</v>
      </c>
    </row>
    <row r="247" spans="9:15" x14ac:dyDescent="0.2">
      <c r="I247">
        <f t="shared" si="7"/>
        <v>224</v>
      </c>
      <c r="J247" t="str">
        <v>parameter is error Conversion to Double</v>
      </c>
      <c r="K247" t="str">
        <v>parameter is error Conversion to Double</v>
      </c>
      <c r="L247" t="str">
        <v>parameter is error Conversion to Double</v>
      </c>
      <c r="M247" t="str">
        <v>parameter is error Conversion to Double</v>
      </c>
      <c r="N247" t="str">
        <v>parameter is error Conversion to Double</v>
      </c>
      <c r="O247" t="e">
        <f t="shared" si="6"/>
        <v>#VALUE!</v>
      </c>
    </row>
    <row r="248" spans="9:15" x14ac:dyDescent="0.2">
      <c r="I248">
        <f t="shared" si="7"/>
        <v>225</v>
      </c>
      <c r="J248" t="str">
        <v>parameter is error Conversion to Double</v>
      </c>
      <c r="K248" t="str">
        <v>parameter is error Conversion to Double</v>
      </c>
      <c r="L248" t="str">
        <v>parameter is error Conversion to Double</v>
      </c>
      <c r="M248" t="str">
        <v>parameter is error Conversion to Double</v>
      </c>
      <c r="N248" t="str">
        <v>parameter is error Conversion to Double</v>
      </c>
      <c r="O248" t="e">
        <f t="shared" si="6"/>
        <v>#VALUE!</v>
      </c>
    </row>
    <row r="249" spans="9:15" x14ac:dyDescent="0.2">
      <c r="I249">
        <f t="shared" si="7"/>
        <v>226</v>
      </c>
      <c r="J249" t="str">
        <v>parameter is error Conversion to Double</v>
      </c>
      <c r="K249" t="str">
        <v>parameter is error Conversion to Double</v>
      </c>
      <c r="L249" t="str">
        <v>parameter is error Conversion to Double</v>
      </c>
      <c r="M249" t="str">
        <v>parameter is error Conversion to Double</v>
      </c>
      <c r="N249" t="str">
        <v>parameter is error Conversion to Double</v>
      </c>
      <c r="O249" t="e">
        <f t="shared" si="6"/>
        <v>#VALUE!</v>
      </c>
    </row>
    <row r="250" spans="9:15" x14ac:dyDescent="0.2">
      <c r="I250">
        <f t="shared" si="7"/>
        <v>227</v>
      </c>
      <c r="J250" t="str">
        <v>parameter is error Conversion to Double</v>
      </c>
      <c r="K250" t="str">
        <v>parameter is error Conversion to Double</v>
      </c>
      <c r="L250" t="str">
        <v>parameter is error Conversion to Double</v>
      </c>
      <c r="M250" t="str">
        <v>parameter is error Conversion to Double</v>
      </c>
      <c r="N250" t="str">
        <v>parameter is error Conversion to Double</v>
      </c>
      <c r="O250" t="e">
        <f t="shared" si="6"/>
        <v>#VALUE!</v>
      </c>
    </row>
    <row r="251" spans="9:15" x14ac:dyDescent="0.2">
      <c r="I251">
        <f t="shared" si="7"/>
        <v>228</v>
      </c>
      <c r="J251" t="str">
        <v>parameter is error Conversion to Double</v>
      </c>
      <c r="K251" t="str">
        <v>parameter is error Conversion to Double</v>
      </c>
      <c r="L251" t="str">
        <v>parameter is error Conversion to Double</v>
      </c>
      <c r="M251" t="str">
        <v>parameter is error Conversion to Double</v>
      </c>
      <c r="N251" t="str">
        <v>parameter is error Conversion to Double</v>
      </c>
      <c r="O251" t="e">
        <f t="shared" si="6"/>
        <v>#VALUE!</v>
      </c>
    </row>
    <row r="252" spans="9:15" x14ac:dyDescent="0.2">
      <c r="I252">
        <f t="shared" si="7"/>
        <v>229</v>
      </c>
      <c r="J252" t="str">
        <v>parameter is error Conversion to Double</v>
      </c>
      <c r="K252" t="str">
        <v>parameter is error Conversion to Double</v>
      </c>
      <c r="L252" t="str">
        <v>parameter is error Conversion to Double</v>
      </c>
      <c r="M252" t="str">
        <v>parameter is error Conversion to Double</v>
      </c>
      <c r="N252" t="str">
        <v>parameter is error Conversion to Double</v>
      </c>
      <c r="O252" t="e">
        <f t="shared" si="6"/>
        <v>#VALUE!</v>
      </c>
    </row>
    <row r="253" spans="9:15" x14ac:dyDescent="0.2">
      <c r="I253">
        <f t="shared" si="7"/>
        <v>230</v>
      </c>
      <c r="J253" t="str">
        <v>parameter is error Conversion to Double</v>
      </c>
      <c r="K253" t="str">
        <v>parameter is error Conversion to Double</v>
      </c>
      <c r="L253" t="str">
        <v>parameter is error Conversion to Double</v>
      </c>
      <c r="M253" t="str">
        <v>parameter is error Conversion to Double</v>
      </c>
      <c r="N253" t="str">
        <v>parameter is error Conversion to Double</v>
      </c>
      <c r="O253" t="e">
        <f t="shared" si="6"/>
        <v>#VALUE!</v>
      </c>
    </row>
    <row r="254" spans="9:15" x14ac:dyDescent="0.2">
      <c r="I254">
        <f t="shared" si="7"/>
        <v>231</v>
      </c>
      <c r="J254" t="str">
        <v>parameter is error Conversion to Double</v>
      </c>
      <c r="K254" t="str">
        <v>parameter is error Conversion to Double</v>
      </c>
      <c r="L254" t="str">
        <v>parameter is error Conversion to Double</v>
      </c>
      <c r="M254" t="str">
        <v>parameter is error Conversion to Double</v>
      </c>
      <c r="N254" t="str">
        <v>parameter is error Conversion to Double</v>
      </c>
      <c r="O254" t="e">
        <f t="shared" si="6"/>
        <v>#VALUE!</v>
      </c>
    </row>
    <row r="255" spans="9:15" x14ac:dyDescent="0.2">
      <c r="I255">
        <f t="shared" si="7"/>
        <v>232</v>
      </c>
      <c r="J255" t="str">
        <v>parameter is error Conversion to Double</v>
      </c>
      <c r="K255" t="str">
        <v>parameter is error Conversion to Double</v>
      </c>
      <c r="L255" t="str">
        <v>parameter is error Conversion to Double</v>
      </c>
      <c r="M255" t="str">
        <v>parameter is error Conversion to Double</v>
      </c>
      <c r="N255" t="str">
        <v>parameter is error Conversion to Double</v>
      </c>
      <c r="O255" t="e">
        <f t="shared" si="6"/>
        <v>#VALUE!</v>
      </c>
    </row>
    <row r="256" spans="9:15" x14ac:dyDescent="0.2">
      <c r="I256">
        <f t="shared" si="7"/>
        <v>233</v>
      </c>
      <c r="J256" t="str">
        <v>parameter is error Conversion to Double</v>
      </c>
      <c r="K256" t="str">
        <v>parameter is error Conversion to Double</v>
      </c>
      <c r="L256" t="str">
        <v>parameter is error Conversion to Double</v>
      </c>
      <c r="M256" t="str">
        <v>parameter is error Conversion to Double</v>
      </c>
      <c r="N256" t="str">
        <v>parameter is error Conversion to Double</v>
      </c>
      <c r="O256" t="e">
        <f t="shared" si="6"/>
        <v>#VALUE!</v>
      </c>
    </row>
    <row r="257" spans="9:15" x14ac:dyDescent="0.2">
      <c r="I257">
        <f t="shared" si="7"/>
        <v>234</v>
      </c>
      <c r="J257" t="str">
        <v>parameter is error Conversion to Double</v>
      </c>
      <c r="K257" t="str">
        <v>parameter is error Conversion to Double</v>
      </c>
      <c r="L257" t="str">
        <v>parameter is error Conversion to Double</v>
      </c>
      <c r="M257" t="str">
        <v>parameter is error Conversion to Double</v>
      </c>
      <c r="N257" t="str">
        <v>parameter is error Conversion to Double</v>
      </c>
      <c r="O257" t="e">
        <f t="shared" si="6"/>
        <v>#VALUE!</v>
      </c>
    </row>
    <row r="258" spans="9:15" x14ac:dyDescent="0.2">
      <c r="I258">
        <f t="shared" si="7"/>
        <v>235</v>
      </c>
      <c r="J258" t="str">
        <v>parameter is error Conversion to Double</v>
      </c>
      <c r="K258" t="str">
        <v>parameter is error Conversion to Double</v>
      </c>
      <c r="L258" t="str">
        <v>parameter is error Conversion to Double</v>
      </c>
      <c r="M258" t="str">
        <v>parameter is error Conversion to Double</v>
      </c>
      <c r="N258" t="str">
        <v>parameter is error Conversion to Double</v>
      </c>
      <c r="O258" t="e">
        <f t="shared" si="6"/>
        <v>#VALUE!</v>
      </c>
    </row>
    <row r="259" spans="9:15" x14ac:dyDescent="0.2">
      <c r="I259">
        <f t="shared" si="7"/>
        <v>236</v>
      </c>
      <c r="J259" t="str">
        <v>parameter is error Conversion to Double</v>
      </c>
      <c r="K259" t="str">
        <v>parameter is error Conversion to Double</v>
      </c>
      <c r="L259" t="str">
        <v>parameter is error Conversion to Double</v>
      </c>
      <c r="M259" t="str">
        <v>parameter is error Conversion to Double</v>
      </c>
      <c r="N259" t="str">
        <v>parameter is error Conversion to Double</v>
      </c>
      <c r="O259" t="e">
        <f t="shared" si="6"/>
        <v>#VALUE!</v>
      </c>
    </row>
    <row r="260" spans="9:15" x14ac:dyDescent="0.2">
      <c r="I260">
        <f t="shared" si="7"/>
        <v>237</v>
      </c>
      <c r="J260" t="str">
        <v>parameter is error Conversion to Double</v>
      </c>
      <c r="K260" t="str">
        <v>parameter is error Conversion to Double</v>
      </c>
      <c r="L260" t="str">
        <v>parameter is error Conversion to Double</v>
      </c>
      <c r="M260" t="str">
        <v>parameter is error Conversion to Double</v>
      </c>
      <c r="N260" t="str">
        <v>parameter is error Conversion to Double</v>
      </c>
      <c r="O260" t="e">
        <f t="shared" si="6"/>
        <v>#VALUE!</v>
      </c>
    </row>
    <row r="261" spans="9:15" x14ac:dyDescent="0.2">
      <c r="I261">
        <f t="shared" si="7"/>
        <v>238</v>
      </c>
      <c r="J261" t="str">
        <v>parameter is error Conversion to Double</v>
      </c>
      <c r="K261" t="str">
        <v>parameter is error Conversion to Double</v>
      </c>
      <c r="L261" t="str">
        <v>parameter is error Conversion to Double</v>
      </c>
      <c r="M261" t="str">
        <v>parameter is error Conversion to Double</v>
      </c>
      <c r="N261" t="str">
        <v>parameter is error Conversion to Double</v>
      </c>
      <c r="O261" t="e">
        <f t="shared" si="6"/>
        <v>#VALUE!</v>
      </c>
    </row>
    <row r="262" spans="9:15" x14ac:dyDescent="0.2">
      <c r="I262">
        <f t="shared" si="7"/>
        <v>239</v>
      </c>
      <c r="J262" t="str">
        <v>parameter is error Conversion to Double</v>
      </c>
      <c r="K262" t="str">
        <v>parameter is error Conversion to Double</v>
      </c>
      <c r="L262" t="str">
        <v>parameter is error Conversion to Double</v>
      </c>
      <c r="M262" t="str">
        <v>parameter is error Conversion to Double</v>
      </c>
      <c r="N262" t="str">
        <v>parameter is error Conversion to Double</v>
      </c>
      <c r="O262" t="e">
        <f t="shared" si="6"/>
        <v>#VALUE!</v>
      </c>
    </row>
    <row r="263" spans="9:15" x14ac:dyDescent="0.2">
      <c r="I263">
        <f t="shared" si="7"/>
        <v>240</v>
      </c>
      <c r="J263" t="str">
        <v>parameter is error Conversion to Double</v>
      </c>
      <c r="K263" t="str">
        <v>parameter is error Conversion to Double</v>
      </c>
      <c r="L263" t="str">
        <v>parameter is error Conversion to Double</v>
      </c>
      <c r="M263" t="str">
        <v>parameter is error Conversion to Double</v>
      </c>
      <c r="N263" t="str">
        <v>parameter is error Conversion to Double</v>
      </c>
      <c r="O263" t="e">
        <f t="shared" si="6"/>
        <v>#VALUE!</v>
      </c>
    </row>
    <row r="264" spans="9:15" x14ac:dyDescent="0.2">
      <c r="I264">
        <f t="shared" si="7"/>
        <v>241</v>
      </c>
      <c r="J264" t="str">
        <v>parameter is error Conversion to Double</v>
      </c>
      <c r="K264" t="str">
        <v>parameter is error Conversion to Double</v>
      </c>
      <c r="L264" t="str">
        <v>parameter is error Conversion to Double</v>
      </c>
      <c r="M264" t="str">
        <v>parameter is error Conversion to Double</v>
      </c>
      <c r="N264" t="str">
        <v>parameter is error Conversion to Double</v>
      </c>
      <c r="O264" t="e">
        <f t="shared" si="6"/>
        <v>#VALUE!</v>
      </c>
    </row>
    <row r="265" spans="9:15" x14ac:dyDescent="0.2">
      <c r="I265">
        <f t="shared" si="7"/>
        <v>242</v>
      </c>
      <c r="J265" t="str">
        <v>parameter is error Conversion to Double</v>
      </c>
      <c r="K265" t="str">
        <v>parameter is error Conversion to Double</v>
      </c>
      <c r="L265" t="str">
        <v>parameter is error Conversion to Double</v>
      </c>
      <c r="M265" t="str">
        <v>parameter is error Conversion to Double</v>
      </c>
      <c r="N265" t="str">
        <v>parameter is error Conversion to Double</v>
      </c>
      <c r="O265" t="e">
        <f t="shared" si="6"/>
        <v>#VALUE!</v>
      </c>
    </row>
    <row r="266" spans="9:15" x14ac:dyDescent="0.2">
      <c r="I266">
        <f t="shared" si="7"/>
        <v>243</v>
      </c>
      <c r="J266" t="str">
        <v>parameter is error Conversion to Double</v>
      </c>
      <c r="K266" t="str">
        <v>parameter is error Conversion to Double</v>
      </c>
      <c r="L266" t="str">
        <v>parameter is error Conversion to Double</v>
      </c>
      <c r="M266" t="str">
        <v>parameter is error Conversion to Double</v>
      </c>
      <c r="N266" t="str">
        <v>parameter is error Conversion to Double</v>
      </c>
      <c r="O266" t="e">
        <f t="shared" si="6"/>
        <v>#VALUE!</v>
      </c>
    </row>
    <row r="267" spans="9:15" x14ac:dyDescent="0.2">
      <c r="I267">
        <f t="shared" si="7"/>
        <v>244</v>
      </c>
      <c r="J267" t="str">
        <v>parameter is error Conversion to Double</v>
      </c>
      <c r="K267" t="str">
        <v>parameter is error Conversion to Double</v>
      </c>
      <c r="L267" t="str">
        <v>parameter is error Conversion to Double</v>
      </c>
      <c r="M267" t="str">
        <v>parameter is error Conversion to Double</v>
      </c>
      <c r="N267" t="str">
        <v>parameter is error Conversion to Double</v>
      </c>
      <c r="O267" t="e">
        <f t="shared" si="6"/>
        <v>#VALUE!</v>
      </c>
    </row>
    <row r="268" spans="9:15" x14ac:dyDescent="0.2">
      <c r="I268">
        <f t="shared" si="7"/>
        <v>245</v>
      </c>
      <c r="J268" t="str">
        <v>parameter is error Conversion to Double</v>
      </c>
      <c r="K268" t="str">
        <v>parameter is error Conversion to Double</v>
      </c>
      <c r="L268" t="str">
        <v>parameter is error Conversion to Double</v>
      </c>
      <c r="M268" t="str">
        <v>parameter is error Conversion to Double</v>
      </c>
      <c r="N268" t="str">
        <v>parameter is error Conversion to Double</v>
      </c>
      <c r="O268" t="e">
        <f t="shared" si="6"/>
        <v>#VALUE!</v>
      </c>
    </row>
    <row r="269" spans="9:15" x14ac:dyDescent="0.2">
      <c r="I269">
        <f t="shared" si="7"/>
        <v>246</v>
      </c>
      <c r="J269" t="str">
        <v>parameter is error Conversion to Double</v>
      </c>
      <c r="K269" t="str">
        <v>parameter is error Conversion to Double</v>
      </c>
      <c r="L269" t="str">
        <v>parameter is error Conversion to Double</v>
      </c>
      <c r="M269" t="str">
        <v>parameter is error Conversion to Double</v>
      </c>
      <c r="N269" t="str">
        <v>parameter is error Conversion to Double</v>
      </c>
      <c r="O269" t="e">
        <f t="shared" si="6"/>
        <v>#VALUE!</v>
      </c>
    </row>
    <row r="270" spans="9:15" x14ac:dyDescent="0.2">
      <c r="I270">
        <f t="shared" si="7"/>
        <v>247</v>
      </c>
      <c r="J270" t="str">
        <v>parameter is error Conversion to Double</v>
      </c>
      <c r="K270" t="str">
        <v>parameter is error Conversion to Double</v>
      </c>
      <c r="L270" t="str">
        <v>parameter is error Conversion to Double</v>
      </c>
      <c r="M270" t="str">
        <v>parameter is error Conversion to Double</v>
      </c>
      <c r="N270" t="str">
        <v>parameter is error Conversion to Double</v>
      </c>
      <c r="O270" t="e">
        <f t="shared" si="6"/>
        <v>#VALUE!</v>
      </c>
    </row>
    <row r="271" spans="9:15" x14ac:dyDescent="0.2">
      <c r="I271">
        <f t="shared" si="7"/>
        <v>248</v>
      </c>
      <c r="J271" t="str">
        <v>parameter is error Conversion to Double</v>
      </c>
      <c r="K271" t="str">
        <v>parameter is error Conversion to Double</v>
      </c>
      <c r="L271" t="str">
        <v>parameter is error Conversion to Double</v>
      </c>
      <c r="M271" t="str">
        <v>parameter is error Conversion to Double</v>
      </c>
      <c r="N271" t="str">
        <v>parameter is error Conversion to Double</v>
      </c>
      <c r="O271" t="e">
        <f t="shared" si="6"/>
        <v>#VALUE!</v>
      </c>
    </row>
    <row r="272" spans="9:15" x14ac:dyDescent="0.2">
      <c r="I272">
        <f t="shared" si="7"/>
        <v>249</v>
      </c>
      <c r="J272" t="str">
        <v>parameter is error Conversion to Double</v>
      </c>
      <c r="K272" t="str">
        <v>parameter is error Conversion to Double</v>
      </c>
      <c r="L272" t="str">
        <v>parameter is error Conversion to Double</v>
      </c>
      <c r="M272" t="str">
        <v>parameter is error Conversion to Double</v>
      </c>
      <c r="N272" t="str">
        <v>parameter is error Conversion to Double</v>
      </c>
      <c r="O272" t="e">
        <f t="shared" si="6"/>
        <v>#VALUE!</v>
      </c>
    </row>
    <row r="273" spans="9:15" x14ac:dyDescent="0.2">
      <c r="I273">
        <f t="shared" si="7"/>
        <v>250</v>
      </c>
      <c r="J273" t="str">
        <v>parameter is error Conversion to Double</v>
      </c>
      <c r="K273" t="str">
        <v>parameter is error Conversion to Double</v>
      </c>
      <c r="L273" t="str">
        <v>parameter is error Conversion to Double</v>
      </c>
      <c r="M273" t="str">
        <v>parameter is error Conversion to Double</v>
      </c>
      <c r="N273" t="str">
        <v>parameter is error Conversion to Double</v>
      </c>
      <c r="O273" t="e">
        <f t="shared" si="6"/>
        <v>#VALUE!</v>
      </c>
    </row>
    <row r="274" spans="9:15" x14ac:dyDescent="0.2">
      <c r="I274">
        <f t="shared" si="7"/>
        <v>251</v>
      </c>
      <c r="J274" t="str">
        <v>parameter is error Conversion to Double</v>
      </c>
      <c r="K274" t="str">
        <v>parameter is error Conversion to Double</v>
      </c>
      <c r="L274" t="str">
        <v>parameter is error Conversion to Double</v>
      </c>
      <c r="M274" t="str">
        <v>parameter is error Conversion to Double</v>
      </c>
      <c r="N274" t="str">
        <v>parameter is error Conversion to Double</v>
      </c>
      <c r="O274" t="e">
        <f t="shared" si="6"/>
        <v>#VALUE!</v>
      </c>
    </row>
    <row r="275" spans="9:15" x14ac:dyDescent="0.2">
      <c r="I275">
        <f t="shared" si="7"/>
        <v>252</v>
      </c>
      <c r="J275" t="str">
        <v>parameter is error Conversion to Double</v>
      </c>
      <c r="K275" t="str">
        <v>parameter is error Conversion to Double</v>
      </c>
      <c r="L275" t="str">
        <v>parameter is error Conversion to Double</v>
      </c>
      <c r="M275" t="str">
        <v>parameter is error Conversion to Double</v>
      </c>
      <c r="N275" t="str">
        <v>parameter is error Conversion to Double</v>
      </c>
      <c r="O275" t="e">
        <f t="shared" si="6"/>
        <v>#VALUE!</v>
      </c>
    </row>
    <row r="276" spans="9:15" x14ac:dyDescent="0.2">
      <c r="I276">
        <f t="shared" si="7"/>
        <v>253</v>
      </c>
      <c r="J276" t="str">
        <v>parameter is error Conversion to Double</v>
      </c>
      <c r="K276" t="str">
        <v>parameter is error Conversion to Double</v>
      </c>
      <c r="L276" t="str">
        <v>parameter is error Conversion to Double</v>
      </c>
      <c r="M276" t="str">
        <v>parameter is error Conversion to Double</v>
      </c>
      <c r="N276" t="str">
        <v>parameter is error Conversion to Double</v>
      </c>
      <c r="O276" t="e">
        <f t="shared" si="6"/>
        <v>#VALUE!</v>
      </c>
    </row>
    <row r="277" spans="9:15" x14ac:dyDescent="0.2">
      <c r="I277">
        <f t="shared" si="7"/>
        <v>254</v>
      </c>
      <c r="J277" t="str">
        <v>parameter is error Conversion to Double</v>
      </c>
      <c r="K277" t="str">
        <v>parameter is error Conversion to Double</v>
      </c>
      <c r="L277" t="str">
        <v>parameter is error Conversion to Double</v>
      </c>
      <c r="M277" t="str">
        <v>parameter is error Conversion to Double</v>
      </c>
      <c r="N277" t="str">
        <v>parameter is error Conversion to Double</v>
      </c>
      <c r="O277" t="e">
        <f t="shared" si="6"/>
        <v>#VALUE!</v>
      </c>
    </row>
    <row r="278" spans="9:15" x14ac:dyDescent="0.2">
      <c r="I278">
        <f t="shared" si="7"/>
        <v>255</v>
      </c>
      <c r="J278" t="str">
        <v>parameter is error Conversion to Double</v>
      </c>
      <c r="K278" t="str">
        <v>parameter is error Conversion to Double</v>
      </c>
      <c r="L278" t="str">
        <v>parameter is error Conversion to Double</v>
      </c>
      <c r="M278" t="str">
        <v>parameter is error Conversion to Double</v>
      </c>
      <c r="N278" t="str">
        <v>parameter is error Conversion to Double</v>
      </c>
      <c r="O278" t="e">
        <f t="shared" si="6"/>
        <v>#VALUE!</v>
      </c>
    </row>
    <row r="279" spans="9:15" x14ac:dyDescent="0.2">
      <c r="I279">
        <f t="shared" si="7"/>
        <v>256</v>
      </c>
      <c r="J279" t="str">
        <v>parameter is error Conversion to Double</v>
      </c>
      <c r="K279" t="str">
        <v>parameter is error Conversion to Double</v>
      </c>
      <c r="L279" t="str">
        <v>parameter is error Conversion to Double</v>
      </c>
      <c r="M279" t="str">
        <v>parameter is error Conversion to Double</v>
      </c>
      <c r="N279" t="str">
        <v>parameter is error Conversion to Double</v>
      </c>
      <c r="O279" t="e">
        <f t="shared" ref="O279:O342" si="8">M279-N279</f>
        <v>#VALUE!</v>
      </c>
    </row>
    <row r="280" spans="9:15" x14ac:dyDescent="0.2">
      <c r="I280">
        <f t="shared" si="7"/>
        <v>257</v>
      </c>
      <c r="J280" t="str">
        <v>parameter is error Conversion to Double</v>
      </c>
      <c r="K280" t="str">
        <v>parameter is error Conversion to Double</v>
      </c>
      <c r="L280" t="str">
        <v>parameter is error Conversion to Double</v>
      </c>
      <c r="M280" t="str">
        <v>parameter is error Conversion to Double</v>
      </c>
      <c r="N280" t="str">
        <v>parameter is error Conversion to Double</v>
      </c>
      <c r="O280" t="e">
        <f t="shared" si="8"/>
        <v>#VALUE!</v>
      </c>
    </row>
    <row r="281" spans="9:15" x14ac:dyDescent="0.2">
      <c r="I281">
        <f t="shared" ref="I281:I344" si="9">I280+1</f>
        <v>258</v>
      </c>
      <c r="J281" t="str">
        <v>parameter is error Conversion to Double</v>
      </c>
      <c r="K281" t="str">
        <v>parameter is error Conversion to Double</v>
      </c>
      <c r="L281" t="str">
        <v>parameter is error Conversion to Double</v>
      </c>
      <c r="M281" t="str">
        <v>parameter is error Conversion to Double</v>
      </c>
      <c r="N281" t="str">
        <v>parameter is error Conversion to Double</v>
      </c>
      <c r="O281" t="e">
        <f t="shared" si="8"/>
        <v>#VALUE!</v>
      </c>
    </row>
    <row r="282" spans="9:15" x14ac:dyDescent="0.2">
      <c r="I282">
        <f t="shared" si="9"/>
        <v>259</v>
      </c>
      <c r="J282" t="str">
        <v>parameter is error Conversion to Double</v>
      </c>
      <c r="K282" t="str">
        <v>parameter is error Conversion to Double</v>
      </c>
      <c r="L282" t="str">
        <v>parameter is error Conversion to Double</v>
      </c>
      <c r="M282" t="str">
        <v>parameter is error Conversion to Double</v>
      </c>
      <c r="N282" t="str">
        <v>parameter is error Conversion to Double</v>
      </c>
      <c r="O282" t="e">
        <f t="shared" si="8"/>
        <v>#VALUE!</v>
      </c>
    </row>
    <row r="283" spans="9:15" x14ac:dyDescent="0.2">
      <c r="I283">
        <f t="shared" si="9"/>
        <v>260</v>
      </c>
      <c r="J283" t="str">
        <v>parameter is error Conversion to Double</v>
      </c>
      <c r="K283" t="str">
        <v>parameter is error Conversion to Double</v>
      </c>
      <c r="L283" t="str">
        <v>parameter is error Conversion to Double</v>
      </c>
      <c r="M283" t="str">
        <v>parameter is error Conversion to Double</v>
      </c>
      <c r="N283" t="str">
        <v>parameter is error Conversion to Double</v>
      </c>
      <c r="O283" t="e">
        <f t="shared" si="8"/>
        <v>#VALUE!</v>
      </c>
    </row>
    <row r="284" spans="9:15" x14ac:dyDescent="0.2">
      <c r="I284">
        <f t="shared" si="9"/>
        <v>261</v>
      </c>
      <c r="J284" t="str">
        <v>parameter is error Conversion to Double</v>
      </c>
      <c r="K284" t="str">
        <v>parameter is error Conversion to Double</v>
      </c>
      <c r="L284" t="str">
        <v>parameter is error Conversion to Double</v>
      </c>
      <c r="M284" t="str">
        <v>parameter is error Conversion to Double</v>
      </c>
      <c r="N284" t="str">
        <v>parameter is error Conversion to Double</v>
      </c>
      <c r="O284" t="e">
        <f t="shared" si="8"/>
        <v>#VALUE!</v>
      </c>
    </row>
    <row r="285" spans="9:15" x14ac:dyDescent="0.2">
      <c r="I285">
        <f t="shared" si="9"/>
        <v>262</v>
      </c>
      <c r="J285" t="str">
        <v>parameter is error Conversion to Double</v>
      </c>
      <c r="K285" t="str">
        <v>parameter is error Conversion to Double</v>
      </c>
      <c r="L285" t="str">
        <v>parameter is error Conversion to Double</v>
      </c>
      <c r="M285" t="str">
        <v>parameter is error Conversion to Double</v>
      </c>
      <c r="N285" t="str">
        <v>parameter is error Conversion to Double</v>
      </c>
      <c r="O285" t="e">
        <f t="shared" si="8"/>
        <v>#VALUE!</v>
      </c>
    </row>
    <row r="286" spans="9:15" x14ac:dyDescent="0.2">
      <c r="I286">
        <f t="shared" si="9"/>
        <v>263</v>
      </c>
      <c r="J286" t="str">
        <v>parameter is error Conversion to Double</v>
      </c>
      <c r="K286" t="str">
        <v>parameter is error Conversion to Double</v>
      </c>
      <c r="L286" t="str">
        <v>parameter is error Conversion to Double</v>
      </c>
      <c r="M286" t="str">
        <v>parameter is error Conversion to Double</v>
      </c>
      <c r="N286" t="str">
        <v>parameter is error Conversion to Double</v>
      </c>
      <c r="O286" t="e">
        <f t="shared" si="8"/>
        <v>#VALUE!</v>
      </c>
    </row>
    <row r="287" spans="9:15" x14ac:dyDescent="0.2">
      <c r="I287">
        <f t="shared" si="9"/>
        <v>264</v>
      </c>
      <c r="J287" t="str">
        <v>parameter is error Conversion to Double</v>
      </c>
      <c r="K287" t="str">
        <v>parameter is error Conversion to Double</v>
      </c>
      <c r="L287" t="str">
        <v>parameter is error Conversion to Double</v>
      </c>
      <c r="M287" t="str">
        <v>parameter is error Conversion to Double</v>
      </c>
      <c r="N287" t="str">
        <v>parameter is error Conversion to Double</v>
      </c>
      <c r="O287" t="e">
        <f t="shared" si="8"/>
        <v>#VALUE!</v>
      </c>
    </row>
    <row r="288" spans="9:15" x14ac:dyDescent="0.2">
      <c r="I288">
        <f t="shared" si="9"/>
        <v>265</v>
      </c>
      <c r="J288" t="str">
        <v>parameter is error Conversion to Double</v>
      </c>
      <c r="K288" t="str">
        <v>parameter is error Conversion to Double</v>
      </c>
      <c r="L288" t="str">
        <v>parameter is error Conversion to Double</v>
      </c>
      <c r="M288" t="str">
        <v>parameter is error Conversion to Double</v>
      </c>
      <c r="N288" t="str">
        <v>parameter is error Conversion to Double</v>
      </c>
      <c r="O288" t="e">
        <f t="shared" si="8"/>
        <v>#VALUE!</v>
      </c>
    </row>
    <row r="289" spans="9:15" x14ac:dyDescent="0.2">
      <c r="I289">
        <f t="shared" si="9"/>
        <v>266</v>
      </c>
      <c r="J289" t="str">
        <v>parameter is error Conversion to Double</v>
      </c>
      <c r="K289" t="str">
        <v>parameter is error Conversion to Double</v>
      </c>
      <c r="L289" t="str">
        <v>parameter is error Conversion to Double</v>
      </c>
      <c r="M289" t="str">
        <v>parameter is error Conversion to Double</v>
      </c>
      <c r="N289" t="str">
        <v>parameter is error Conversion to Double</v>
      </c>
      <c r="O289" t="e">
        <f t="shared" si="8"/>
        <v>#VALUE!</v>
      </c>
    </row>
    <row r="290" spans="9:15" x14ac:dyDescent="0.2">
      <c r="I290">
        <f t="shared" si="9"/>
        <v>267</v>
      </c>
      <c r="J290" t="str">
        <v>parameter is error Conversion to Double</v>
      </c>
      <c r="K290" t="str">
        <v>parameter is error Conversion to Double</v>
      </c>
      <c r="L290" t="str">
        <v>parameter is error Conversion to Double</v>
      </c>
      <c r="M290" t="str">
        <v>parameter is error Conversion to Double</v>
      </c>
      <c r="N290" t="str">
        <v>parameter is error Conversion to Double</v>
      </c>
      <c r="O290" t="e">
        <f t="shared" si="8"/>
        <v>#VALUE!</v>
      </c>
    </row>
    <row r="291" spans="9:15" x14ac:dyDescent="0.2">
      <c r="I291">
        <f t="shared" si="9"/>
        <v>268</v>
      </c>
      <c r="J291" t="str">
        <v>parameter is error Conversion to Double</v>
      </c>
      <c r="K291" t="str">
        <v>parameter is error Conversion to Double</v>
      </c>
      <c r="L291" t="str">
        <v>parameter is error Conversion to Double</v>
      </c>
      <c r="M291" t="str">
        <v>parameter is error Conversion to Double</v>
      </c>
      <c r="N291" t="str">
        <v>parameter is error Conversion to Double</v>
      </c>
      <c r="O291" t="e">
        <f t="shared" si="8"/>
        <v>#VALUE!</v>
      </c>
    </row>
    <row r="292" spans="9:15" x14ac:dyDescent="0.2">
      <c r="I292">
        <f t="shared" si="9"/>
        <v>269</v>
      </c>
      <c r="J292" t="str">
        <v>parameter is error Conversion to Double</v>
      </c>
      <c r="K292" t="str">
        <v>parameter is error Conversion to Double</v>
      </c>
      <c r="L292" t="str">
        <v>parameter is error Conversion to Double</v>
      </c>
      <c r="M292" t="str">
        <v>parameter is error Conversion to Double</v>
      </c>
      <c r="N292" t="str">
        <v>parameter is error Conversion to Double</v>
      </c>
      <c r="O292" t="e">
        <f t="shared" si="8"/>
        <v>#VALUE!</v>
      </c>
    </row>
    <row r="293" spans="9:15" x14ac:dyDescent="0.2">
      <c r="I293">
        <f t="shared" si="9"/>
        <v>270</v>
      </c>
      <c r="J293" t="str">
        <v>parameter is error Conversion to Double</v>
      </c>
      <c r="K293" t="str">
        <v>parameter is error Conversion to Double</v>
      </c>
      <c r="L293" t="str">
        <v>parameter is error Conversion to Double</v>
      </c>
      <c r="M293" t="str">
        <v>parameter is error Conversion to Double</v>
      </c>
      <c r="N293" t="str">
        <v>parameter is error Conversion to Double</v>
      </c>
      <c r="O293" t="e">
        <f t="shared" si="8"/>
        <v>#VALUE!</v>
      </c>
    </row>
    <row r="294" spans="9:15" x14ac:dyDescent="0.2">
      <c r="I294">
        <f t="shared" si="9"/>
        <v>271</v>
      </c>
      <c r="J294" t="str">
        <v>parameter is error Conversion to Double</v>
      </c>
      <c r="K294" t="str">
        <v>parameter is error Conversion to Double</v>
      </c>
      <c r="L294" t="str">
        <v>parameter is error Conversion to Double</v>
      </c>
      <c r="M294" t="str">
        <v>parameter is error Conversion to Double</v>
      </c>
      <c r="N294" t="str">
        <v>parameter is error Conversion to Double</v>
      </c>
      <c r="O294" t="e">
        <f t="shared" si="8"/>
        <v>#VALUE!</v>
      </c>
    </row>
    <row r="295" spans="9:15" x14ac:dyDescent="0.2">
      <c r="I295">
        <f t="shared" si="9"/>
        <v>272</v>
      </c>
      <c r="J295" t="str">
        <v>parameter is error Conversion to Double</v>
      </c>
      <c r="K295" t="str">
        <v>parameter is error Conversion to Double</v>
      </c>
      <c r="L295" t="str">
        <v>parameter is error Conversion to Double</v>
      </c>
      <c r="M295" t="str">
        <v>parameter is error Conversion to Double</v>
      </c>
      <c r="N295" t="str">
        <v>parameter is error Conversion to Double</v>
      </c>
      <c r="O295" t="e">
        <f t="shared" si="8"/>
        <v>#VALUE!</v>
      </c>
    </row>
    <row r="296" spans="9:15" x14ac:dyDescent="0.2">
      <c r="I296">
        <f t="shared" si="9"/>
        <v>273</v>
      </c>
      <c r="J296" t="str">
        <v>parameter is error Conversion to Double</v>
      </c>
      <c r="K296" t="str">
        <v>parameter is error Conversion to Double</v>
      </c>
      <c r="L296" t="str">
        <v>parameter is error Conversion to Double</v>
      </c>
      <c r="M296" t="str">
        <v>parameter is error Conversion to Double</v>
      </c>
      <c r="N296" t="str">
        <v>parameter is error Conversion to Double</v>
      </c>
      <c r="O296" t="e">
        <f t="shared" si="8"/>
        <v>#VALUE!</v>
      </c>
    </row>
    <row r="297" spans="9:15" x14ac:dyDescent="0.2">
      <c r="I297">
        <f t="shared" si="9"/>
        <v>274</v>
      </c>
      <c r="J297" t="str">
        <v>parameter is error Conversion to Double</v>
      </c>
      <c r="K297" t="str">
        <v>parameter is error Conversion to Double</v>
      </c>
      <c r="L297" t="str">
        <v>parameter is error Conversion to Double</v>
      </c>
      <c r="M297" t="str">
        <v>parameter is error Conversion to Double</v>
      </c>
      <c r="N297" t="str">
        <v>parameter is error Conversion to Double</v>
      </c>
      <c r="O297" t="e">
        <f t="shared" si="8"/>
        <v>#VALUE!</v>
      </c>
    </row>
    <row r="298" spans="9:15" x14ac:dyDescent="0.2">
      <c r="I298">
        <f t="shared" si="9"/>
        <v>275</v>
      </c>
      <c r="J298" t="str">
        <v>parameter is error Conversion to Double</v>
      </c>
      <c r="K298" t="str">
        <v>parameter is error Conversion to Double</v>
      </c>
      <c r="L298" t="str">
        <v>parameter is error Conversion to Double</v>
      </c>
      <c r="M298" t="str">
        <v>parameter is error Conversion to Double</v>
      </c>
      <c r="N298" t="str">
        <v>parameter is error Conversion to Double</v>
      </c>
      <c r="O298" t="e">
        <f t="shared" si="8"/>
        <v>#VALUE!</v>
      </c>
    </row>
    <row r="299" spans="9:15" x14ac:dyDescent="0.2">
      <c r="I299">
        <f t="shared" si="9"/>
        <v>276</v>
      </c>
      <c r="J299" t="str">
        <v>parameter is error Conversion to Double</v>
      </c>
      <c r="K299" t="str">
        <v>parameter is error Conversion to Double</v>
      </c>
      <c r="L299" t="str">
        <v>parameter is error Conversion to Double</v>
      </c>
      <c r="M299" t="str">
        <v>parameter is error Conversion to Double</v>
      </c>
      <c r="N299" t="str">
        <v>parameter is error Conversion to Double</v>
      </c>
      <c r="O299" t="e">
        <f t="shared" si="8"/>
        <v>#VALUE!</v>
      </c>
    </row>
    <row r="300" spans="9:15" x14ac:dyDescent="0.2">
      <c r="I300">
        <f t="shared" si="9"/>
        <v>277</v>
      </c>
      <c r="J300" t="str">
        <v>parameter is error Conversion to Double</v>
      </c>
      <c r="K300" t="str">
        <v>parameter is error Conversion to Double</v>
      </c>
      <c r="L300" t="str">
        <v>parameter is error Conversion to Double</v>
      </c>
      <c r="M300" t="str">
        <v>parameter is error Conversion to Double</v>
      </c>
      <c r="N300" t="str">
        <v>parameter is error Conversion to Double</v>
      </c>
      <c r="O300" t="e">
        <f t="shared" si="8"/>
        <v>#VALUE!</v>
      </c>
    </row>
    <row r="301" spans="9:15" x14ac:dyDescent="0.2">
      <c r="I301">
        <f t="shared" si="9"/>
        <v>278</v>
      </c>
      <c r="J301" t="str">
        <v>parameter is error Conversion to Double</v>
      </c>
      <c r="K301" t="str">
        <v>parameter is error Conversion to Double</v>
      </c>
      <c r="L301" t="str">
        <v>parameter is error Conversion to Double</v>
      </c>
      <c r="M301" t="str">
        <v>parameter is error Conversion to Double</v>
      </c>
      <c r="N301" t="str">
        <v>parameter is error Conversion to Double</v>
      </c>
      <c r="O301" t="e">
        <f t="shared" si="8"/>
        <v>#VALUE!</v>
      </c>
    </row>
    <row r="302" spans="9:15" x14ac:dyDescent="0.2">
      <c r="I302">
        <f t="shared" si="9"/>
        <v>279</v>
      </c>
      <c r="J302" t="str">
        <v>parameter is error Conversion to Double</v>
      </c>
      <c r="K302" t="str">
        <v>parameter is error Conversion to Double</v>
      </c>
      <c r="L302" t="str">
        <v>parameter is error Conversion to Double</v>
      </c>
      <c r="M302" t="str">
        <v>parameter is error Conversion to Double</v>
      </c>
      <c r="N302" t="str">
        <v>parameter is error Conversion to Double</v>
      </c>
      <c r="O302" t="e">
        <f t="shared" si="8"/>
        <v>#VALUE!</v>
      </c>
    </row>
    <row r="303" spans="9:15" x14ac:dyDescent="0.2">
      <c r="I303">
        <f t="shared" si="9"/>
        <v>280</v>
      </c>
      <c r="J303" t="str">
        <v>parameter is error Conversion to Double</v>
      </c>
      <c r="K303" t="str">
        <v>parameter is error Conversion to Double</v>
      </c>
      <c r="L303" t="str">
        <v>parameter is error Conversion to Double</v>
      </c>
      <c r="M303" t="str">
        <v>parameter is error Conversion to Double</v>
      </c>
      <c r="N303" t="str">
        <v>parameter is error Conversion to Double</v>
      </c>
      <c r="O303" t="e">
        <f t="shared" si="8"/>
        <v>#VALUE!</v>
      </c>
    </row>
    <row r="304" spans="9:15" x14ac:dyDescent="0.2">
      <c r="I304">
        <f t="shared" si="9"/>
        <v>281</v>
      </c>
      <c r="J304" t="str">
        <v>parameter is error Conversion to Double</v>
      </c>
      <c r="K304" t="str">
        <v>parameter is error Conversion to Double</v>
      </c>
      <c r="L304" t="str">
        <v>parameter is error Conversion to Double</v>
      </c>
      <c r="M304" t="str">
        <v>parameter is error Conversion to Double</v>
      </c>
      <c r="N304" t="str">
        <v>parameter is error Conversion to Double</v>
      </c>
      <c r="O304" t="e">
        <f t="shared" si="8"/>
        <v>#VALUE!</v>
      </c>
    </row>
    <row r="305" spans="9:15" x14ac:dyDescent="0.2">
      <c r="I305">
        <f t="shared" si="9"/>
        <v>282</v>
      </c>
      <c r="J305" t="str">
        <v>parameter is error Conversion to Double</v>
      </c>
      <c r="K305" t="str">
        <v>parameter is error Conversion to Double</v>
      </c>
      <c r="L305" t="str">
        <v>parameter is error Conversion to Double</v>
      </c>
      <c r="M305" t="str">
        <v>parameter is error Conversion to Double</v>
      </c>
      <c r="N305" t="str">
        <v>parameter is error Conversion to Double</v>
      </c>
      <c r="O305" t="e">
        <f t="shared" si="8"/>
        <v>#VALUE!</v>
      </c>
    </row>
    <row r="306" spans="9:15" x14ac:dyDescent="0.2">
      <c r="I306">
        <f t="shared" si="9"/>
        <v>283</v>
      </c>
      <c r="J306" t="str">
        <v>parameter is error Conversion to Double</v>
      </c>
      <c r="K306" t="str">
        <v>parameter is error Conversion to Double</v>
      </c>
      <c r="L306" t="str">
        <v>parameter is error Conversion to Double</v>
      </c>
      <c r="M306" t="str">
        <v>parameter is error Conversion to Double</v>
      </c>
      <c r="N306" t="str">
        <v>parameter is error Conversion to Double</v>
      </c>
      <c r="O306" t="e">
        <f t="shared" si="8"/>
        <v>#VALUE!</v>
      </c>
    </row>
    <row r="307" spans="9:15" x14ac:dyDescent="0.2">
      <c r="I307">
        <f t="shared" si="9"/>
        <v>284</v>
      </c>
      <c r="J307" t="str">
        <v>parameter is error Conversion to Double</v>
      </c>
      <c r="K307" t="str">
        <v>parameter is error Conversion to Double</v>
      </c>
      <c r="L307" t="str">
        <v>parameter is error Conversion to Double</v>
      </c>
      <c r="M307" t="str">
        <v>parameter is error Conversion to Double</v>
      </c>
      <c r="N307" t="str">
        <v>parameter is error Conversion to Double</v>
      </c>
      <c r="O307" t="e">
        <f t="shared" si="8"/>
        <v>#VALUE!</v>
      </c>
    </row>
    <row r="308" spans="9:15" x14ac:dyDescent="0.2">
      <c r="I308">
        <f t="shared" si="9"/>
        <v>285</v>
      </c>
      <c r="J308" t="str">
        <v>parameter is error Conversion to Double</v>
      </c>
      <c r="K308" t="str">
        <v>parameter is error Conversion to Double</v>
      </c>
      <c r="L308" t="str">
        <v>parameter is error Conversion to Double</v>
      </c>
      <c r="M308" t="str">
        <v>parameter is error Conversion to Double</v>
      </c>
      <c r="N308" t="str">
        <v>parameter is error Conversion to Double</v>
      </c>
      <c r="O308" t="e">
        <f t="shared" si="8"/>
        <v>#VALUE!</v>
      </c>
    </row>
    <row r="309" spans="9:15" x14ac:dyDescent="0.2">
      <c r="I309">
        <f t="shared" si="9"/>
        <v>286</v>
      </c>
      <c r="J309" t="str">
        <v>parameter is error Conversion to Double</v>
      </c>
      <c r="K309" t="str">
        <v>parameter is error Conversion to Double</v>
      </c>
      <c r="L309" t="str">
        <v>parameter is error Conversion to Double</v>
      </c>
      <c r="M309" t="str">
        <v>parameter is error Conversion to Double</v>
      </c>
      <c r="N309" t="str">
        <v>parameter is error Conversion to Double</v>
      </c>
      <c r="O309" t="e">
        <f t="shared" si="8"/>
        <v>#VALUE!</v>
      </c>
    </row>
    <row r="310" spans="9:15" x14ac:dyDescent="0.2">
      <c r="I310">
        <f t="shared" si="9"/>
        <v>287</v>
      </c>
      <c r="J310" t="str">
        <v>parameter is error Conversion to Double</v>
      </c>
      <c r="K310" t="str">
        <v>parameter is error Conversion to Double</v>
      </c>
      <c r="L310" t="str">
        <v>parameter is error Conversion to Double</v>
      </c>
      <c r="M310" t="str">
        <v>parameter is error Conversion to Double</v>
      </c>
      <c r="N310" t="str">
        <v>parameter is error Conversion to Double</v>
      </c>
      <c r="O310" t="e">
        <f t="shared" si="8"/>
        <v>#VALUE!</v>
      </c>
    </row>
    <row r="311" spans="9:15" x14ac:dyDescent="0.2">
      <c r="I311">
        <f t="shared" si="9"/>
        <v>288</v>
      </c>
      <c r="J311" t="str">
        <v>parameter is error Conversion to Double</v>
      </c>
      <c r="K311" t="str">
        <v>parameter is error Conversion to Double</v>
      </c>
      <c r="L311" t="str">
        <v>parameter is error Conversion to Double</v>
      </c>
      <c r="M311" t="str">
        <v>parameter is error Conversion to Double</v>
      </c>
      <c r="N311" t="str">
        <v>parameter is error Conversion to Double</v>
      </c>
      <c r="O311" t="e">
        <f t="shared" si="8"/>
        <v>#VALUE!</v>
      </c>
    </row>
    <row r="312" spans="9:15" x14ac:dyDescent="0.2">
      <c r="I312">
        <f t="shared" si="9"/>
        <v>289</v>
      </c>
      <c r="J312" t="str">
        <v>parameter is error Conversion to Double</v>
      </c>
      <c r="K312" t="str">
        <v>parameter is error Conversion to Double</v>
      </c>
      <c r="L312" t="str">
        <v>parameter is error Conversion to Double</v>
      </c>
      <c r="M312" t="str">
        <v>parameter is error Conversion to Double</v>
      </c>
      <c r="N312" t="str">
        <v>parameter is error Conversion to Double</v>
      </c>
      <c r="O312" t="e">
        <f t="shared" si="8"/>
        <v>#VALUE!</v>
      </c>
    </row>
    <row r="313" spans="9:15" x14ac:dyDescent="0.2">
      <c r="I313">
        <f t="shared" si="9"/>
        <v>290</v>
      </c>
      <c r="J313" t="str">
        <v>parameter is error Conversion to Double</v>
      </c>
      <c r="K313" t="str">
        <v>parameter is error Conversion to Double</v>
      </c>
      <c r="L313" t="str">
        <v>parameter is error Conversion to Double</v>
      </c>
      <c r="M313" t="str">
        <v>parameter is error Conversion to Double</v>
      </c>
      <c r="N313" t="str">
        <v>parameter is error Conversion to Double</v>
      </c>
      <c r="O313" t="e">
        <f t="shared" si="8"/>
        <v>#VALUE!</v>
      </c>
    </row>
    <row r="314" spans="9:15" x14ac:dyDescent="0.2">
      <c r="I314">
        <f t="shared" si="9"/>
        <v>291</v>
      </c>
      <c r="J314" t="str">
        <v>parameter is error Conversion to Double</v>
      </c>
      <c r="K314" t="str">
        <v>parameter is error Conversion to Double</v>
      </c>
      <c r="L314" t="str">
        <v>parameter is error Conversion to Double</v>
      </c>
      <c r="M314" t="str">
        <v>parameter is error Conversion to Double</v>
      </c>
      <c r="N314" t="str">
        <v>parameter is error Conversion to Double</v>
      </c>
      <c r="O314" t="e">
        <f t="shared" si="8"/>
        <v>#VALUE!</v>
      </c>
    </row>
    <row r="315" spans="9:15" x14ac:dyDescent="0.2">
      <c r="I315">
        <f t="shared" si="9"/>
        <v>292</v>
      </c>
      <c r="J315" t="str">
        <v>parameter is error Conversion to Double</v>
      </c>
      <c r="K315" t="str">
        <v>parameter is error Conversion to Double</v>
      </c>
      <c r="L315" t="str">
        <v>parameter is error Conversion to Double</v>
      </c>
      <c r="M315" t="str">
        <v>parameter is error Conversion to Double</v>
      </c>
      <c r="N315" t="str">
        <v>parameter is error Conversion to Double</v>
      </c>
      <c r="O315" t="e">
        <f t="shared" si="8"/>
        <v>#VALUE!</v>
      </c>
    </row>
    <row r="316" spans="9:15" x14ac:dyDescent="0.2">
      <c r="I316">
        <f t="shared" si="9"/>
        <v>293</v>
      </c>
      <c r="J316" t="str">
        <v>parameter is error Conversion to Double</v>
      </c>
      <c r="K316" t="str">
        <v>parameter is error Conversion to Double</v>
      </c>
      <c r="L316" t="str">
        <v>parameter is error Conversion to Double</v>
      </c>
      <c r="M316" t="str">
        <v>parameter is error Conversion to Double</v>
      </c>
      <c r="N316" t="str">
        <v>parameter is error Conversion to Double</v>
      </c>
      <c r="O316" t="e">
        <f t="shared" si="8"/>
        <v>#VALUE!</v>
      </c>
    </row>
    <row r="317" spans="9:15" x14ac:dyDescent="0.2">
      <c r="I317">
        <f t="shared" si="9"/>
        <v>294</v>
      </c>
      <c r="J317" t="str">
        <v>parameter is error Conversion to Double</v>
      </c>
      <c r="K317" t="str">
        <v>parameter is error Conversion to Double</v>
      </c>
      <c r="L317" t="str">
        <v>parameter is error Conversion to Double</v>
      </c>
      <c r="M317" t="str">
        <v>parameter is error Conversion to Double</v>
      </c>
      <c r="N317" t="str">
        <v>parameter is error Conversion to Double</v>
      </c>
      <c r="O317" t="e">
        <f t="shared" si="8"/>
        <v>#VALUE!</v>
      </c>
    </row>
    <row r="318" spans="9:15" x14ac:dyDescent="0.2">
      <c r="I318">
        <f t="shared" si="9"/>
        <v>295</v>
      </c>
      <c r="J318" t="str">
        <v>parameter is error Conversion to Double</v>
      </c>
      <c r="K318" t="str">
        <v>parameter is error Conversion to Double</v>
      </c>
      <c r="L318" t="str">
        <v>parameter is error Conversion to Double</v>
      </c>
      <c r="M318" t="str">
        <v>parameter is error Conversion to Double</v>
      </c>
      <c r="N318" t="str">
        <v>parameter is error Conversion to Double</v>
      </c>
      <c r="O318" t="e">
        <f t="shared" si="8"/>
        <v>#VALUE!</v>
      </c>
    </row>
    <row r="319" spans="9:15" x14ac:dyDescent="0.2">
      <c r="I319">
        <f t="shared" si="9"/>
        <v>296</v>
      </c>
      <c r="J319" t="str">
        <v>parameter is error Conversion to Double</v>
      </c>
      <c r="K319" t="str">
        <v>parameter is error Conversion to Double</v>
      </c>
      <c r="L319" t="str">
        <v>parameter is error Conversion to Double</v>
      </c>
      <c r="M319" t="str">
        <v>parameter is error Conversion to Double</v>
      </c>
      <c r="N319" t="str">
        <v>parameter is error Conversion to Double</v>
      </c>
      <c r="O319" t="e">
        <f t="shared" si="8"/>
        <v>#VALUE!</v>
      </c>
    </row>
    <row r="320" spans="9:15" x14ac:dyDescent="0.2">
      <c r="I320">
        <f t="shared" si="9"/>
        <v>297</v>
      </c>
      <c r="J320" t="str">
        <v>parameter is error Conversion to Double</v>
      </c>
      <c r="K320" t="str">
        <v>parameter is error Conversion to Double</v>
      </c>
      <c r="L320" t="str">
        <v>parameter is error Conversion to Double</v>
      </c>
      <c r="M320" t="str">
        <v>parameter is error Conversion to Double</v>
      </c>
      <c r="N320" t="str">
        <v>parameter is error Conversion to Double</v>
      </c>
      <c r="O320" t="e">
        <f t="shared" si="8"/>
        <v>#VALUE!</v>
      </c>
    </row>
    <row r="321" spans="9:15" x14ac:dyDescent="0.2">
      <c r="I321">
        <f t="shared" si="9"/>
        <v>298</v>
      </c>
      <c r="J321" t="str">
        <v>parameter is error Conversion to Double</v>
      </c>
      <c r="K321" t="str">
        <v>parameter is error Conversion to Double</v>
      </c>
      <c r="L321" t="str">
        <v>parameter is error Conversion to Double</v>
      </c>
      <c r="M321" t="str">
        <v>parameter is error Conversion to Double</v>
      </c>
      <c r="N321" t="str">
        <v>parameter is error Conversion to Double</v>
      </c>
      <c r="O321" t="e">
        <f t="shared" si="8"/>
        <v>#VALUE!</v>
      </c>
    </row>
    <row r="322" spans="9:15" x14ac:dyDescent="0.2">
      <c r="I322">
        <f t="shared" si="9"/>
        <v>299</v>
      </c>
      <c r="J322" t="str">
        <v>parameter is error Conversion to Double</v>
      </c>
      <c r="K322" t="str">
        <v>parameter is error Conversion to Double</v>
      </c>
      <c r="L322" t="str">
        <v>parameter is error Conversion to Double</v>
      </c>
      <c r="M322" t="str">
        <v>parameter is error Conversion to Double</v>
      </c>
      <c r="N322" t="str">
        <v>parameter is error Conversion to Double</v>
      </c>
      <c r="O322" t="e">
        <f t="shared" si="8"/>
        <v>#VALUE!</v>
      </c>
    </row>
    <row r="323" spans="9:15" x14ac:dyDescent="0.2">
      <c r="I323">
        <f t="shared" si="9"/>
        <v>300</v>
      </c>
      <c r="J323" t="str">
        <v>parameter is error Conversion to Double</v>
      </c>
      <c r="K323" t="str">
        <v>parameter is error Conversion to Double</v>
      </c>
      <c r="L323" t="str">
        <v>parameter is error Conversion to Double</v>
      </c>
      <c r="M323" t="str">
        <v>parameter is error Conversion to Double</v>
      </c>
      <c r="N323" t="str">
        <v>parameter is error Conversion to Double</v>
      </c>
      <c r="O323" t="e">
        <f t="shared" si="8"/>
        <v>#VALUE!</v>
      </c>
    </row>
    <row r="324" spans="9:15" x14ac:dyDescent="0.2">
      <c r="I324">
        <f t="shared" si="9"/>
        <v>301</v>
      </c>
      <c r="J324" t="str">
        <v>parameter is error Conversion to Double</v>
      </c>
      <c r="K324" t="str">
        <v>parameter is error Conversion to Double</v>
      </c>
      <c r="L324" t="str">
        <v>parameter is error Conversion to Double</v>
      </c>
      <c r="M324" t="str">
        <v>parameter is error Conversion to Double</v>
      </c>
      <c r="N324" t="str">
        <v>parameter is error Conversion to Double</v>
      </c>
      <c r="O324" t="e">
        <f t="shared" si="8"/>
        <v>#VALUE!</v>
      </c>
    </row>
    <row r="325" spans="9:15" x14ac:dyDescent="0.2">
      <c r="I325">
        <f t="shared" si="9"/>
        <v>302</v>
      </c>
      <c r="J325" t="str">
        <v>parameter is error Conversion to Double</v>
      </c>
      <c r="K325" t="str">
        <v>parameter is error Conversion to Double</v>
      </c>
      <c r="L325" t="str">
        <v>parameter is error Conversion to Double</v>
      </c>
      <c r="M325" t="str">
        <v>parameter is error Conversion to Double</v>
      </c>
      <c r="N325" t="str">
        <v>parameter is error Conversion to Double</v>
      </c>
      <c r="O325" t="e">
        <f t="shared" si="8"/>
        <v>#VALUE!</v>
      </c>
    </row>
    <row r="326" spans="9:15" x14ac:dyDescent="0.2">
      <c r="I326">
        <f t="shared" si="9"/>
        <v>303</v>
      </c>
      <c r="J326" t="str">
        <v>parameter is error Conversion to Double</v>
      </c>
      <c r="K326" t="str">
        <v>parameter is error Conversion to Double</v>
      </c>
      <c r="L326" t="str">
        <v>parameter is error Conversion to Double</v>
      </c>
      <c r="M326" t="str">
        <v>parameter is error Conversion to Double</v>
      </c>
      <c r="N326" t="str">
        <v>parameter is error Conversion to Double</v>
      </c>
      <c r="O326" t="e">
        <f t="shared" si="8"/>
        <v>#VALUE!</v>
      </c>
    </row>
    <row r="327" spans="9:15" x14ac:dyDescent="0.2">
      <c r="I327">
        <f t="shared" si="9"/>
        <v>304</v>
      </c>
      <c r="J327" t="str">
        <v>parameter is error Conversion to Double</v>
      </c>
      <c r="K327" t="str">
        <v>parameter is error Conversion to Double</v>
      </c>
      <c r="L327" t="str">
        <v>parameter is error Conversion to Double</v>
      </c>
      <c r="M327" t="str">
        <v>parameter is error Conversion to Double</v>
      </c>
      <c r="N327" t="str">
        <v>parameter is error Conversion to Double</v>
      </c>
      <c r="O327" t="e">
        <f t="shared" si="8"/>
        <v>#VALUE!</v>
      </c>
    </row>
    <row r="328" spans="9:15" x14ac:dyDescent="0.2">
      <c r="I328">
        <f t="shared" si="9"/>
        <v>305</v>
      </c>
      <c r="J328" t="str">
        <v>parameter is error Conversion to Double</v>
      </c>
      <c r="K328" t="str">
        <v>parameter is error Conversion to Double</v>
      </c>
      <c r="L328" t="str">
        <v>parameter is error Conversion to Double</v>
      </c>
      <c r="M328" t="str">
        <v>parameter is error Conversion to Double</v>
      </c>
      <c r="N328" t="str">
        <v>parameter is error Conversion to Double</v>
      </c>
      <c r="O328" t="e">
        <f t="shared" si="8"/>
        <v>#VALUE!</v>
      </c>
    </row>
    <row r="329" spans="9:15" x14ac:dyDescent="0.2">
      <c r="I329">
        <f t="shared" si="9"/>
        <v>306</v>
      </c>
      <c r="J329" t="str">
        <v>parameter is error Conversion to Double</v>
      </c>
      <c r="K329" t="str">
        <v>parameter is error Conversion to Double</v>
      </c>
      <c r="L329" t="str">
        <v>parameter is error Conversion to Double</v>
      </c>
      <c r="M329" t="str">
        <v>parameter is error Conversion to Double</v>
      </c>
      <c r="N329" t="str">
        <v>parameter is error Conversion to Double</v>
      </c>
      <c r="O329" t="e">
        <f t="shared" si="8"/>
        <v>#VALUE!</v>
      </c>
    </row>
    <row r="330" spans="9:15" x14ac:dyDescent="0.2">
      <c r="I330">
        <f t="shared" si="9"/>
        <v>307</v>
      </c>
      <c r="J330" t="str">
        <v>parameter is error Conversion to Double</v>
      </c>
      <c r="K330" t="str">
        <v>parameter is error Conversion to Double</v>
      </c>
      <c r="L330" t="str">
        <v>parameter is error Conversion to Double</v>
      </c>
      <c r="M330" t="str">
        <v>parameter is error Conversion to Double</v>
      </c>
      <c r="N330" t="str">
        <v>parameter is error Conversion to Double</v>
      </c>
      <c r="O330" t="e">
        <f t="shared" si="8"/>
        <v>#VALUE!</v>
      </c>
    </row>
    <row r="331" spans="9:15" x14ac:dyDescent="0.2">
      <c r="I331">
        <f t="shared" si="9"/>
        <v>308</v>
      </c>
      <c r="J331" t="str">
        <v>parameter is error Conversion to Double</v>
      </c>
      <c r="K331" t="str">
        <v>parameter is error Conversion to Double</v>
      </c>
      <c r="L331" t="str">
        <v>parameter is error Conversion to Double</v>
      </c>
      <c r="M331" t="str">
        <v>parameter is error Conversion to Double</v>
      </c>
      <c r="N331" t="str">
        <v>parameter is error Conversion to Double</v>
      </c>
      <c r="O331" t="e">
        <f t="shared" si="8"/>
        <v>#VALUE!</v>
      </c>
    </row>
    <row r="332" spans="9:15" x14ac:dyDescent="0.2">
      <c r="I332">
        <f t="shared" si="9"/>
        <v>309</v>
      </c>
      <c r="J332" t="str">
        <v>parameter is error Conversion to Double</v>
      </c>
      <c r="K332" t="str">
        <v>parameter is error Conversion to Double</v>
      </c>
      <c r="L332" t="str">
        <v>parameter is error Conversion to Double</v>
      </c>
      <c r="M332" t="str">
        <v>parameter is error Conversion to Double</v>
      </c>
      <c r="N332" t="str">
        <v>parameter is error Conversion to Double</v>
      </c>
      <c r="O332" t="e">
        <f t="shared" si="8"/>
        <v>#VALUE!</v>
      </c>
    </row>
    <row r="333" spans="9:15" x14ac:dyDescent="0.2">
      <c r="I333">
        <f t="shared" si="9"/>
        <v>310</v>
      </c>
      <c r="J333" t="str">
        <v>parameter is error Conversion to Double</v>
      </c>
      <c r="K333" t="str">
        <v>parameter is error Conversion to Double</v>
      </c>
      <c r="L333" t="str">
        <v>parameter is error Conversion to Double</v>
      </c>
      <c r="M333" t="str">
        <v>parameter is error Conversion to Double</v>
      </c>
      <c r="N333" t="str">
        <v>parameter is error Conversion to Double</v>
      </c>
      <c r="O333" t="e">
        <f t="shared" si="8"/>
        <v>#VALUE!</v>
      </c>
    </row>
    <row r="334" spans="9:15" x14ac:dyDescent="0.2">
      <c r="I334">
        <f t="shared" si="9"/>
        <v>311</v>
      </c>
      <c r="J334" t="str">
        <v>parameter is error Conversion to Double</v>
      </c>
      <c r="K334" t="str">
        <v>parameter is error Conversion to Double</v>
      </c>
      <c r="L334" t="str">
        <v>parameter is error Conversion to Double</v>
      </c>
      <c r="M334" t="str">
        <v>parameter is error Conversion to Double</v>
      </c>
      <c r="N334" t="str">
        <v>parameter is error Conversion to Double</v>
      </c>
      <c r="O334" t="e">
        <f t="shared" si="8"/>
        <v>#VALUE!</v>
      </c>
    </row>
    <row r="335" spans="9:15" x14ac:dyDescent="0.2">
      <c r="I335">
        <f t="shared" si="9"/>
        <v>312</v>
      </c>
      <c r="J335" t="str">
        <v>parameter is error Conversion to Double</v>
      </c>
      <c r="K335" t="str">
        <v>parameter is error Conversion to Double</v>
      </c>
      <c r="L335" t="str">
        <v>parameter is error Conversion to Double</v>
      </c>
      <c r="M335" t="str">
        <v>parameter is error Conversion to Double</v>
      </c>
      <c r="N335" t="str">
        <v>parameter is error Conversion to Double</v>
      </c>
      <c r="O335" t="e">
        <f t="shared" si="8"/>
        <v>#VALUE!</v>
      </c>
    </row>
    <row r="336" spans="9:15" x14ac:dyDescent="0.2">
      <c r="I336">
        <f t="shared" si="9"/>
        <v>313</v>
      </c>
      <c r="J336" t="str">
        <v>parameter is error Conversion to Double</v>
      </c>
      <c r="K336" t="str">
        <v>parameter is error Conversion to Double</v>
      </c>
      <c r="L336" t="str">
        <v>parameter is error Conversion to Double</v>
      </c>
      <c r="M336" t="str">
        <v>parameter is error Conversion to Double</v>
      </c>
      <c r="N336" t="str">
        <v>parameter is error Conversion to Double</v>
      </c>
      <c r="O336" t="e">
        <f t="shared" si="8"/>
        <v>#VALUE!</v>
      </c>
    </row>
    <row r="337" spans="9:15" x14ac:dyDescent="0.2">
      <c r="I337">
        <f t="shared" si="9"/>
        <v>314</v>
      </c>
      <c r="J337" t="str">
        <v>parameter is error Conversion to Double</v>
      </c>
      <c r="K337" t="str">
        <v>parameter is error Conversion to Double</v>
      </c>
      <c r="L337" t="str">
        <v>parameter is error Conversion to Double</v>
      </c>
      <c r="M337" t="str">
        <v>parameter is error Conversion to Double</v>
      </c>
      <c r="N337" t="str">
        <v>parameter is error Conversion to Double</v>
      </c>
      <c r="O337" t="e">
        <f t="shared" si="8"/>
        <v>#VALUE!</v>
      </c>
    </row>
    <row r="338" spans="9:15" x14ac:dyDescent="0.2">
      <c r="I338">
        <f t="shared" si="9"/>
        <v>315</v>
      </c>
      <c r="J338" t="str">
        <v>parameter is error Conversion to Double</v>
      </c>
      <c r="K338" t="str">
        <v>parameter is error Conversion to Double</v>
      </c>
      <c r="L338" t="str">
        <v>parameter is error Conversion to Double</v>
      </c>
      <c r="M338" t="str">
        <v>parameter is error Conversion to Double</v>
      </c>
      <c r="N338" t="str">
        <v>parameter is error Conversion to Double</v>
      </c>
      <c r="O338" t="e">
        <f t="shared" si="8"/>
        <v>#VALUE!</v>
      </c>
    </row>
    <row r="339" spans="9:15" x14ac:dyDescent="0.2">
      <c r="I339">
        <f t="shared" si="9"/>
        <v>316</v>
      </c>
      <c r="J339" t="str">
        <v>parameter is error Conversion to Double</v>
      </c>
      <c r="K339" t="str">
        <v>parameter is error Conversion to Double</v>
      </c>
      <c r="L339" t="str">
        <v>parameter is error Conversion to Double</v>
      </c>
      <c r="M339" t="str">
        <v>parameter is error Conversion to Double</v>
      </c>
      <c r="N339" t="str">
        <v>parameter is error Conversion to Double</v>
      </c>
      <c r="O339" t="e">
        <f t="shared" si="8"/>
        <v>#VALUE!</v>
      </c>
    </row>
    <row r="340" spans="9:15" x14ac:dyDescent="0.2">
      <c r="I340">
        <f t="shared" si="9"/>
        <v>317</v>
      </c>
      <c r="J340" t="str">
        <v>parameter is error Conversion to Double</v>
      </c>
      <c r="K340" t="str">
        <v>parameter is error Conversion to Double</v>
      </c>
      <c r="L340" t="str">
        <v>parameter is error Conversion to Double</v>
      </c>
      <c r="M340" t="str">
        <v>parameter is error Conversion to Double</v>
      </c>
      <c r="N340" t="str">
        <v>parameter is error Conversion to Double</v>
      </c>
      <c r="O340" t="e">
        <f t="shared" si="8"/>
        <v>#VALUE!</v>
      </c>
    </row>
    <row r="341" spans="9:15" x14ac:dyDescent="0.2">
      <c r="I341">
        <f t="shared" si="9"/>
        <v>318</v>
      </c>
      <c r="J341" t="str">
        <v>parameter is error Conversion to Double</v>
      </c>
      <c r="K341" t="str">
        <v>parameter is error Conversion to Double</v>
      </c>
      <c r="L341" t="str">
        <v>parameter is error Conversion to Double</v>
      </c>
      <c r="M341" t="str">
        <v>parameter is error Conversion to Double</v>
      </c>
      <c r="N341" t="str">
        <v>parameter is error Conversion to Double</v>
      </c>
      <c r="O341" t="e">
        <f t="shared" si="8"/>
        <v>#VALUE!</v>
      </c>
    </row>
    <row r="342" spans="9:15" x14ac:dyDescent="0.2">
      <c r="I342">
        <f t="shared" si="9"/>
        <v>319</v>
      </c>
      <c r="J342" t="str">
        <v>parameter is error Conversion to Double</v>
      </c>
      <c r="K342" t="str">
        <v>parameter is error Conversion to Double</v>
      </c>
      <c r="L342" t="str">
        <v>parameter is error Conversion to Double</v>
      </c>
      <c r="M342" t="str">
        <v>parameter is error Conversion to Double</v>
      </c>
      <c r="N342" t="str">
        <v>parameter is error Conversion to Double</v>
      </c>
      <c r="O342" t="e">
        <f t="shared" si="8"/>
        <v>#VALUE!</v>
      </c>
    </row>
    <row r="343" spans="9:15" x14ac:dyDescent="0.2">
      <c r="I343">
        <f t="shared" si="9"/>
        <v>320</v>
      </c>
      <c r="J343" t="str">
        <v>parameter is error Conversion to Double</v>
      </c>
      <c r="K343" t="str">
        <v>parameter is error Conversion to Double</v>
      </c>
      <c r="L343" t="str">
        <v>parameter is error Conversion to Double</v>
      </c>
      <c r="M343" t="str">
        <v>parameter is error Conversion to Double</v>
      </c>
      <c r="N343" t="str">
        <v>parameter is error Conversion to Double</v>
      </c>
      <c r="O343" t="e">
        <f t="shared" ref="O343:O406" si="10">M343-N343</f>
        <v>#VALUE!</v>
      </c>
    </row>
    <row r="344" spans="9:15" x14ac:dyDescent="0.2">
      <c r="I344">
        <f t="shared" si="9"/>
        <v>321</v>
      </c>
      <c r="J344" t="str">
        <v>parameter is error Conversion to Double</v>
      </c>
      <c r="K344" t="str">
        <v>parameter is error Conversion to Double</v>
      </c>
      <c r="L344" t="str">
        <v>parameter is error Conversion to Double</v>
      </c>
      <c r="M344" t="str">
        <v>parameter is error Conversion to Double</v>
      </c>
      <c r="N344" t="str">
        <v>parameter is error Conversion to Double</v>
      </c>
      <c r="O344" t="e">
        <f t="shared" si="10"/>
        <v>#VALUE!</v>
      </c>
    </row>
    <row r="345" spans="9:15" x14ac:dyDescent="0.2">
      <c r="I345">
        <f t="shared" ref="I345:I408" si="11">I344+1</f>
        <v>322</v>
      </c>
      <c r="J345" t="str">
        <v>parameter is error Conversion to Double</v>
      </c>
      <c r="K345" t="str">
        <v>parameter is error Conversion to Double</v>
      </c>
      <c r="L345" t="str">
        <v>parameter is error Conversion to Double</v>
      </c>
      <c r="M345" t="str">
        <v>parameter is error Conversion to Double</v>
      </c>
      <c r="N345" t="str">
        <v>parameter is error Conversion to Double</v>
      </c>
      <c r="O345" t="e">
        <f t="shared" si="10"/>
        <v>#VALUE!</v>
      </c>
    </row>
    <row r="346" spans="9:15" x14ac:dyDescent="0.2">
      <c r="I346">
        <f t="shared" si="11"/>
        <v>323</v>
      </c>
      <c r="J346" t="str">
        <v>parameter is error Conversion to Double</v>
      </c>
      <c r="K346" t="str">
        <v>parameter is error Conversion to Double</v>
      </c>
      <c r="L346" t="str">
        <v>parameter is error Conversion to Double</v>
      </c>
      <c r="M346" t="str">
        <v>parameter is error Conversion to Double</v>
      </c>
      <c r="N346" t="str">
        <v>parameter is error Conversion to Double</v>
      </c>
      <c r="O346" t="e">
        <f t="shared" si="10"/>
        <v>#VALUE!</v>
      </c>
    </row>
    <row r="347" spans="9:15" x14ac:dyDescent="0.2">
      <c r="I347">
        <f t="shared" si="11"/>
        <v>324</v>
      </c>
      <c r="J347" t="str">
        <v>parameter is error Conversion to Double</v>
      </c>
      <c r="K347" t="str">
        <v>parameter is error Conversion to Double</v>
      </c>
      <c r="L347" t="str">
        <v>parameter is error Conversion to Double</v>
      </c>
      <c r="M347" t="str">
        <v>parameter is error Conversion to Double</v>
      </c>
      <c r="N347" t="str">
        <v>parameter is error Conversion to Double</v>
      </c>
      <c r="O347" t="e">
        <f t="shared" si="10"/>
        <v>#VALUE!</v>
      </c>
    </row>
    <row r="348" spans="9:15" x14ac:dyDescent="0.2">
      <c r="I348">
        <f t="shared" si="11"/>
        <v>325</v>
      </c>
      <c r="J348" t="str">
        <v>parameter is error Conversion to Double</v>
      </c>
      <c r="K348" t="str">
        <v>parameter is error Conversion to Double</v>
      </c>
      <c r="L348" t="str">
        <v>parameter is error Conversion to Double</v>
      </c>
      <c r="M348" t="str">
        <v>parameter is error Conversion to Double</v>
      </c>
      <c r="N348" t="str">
        <v>parameter is error Conversion to Double</v>
      </c>
      <c r="O348" t="e">
        <f t="shared" si="10"/>
        <v>#VALUE!</v>
      </c>
    </row>
    <row r="349" spans="9:15" x14ac:dyDescent="0.2">
      <c r="I349">
        <f t="shared" si="11"/>
        <v>326</v>
      </c>
      <c r="J349" t="str">
        <v>parameter is error Conversion to Double</v>
      </c>
      <c r="K349" t="str">
        <v>parameter is error Conversion to Double</v>
      </c>
      <c r="L349" t="str">
        <v>parameter is error Conversion to Double</v>
      </c>
      <c r="M349" t="str">
        <v>parameter is error Conversion to Double</v>
      </c>
      <c r="N349" t="str">
        <v>parameter is error Conversion to Double</v>
      </c>
      <c r="O349" t="e">
        <f t="shared" si="10"/>
        <v>#VALUE!</v>
      </c>
    </row>
    <row r="350" spans="9:15" x14ac:dyDescent="0.2">
      <c r="I350">
        <f t="shared" si="11"/>
        <v>327</v>
      </c>
      <c r="J350" t="str">
        <v>parameter is error Conversion to Double</v>
      </c>
      <c r="K350" t="str">
        <v>parameter is error Conversion to Double</v>
      </c>
      <c r="L350" t="str">
        <v>parameter is error Conversion to Double</v>
      </c>
      <c r="M350" t="str">
        <v>parameter is error Conversion to Double</v>
      </c>
      <c r="N350" t="str">
        <v>parameter is error Conversion to Double</v>
      </c>
      <c r="O350" t="e">
        <f t="shared" si="10"/>
        <v>#VALUE!</v>
      </c>
    </row>
    <row r="351" spans="9:15" x14ac:dyDescent="0.2">
      <c r="I351">
        <f t="shared" si="11"/>
        <v>328</v>
      </c>
      <c r="J351" t="str">
        <v>parameter is error Conversion to Double</v>
      </c>
      <c r="K351" t="str">
        <v>parameter is error Conversion to Double</v>
      </c>
      <c r="L351" t="str">
        <v>parameter is error Conversion to Double</v>
      </c>
      <c r="M351" t="str">
        <v>parameter is error Conversion to Double</v>
      </c>
      <c r="N351" t="str">
        <v>parameter is error Conversion to Double</v>
      </c>
      <c r="O351" t="e">
        <f t="shared" si="10"/>
        <v>#VALUE!</v>
      </c>
    </row>
    <row r="352" spans="9:15" x14ac:dyDescent="0.2">
      <c r="I352">
        <f t="shared" si="11"/>
        <v>329</v>
      </c>
      <c r="J352" t="str">
        <v>parameter is error Conversion to Double</v>
      </c>
      <c r="K352" t="str">
        <v>parameter is error Conversion to Double</v>
      </c>
      <c r="L352" t="str">
        <v>parameter is error Conversion to Double</v>
      </c>
      <c r="M352" t="str">
        <v>parameter is error Conversion to Double</v>
      </c>
      <c r="N352" t="str">
        <v>parameter is error Conversion to Double</v>
      </c>
      <c r="O352" t="e">
        <f t="shared" si="10"/>
        <v>#VALUE!</v>
      </c>
    </row>
    <row r="353" spans="9:15" x14ac:dyDescent="0.2">
      <c r="I353">
        <f t="shared" si="11"/>
        <v>330</v>
      </c>
      <c r="J353" t="str">
        <v>parameter is error Conversion to Double</v>
      </c>
      <c r="K353" t="str">
        <v>parameter is error Conversion to Double</v>
      </c>
      <c r="L353" t="str">
        <v>parameter is error Conversion to Double</v>
      </c>
      <c r="M353" t="str">
        <v>parameter is error Conversion to Double</v>
      </c>
      <c r="N353" t="str">
        <v>parameter is error Conversion to Double</v>
      </c>
      <c r="O353" t="e">
        <f t="shared" si="10"/>
        <v>#VALUE!</v>
      </c>
    </row>
    <row r="354" spans="9:15" x14ac:dyDescent="0.2">
      <c r="I354">
        <f t="shared" si="11"/>
        <v>331</v>
      </c>
      <c r="J354" t="str">
        <v>parameter is error Conversion to Double</v>
      </c>
      <c r="K354" t="str">
        <v>parameter is error Conversion to Double</v>
      </c>
      <c r="L354" t="str">
        <v>parameter is error Conversion to Double</v>
      </c>
      <c r="M354" t="str">
        <v>parameter is error Conversion to Double</v>
      </c>
      <c r="N354" t="str">
        <v>parameter is error Conversion to Double</v>
      </c>
      <c r="O354" t="e">
        <f t="shared" si="10"/>
        <v>#VALUE!</v>
      </c>
    </row>
    <row r="355" spans="9:15" x14ac:dyDescent="0.2">
      <c r="I355">
        <f t="shared" si="11"/>
        <v>332</v>
      </c>
      <c r="J355" t="str">
        <v>parameter is error Conversion to Double</v>
      </c>
      <c r="K355" t="str">
        <v>parameter is error Conversion to Double</v>
      </c>
      <c r="L355" t="str">
        <v>parameter is error Conversion to Double</v>
      </c>
      <c r="M355" t="str">
        <v>parameter is error Conversion to Double</v>
      </c>
      <c r="N355" t="str">
        <v>parameter is error Conversion to Double</v>
      </c>
      <c r="O355" t="e">
        <f t="shared" si="10"/>
        <v>#VALUE!</v>
      </c>
    </row>
    <row r="356" spans="9:15" x14ac:dyDescent="0.2">
      <c r="I356">
        <f t="shared" si="11"/>
        <v>333</v>
      </c>
      <c r="J356" t="str">
        <v>parameter is error Conversion to Double</v>
      </c>
      <c r="K356" t="str">
        <v>parameter is error Conversion to Double</v>
      </c>
      <c r="L356" t="str">
        <v>parameter is error Conversion to Double</v>
      </c>
      <c r="M356" t="str">
        <v>parameter is error Conversion to Double</v>
      </c>
      <c r="N356" t="str">
        <v>parameter is error Conversion to Double</v>
      </c>
      <c r="O356" t="e">
        <f t="shared" si="10"/>
        <v>#VALUE!</v>
      </c>
    </row>
    <row r="357" spans="9:15" x14ac:dyDescent="0.2">
      <c r="I357">
        <f t="shared" si="11"/>
        <v>334</v>
      </c>
      <c r="J357" t="str">
        <v>parameter is error Conversion to Double</v>
      </c>
      <c r="K357" t="str">
        <v>parameter is error Conversion to Double</v>
      </c>
      <c r="L357" t="str">
        <v>parameter is error Conversion to Double</v>
      </c>
      <c r="M357" t="str">
        <v>parameter is error Conversion to Double</v>
      </c>
      <c r="N357" t="str">
        <v>parameter is error Conversion to Double</v>
      </c>
      <c r="O357" t="e">
        <f t="shared" si="10"/>
        <v>#VALUE!</v>
      </c>
    </row>
    <row r="358" spans="9:15" x14ac:dyDescent="0.2">
      <c r="I358">
        <f t="shared" si="11"/>
        <v>335</v>
      </c>
      <c r="J358" t="str">
        <v>parameter is error Conversion to Double</v>
      </c>
      <c r="K358" t="str">
        <v>parameter is error Conversion to Double</v>
      </c>
      <c r="L358" t="str">
        <v>parameter is error Conversion to Double</v>
      </c>
      <c r="M358" t="str">
        <v>parameter is error Conversion to Double</v>
      </c>
      <c r="N358" t="str">
        <v>parameter is error Conversion to Double</v>
      </c>
      <c r="O358" t="e">
        <f t="shared" si="10"/>
        <v>#VALUE!</v>
      </c>
    </row>
    <row r="359" spans="9:15" x14ac:dyDescent="0.2">
      <c r="I359">
        <f t="shared" si="11"/>
        <v>336</v>
      </c>
      <c r="J359" t="str">
        <v>parameter is error Conversion to Double</v>
      </c>
      <c r="K359" t="str">
        <v>parameter is error Conversion to Double</v>
      </c>
      <c r="L359" t="str">
        <v>parameter is error Conversion to Double</v>
      </c>
      <c r="M359" t="str">
        <v>parameter is error Conversion to Double</v>
      </c>
      <c r="N359" t="str">
        <v>parameter is error Conversion to Double</v>
      </c>
      <c r="O359" t="e">
        <f t="shared" si="10"/>
        <v>#VALUE!</v>
      </c>
    </row>
    <row r="360" spans="9:15" x14ac:dyDescent="0.2">
      <c r="I360">
        <f t="shared" si="11"/>
        <v>337</v>
      </c>
      <c r="J360" t="str">
        <v>parameter is error Conversion to Double</v>
      </c>
      <c r="K360" t="str">
        <v>parameter is error Conversion to Double</v>
      </c>
      <c r="L360" t="str">
        <v>parameter is error Conversion to Double</v>
      </c>
      <c r="M360" t="str">
        <v>parameter is error Conversion to Double</v>
      </c>
      <c r="N360" t="str">
        <v>parameter is error Conversion to Double</v>
      </c>
      <c r="O360" t="e">
        <f t="shared" si="10"/>
        <v>#VALUE!</v>
      </c>
    </row>
    <row r="361" spans="9:15" x14ac:dyDescent="0.2">
      <c r="I361">
        <f t="shared" si="11"/>
        <v>338</v>
      </c>
      <c r="J361" t="str">
        <v>parameter is error Conversion to Double</v>
      </c>
      <c r="K361" t="str">
        <v>parameter is error Conversion to Double</v>
      </c>
      <c r="L361" t="str">
        <v>parameter is error Conversion to Double</v>
      </c>
      <c r="M361" t="str">
        <v>parameter is error Conversion to Double</v>
      </c>
      <c r="N361" t="str">
        <v>parameter is error Conversion to Double</v>
      </c>
      <c r="O361" t="e">
        <f t="shared" si="10"/>
        <v>#VALUE!</v>
      </c>
    </row>
    <row r="362" spans="9:15" x14ac:dyDescent="0.2">
      <c r="I362">
        <f t="shared" si="11"/>
        <v>339</v>
      </c>
      <c r="J362" t="str">
        <v>parameter is error Conversion to Double</v>
      </c>
      <c r="K362" t="str">
        <v>parameter is error Conversion to Double</v>
      </c>
      <c r="L362" t="str">
        <v>parameter is error Conversion to Double</v>
      </c>
      <c r="M362" t="str">
        <v>parameter is error Conversion to Double</v>
      </c>
      <c r="N362" t="str">
        <v>parameter is error Conversion to Double</v>
      </c>
      <c r="O362" t="e">
        <f t="shared" si="10"/>
        <v>#VALUE!</v>
      </c>
    </row>
    <row r="363" spans="9:15" x14ac:dyDescent="0.2">
      <c r="I363">
        <f t="shared" si="11"/>
        <v>340</v>
      </c>
      <c r="J363" t="str">
        <v>parameter is error Conversion to Double</v>
      </c>
      <c r="K363" t="str">
        <v>parameter is error Conversion to Double</v>
      </c>
      <c r="L363" t="str">
        <v>parameter is error Conversion to Double</v>
      </c>
      <c r="M363" t="str">
        <v>parameter is error Conversion to Double</v>
      </c>
      <c r="N363" t="str">
        <v>parameter is error Conversion to Double</v>
      </c>
      <c r="O363" t="e">
        <f t="shared" si="10"/>
        <v>#VALUE!</v>
      </c>
    </row>
    <row r="364" spans="9:15" x14ac:dyDescent="0.2">
      <c r="I364">
        <f t="shared" si="11"/>
        <v>341</v>
      </c>
      <c r="J364" t="str">
        <v>parameter is error Conversion to Double</v>
      </c>
      <c r="K364" t="str">
        <v>parameter is error Conversion to Double</v>
      </c>
      <c r="L364" t="str">
        <v>parameter is error Conversion to Double</v>
      </c>
      <c r="M364" t="str">
        <v>parameter is error Conversion to Double</v>
      </c>
      <c r="N364" t="str">
        <v>parameter is error Conversion to Double</v>
      </c>
      <c r="O364" t="e">
        <f t="shared" si="10"/>
        <v>#VALUE!</v>
      </c>
    </row>
    <row r="365" spans="9:15" x14ac:dyDescent="0.2">
      <c r="I365">
        <f t="shared" si="11"/>
        <v>342</v>
      </c>
      <c r="J365" t="str">
        <v>parameter is error Conversion to Double</v>
      </c>
      <c r="K365" t="str">
        <v>parameter is error Conversion to Double</v>
      </c>
      <c r="L365" t="str">
        <v>parameter is error Conversion to Double</v>
      </c>
      <c r="M365" t="str">
        <v>parameter is error Conversion to Double</v>
      </c>
      <c r="N365" t="str">
        <v>parameter is error Conversion to Double</v>
      </c>
      <c r="O365" t="e">
        <f t="shared" si="10"/>
        <v>#VALUE!</v>
      </c>
    </row>
    <row r="366" spans="9:15" x14ac:dyDescent="0.2">
      <c r="I366">
        <f t="shared" si="11"/>
        <v>343</v>
      </c>
      <c r="J366" t="str">
        <v>parameter is error Conversion to Double</v>
      </c>
      <c r="K366" t="str">
        <v>parameter is error Conversion to Double</v>
      </c>
      <c r="L366" t="str">
        <v>parameter is error Conversion to Double</v>
      </c>
      <c r="M366" t="str">
        <v>parameter is error Conversion to Double</v>
      </c>
      <c r="N366" t="str">
        <v>parameter is error Conversion to Double</v>
      </c>
      <c r="O366" t="e">
        <f t="shared" si="10"/>
        <v>#VALUE!</v>
      </c>
    </row>
    <row r="367" spans="9:15" x14ac:dyDescent="0.2">
      <c r="I367">
        <f t="shared" si="11"/>
        <v>344</v>
      </c>
      <c r="J367" t="str">
        <v>parameter is error Conversion to Double</v>
      </c>
      <c r="K367" t="str">
        <v>parameter is error Conversion to Double</v>
      </c>
      <c r="L367" t="str">
        <v>parameter is error Conversion to Double</v>
      </c>
      <c r="M367" t="str">
        <v>parameter is error Conversion to Double</v>
      </c>
      <c r="N367" t="str">
        <v>parameter is error Conversion to Double</v>
      </c>
      <c r="O367" t="e">
        <f t="shared" si="10"/>
        <v>#VALUE!</v>
      </c>
    </row>
    <row r="368" spans="9:15" x14ac:dyDescent="0.2">
      <c r="I368">
        <f t="shared" si="11"/>
        <v>345</v>
      </c>
      <c r="J368" t="str">
        <v>parameter is error Conversion to Double</v>
      </c>
      <c r="K368" t="str">
        <v>parameter is error Conversion to Double</v>
      </c>
      <c r="L368" t="str">
        <v>parameter is error Conversion to Double</v>
      </c>
      <c r="M368" t="str">
        <v>parameter is error Conversion to Double</v>
      </c>
      <c r="N368" t="str">
        <v>parameter is error Conversion to Double</v>
      </c>
      <c r="O368" t="e">
        <f t="shared" si="10"/>
        <v>#VALUE!</v>
      </c>
    </row>
    <row r="369" spans="9:15" x14ac:dyDescent="0.2">
      <c r="I369">
        <f t="shared" si="11"/>
        <v>346</v>
      </c>
      <c r="J369" t="str">
        <v>parameter is error Conversion to Double</v>
      </c>
      <c r="K369" t="str">
        <v>parameter is error Conversion to Double</v>
      </c>
      <c r="L369" t="str">
        <v>parameter is error Conversion to Double</v>
      </c>
      <c r="M369" t="str">
        <v>parameter is error Conversion to Double</v>
      </c>
      <c r="N369" t="str">
        <v>parameter is error Conversion to Double</v>
      </c>
      <c r="O369" t="e">
        <f t="shared" si="10"/>
        <v>#VALUE!</v>
      </c>
    </row>
    <row r="370" spans="9:15" x14ac:dyDescent="0.2">
      <c r="I370">
        <f t="shared" si="11"/>
        <v>347</v>
      </c>
      <c r="J370" t="str">
        <v>parameter is error Conversion to Double</v>
      </c>
      <c r="K370" t="str">
        <v>parameter is error Conversion to Double</v>
      </c>
      <c r="L370" t="str">
        <v>parameter is error Conversion to Double</v>
      </c>
      <c r="M370" t="str">
        <v>parameter is error Conversion to Double</v>
      </c>
      <c r="N370" t="str">
        <v>parameter is error Conversion to Double</v>
      </c>
      <c r="O370" t="e">
        <f t="shared" si="10"/>
        <v>#VALUE!</v>
      </c>
    </row>
    <row r="371" spans="9:15" x14ac:dyDescent="0.2">
      <c r="I371">
        <f t="shared" si="11"/>
        <v>348</v>
      </c>
      <c r="J371" t="str">
        <v>parameter is error Conversion to Double</v>
      </c>
      <c r="K371" t="str">
        <v>parameter is error Conversion to Double</v>
      </c>
      <c r="L371" t="str">
        <v>parameter is error Conversion to Double</v>
      </c>
      <c r="M371" t="str">
        <v>parameter is error Conversion to Double</v>
      </c>
      <c r="N371" t="str">
        <v>parameter is error Conversion to Double</v>
      </c>
      <c r="O371" t="e">
        <f t="shared" si="10"/>
        <v>#VALUE!</v>
      </c>
    </row>
    <row r="372" spans="9:15" x14ac:dyDescent="0.2">
      <c r="I372">
        <f t="shared" si="11"/>
        <v>349</v>
      </c>
      <c r="J372" t="str">
        <v>parameter is error Conversion to Double</v>
      </c>
      <c r="K372" t="str">
        <v>parameter is error Conversion to Double</v>
      </c>
      <c r="L372" t="str">
        <v>parameter is error Conversion to Double</v>
      </c>
      <c r="M372" t="str">
        <v>parameter is error Conversion to Double</v>
      </c>
      <c r="N372" t="str">
        <v>parameter is error Conversion to Double</v>
      </c>
      <c r="O372" t="e">
        <f t="shared" si="10"/>
        <v>#VALUE!</v>
      </c>
    </row>
    <row r="373" spans="9:15" x14ac:dyDescent="0.2">
      <c r="I373">
        <f t="shared" si="11"/>
        <v>350</v>
      </c>
      <c r="J373" t="str">
        <v>parameter is error Conversion to Double</v>
      </c>
      <c r="K373" t="str">
        <v>parameter is error Conversion to Double</v>
      </c>
      <c r="L373" t="str">
        <v>parameter is error Conversion to Double</v>
      </c>
      <c r="M373" t="str">
        <v>parameter is error Conversion to Double</v>
      </c>
      <c r="N373" t="str">
        <v>parameter is error Conversion to Double</v>
      </c>
      <c r="O373" t="e">
        <f t="shared" si="10"/>
        <v>#VALUE!</v>
      </c>
    </row>
    <row r="374" spans="9:15" x14ac:dyDescent="0.2">
      <c r="I374">
        <f t="shared" si="11"/>
        <v>351</v>
      </c>
      <c r="J374" t="str">
        <v>parameter is error Conversion to Double</v>
      </c>
      <c r="K374" t="str">
        <v>parameter is error Conversion to Double</v>
      </c>
      <c r="L374" t="str">
        <v>parameter is error Conversion to Double</v>
      </c>
      <c r="M374" t="str">
        <v>parameter is error Conversion to Double</v>
      </c>
      <c r="N374" t="str">
        <v>parameter is error Conversion to Double</v>
      </c>
      <c r="O374" t="e">
        <f t="shared" si="10"/>
        <v>#VALUE!</v>
      </c>
    </row>
    <row r="375" spans="9:15" x14ac:dyDescent="0.2">
      <c r="I375">
        <f t="shared" si="11"/>
        <v>352</v>
      </c>
      <c r="J375" t="str">
        <v>parameter is error Conversion to Double</v>
      </c>
      <c r="K375" t="str">
        <v>parameter is error Conversion to Double</v>
      </c>
      <c r="L375" t="str">
        <v>parameter is error Conversion to Double</v>
      </c>
      <c r="M375" t="str">
        <v>parameter is error Conversion to Double</v>
      </c>
      <c r="N375" t="str">
        <v>parameter is error Conversion to Double</v>
      </c>
      <c r="O375" t="e">
        <f t="shared" si="10"/>
        <v>#VALUE!</v>
      </c>
    </row>
    <row r="376" spans="9:15" x14ac:dyDescent="0.2">
      <c r="I376">
        <f t="shared" si="11"/>
        <v>353</v>
      </c>
      <c r="J376" t="str">
        <v>parameter is error Conversion to Double</v>
      </c>
      <c r="K376" t="str">
        <v>parameter is error Conversion to Double</v>
      </c>
      <c r="L376" t="str">
        <v>parameter is error Conversion to Double</v>
      </c>
      <c r="M376" t="str">
        <v>parameter is error Conversion to Double</v>
      </c>
      <c r="N376" t="str">
        <v>parameter is error Conversion to Double</v>
      </c>
      <c r="O376" t="e">
        <f t="shared" si="10"/>
        <v>#VALUE!</v>
      </c>
    </row>
    <row r="377" spans="9:15" x14ac:dyDescent="0.2">
      <c r="I377">
        <f t="shared" si="11"/>
        <v>354</v>
      </c>
      <c r="J377" t="str">
        <v>parameter is error Conversion to Double</v>
      </c>
      <c r="K377" t="str">
        <v>parameter is error Conversion to Double</v>
      </c>
      <c r="L377" t="str">
        <v>parameter is error Conversion to Double</v>
      </c>
      <c r="M377" t="str">
        <v>parameter is error Conversion to Double</v>
      </c>
      <c r="N377" t="str">
        <v>parameter is error Conversion to Double</v>
      </c>
      <c r="O377" t="e">
        <f t="shared" si="10"/>
        <v>#VALUE!</v>
      </c>
    </row>
    <row r="378" spans="9:15" x14ac:dyDescent="0.2">
      <c r="I378">
        <f t="shared" si="11"/>
        <v>355</v>
      </c>
      <c r="J378" t="str">
        <v>parameter is error Conversion to Double</v>
      </c>
      <c r="K378" t="str">
        <v>parameter is error Conversion to Double</v>
      </c>
      <c r="L378" t="str">
        <v>parameter is error Conversion to Double</v>
      </c>
      <c r="M378" t="str">
        <v>parameter is error Conversion to Double</v>
      </c>
      <c r="N378" t="str">
        <v>parameter is error Conversion to Double</v>
      </c>
      <c r="O378" t="e">
        <f t="shared" si="10"/>
        <v>#VALUE!</v>
      </c>
    </row>
    <row r="379" spans="9:15" x14ac:dyDescent="0.2">
      <c r="I379">
        <f t="shared" si="11"/>
        <v>356</v>
      </c>
      <c r="J379" t="str">
        <v>parameter is error Conversion to Double</v>
      </c>
      <c r="K379" t="str">
        <v>parameter is error Conversion to Double</v>
      </c>
      <c r="L379" t="str">
        <v>parameter is error Conversion to Double</v>
      </c>
      <c r="M379" t="str">
        <v>parameter is error Conversion to Double</v>
      </c>
      <c r="N379" t="str">
        <v>parameter is error Conversion to Double</v>
      </c>
      <c r="O379" t="e">
        <f t="shared" si="10"/>
        <v>#VALUE!</v>
      </c>
    </row>
    <row r="380" spans="9:15" x14ac:dyDescent="0.2">
      <c r="I380">
        <f t="shared" si="11"/>
        <v>357</v>
      </c>
      <c r="J380" t="str">
        <v>parameter is error Conversion to Double</v>
      </c>
      <c r="K380" t="str">
        <v>parameter is error Conversion to Double</v>
      </c>
      <c r="L380" t="str">
        <v>parameter is error Conversion to Double</v>
      </c>
      <c r="M380" t="str">
        <v>parameter is error Conversion to Double</v>
      </c>
      <c r="N380" t="str">
        <v>parameter is error Conversion to Double</v>
      </c>
      <c r="O380" t="e">
        <f t="shared" si="10"/>
        <v>#VALUE!</v>
      </c>
    </row>
    <row r="381" spans="9:15" x14ac:dyDescent="0.2">
      <c r="I381">
        <f t="shared" si="11"/>
        <v>358</v>
      </c>
      <c r="J381" t="str">
        <v>parameter is error Conversion to Double</v>
      </c>
      <c r="K381" t="str">
        <v>parameter is error Conversion to Double</v>
      </c>
      <c r="L381" t="str">
        <v>parameter is error Conversion to Double</v>
      </c>
      <c r="M381" t="str">
        <v>parameter is error Conversion to Double</v>
      </c>
      <c r="N381" t="str">
        <v>parameter is error Conversion to Double</v>
      </c>
      <c r="O381" t="e">
        <f t="shared" si="10"/>
        <v>#VALUE!</v>
      </c>
    </row>
    <row r="382" spans="9:15" x14ac:dyDescent="0.2">
      <c r="I382">
        <f t="shared" si="11"/>
        <v>359</v>
      </c>
      <c r="J382" t="str">
        <v>parameter is error Conversion to Double</v>
      </c>
      <c r="K382" t="str">
        <v>parameter is error Conversion to Double</v>
      </c>
      <c r="L382" t="str">
        <v>parameter is error Conversion to Double</v>
      </c>
      <c r="M382" t="str">
        <v>parameter is error Conversion to Double</v>
      </c>
      <c r="N382" t="str">
        <v>parameter is error Conversion to Double</v>
      </c>
      <c r="O382" t="e">
        <f t="shared" si="10"/>
        <v>#VALUE!</v>
      </c>
    </row>
    <row r="383" spans="9:15" x14ac:dyDescent="0.2">
      <c r="I383">
        <f t="shared" si="11"/>
        <v>360</v>
      </c>
      <c r="J383" t="str">
        <v>parameter is error Conversion to Double</v>
      </c>
      <c r="K383" t="str">
        <v>parameter is error Conversion to Double</v>
      </c>
      <c r="L383" t="str">
        <v>parameter is error Conversion to Double</v>
      </c>
      <c r="M383" t="str">
        <v>parameter is error Conversion to Double</v>
      </c>
      <c r="N383" t="str">
        <v>parameter is error Conversion to Double</v>
      </c>
      <c r="O383" t="e">
        <f t="shared" si="10"/>
        <v>#VALUE!</v>
      </c>
    </row>
    <row r="384" spans="9:15" x14ac:dyDescent="0.2">
      <c r="I384">
        <f t="shared" si="11"/>
        <v>361</v>
      </c>
      <c r="J384" t="str">
        <v>parameter is error Conversion to Double</v>
      </c>
      <c r="K384" t="str">
        <v>parameter is error Conversion to Double</v>
      </c>
      <c r="L384" t="str">
        <v>parameter is error Conversion to Double</v>
      </c>
      <c r="M384" t="str">
        <v>parameter is error Conversion to Double</v>
      </c>
      <c r="N384" t="str">
        <v>parameter is error Conversion to Double</v>
      </c>
      <c r="O384" t="e">
        <f t="shared" si="10"/>
        <v>#VALUE!</v>
      </c>
    </row>
    <row r="385" spans="9:15" x14ac:dyDescent="0.2">
      <c r="I385">
        <f t="shared" si="11"/>
        <v>362</v>
      </c>
      <c r="J385" t="str">
        <v>parameter is error Conversion to Double</v>
      </c>
      <c r="K385" t="str">
        <v>parameter is error Conversion to Double</v>
      </c>
      <c r="L385" t="str">
        <v>parameter is error Conversion to Double</v>
      </c>
      <c r="M385" t="str">
        <v>parameter is error Conversion to Double</v>
      </c>
      <c r="N385" t="str">
        <v>parameter is error Conversion to Double</v>
      </c>
      <c r="O385" t="e">
        <f t="shared" si="10"/>
        <v>#VALUE!</v>
      </c>
    </row>
    <row r="386" spans="9:15" x14ac:dyDescent="0.2">
      <c r="I386">
        <f t="shared" si="11"/>
        <v>363</v>
      </c>
      <c r="J386" t="str">
        <v>parameter is error Conversion to Double</v>
      </c>
      <c r="K386" t="str">
        <v>parameter is error Conversion to Double</v>
      </c>
      <c r="L386" t="str">
        <v>parameter is error Conversion to Double</v>
      </c>
      <c r="M386" t="str">
        <v>parameter is error Conversion to Double</v>
      </c>
      <c r="N386" t="str">
        <v>parameter is error Conversion to Double</v>
      </c>
      <c r="O386" t="e">
        <f t="shared" si="10"/>
        <v>#VALUE!</v>
      </c>
    </row>
    <row r="387" spans="9:15" x14ac:dyDescent="0.2">
      <c r="I387">
        <f t="shared" si="11"/>
        <v>364</v>
      </c>
      <c r="J387" t="str">
        <v>parameter is error Conversion to Double</v>
      </c>
      <c r="K387" t="str">
        <v>parameter is error Conversion to Double</v>
      </c>
      <c r="L387" t="str">
        <v>parameter is error Conversion to Double</v>
      </c>
      <c r="M387" t="str">
        <v>parameter is error Conversion to Double</v>
      </c>
      <c r="N387" t="str">
        <v>parameter is error Conversion to Double</v>
      </c>
      <c r="O387" t="e">
        <f t="shared" si="10"/>
        <v>#VALUE!</v>
      </c>
    </row>
    <row r="388" spans="9:15" x14ac:dyDescent="0.2">
      <c r="I388">
        <f t="shared" si="11"/>
        <v>365</v>
      </c>
      <c r="J388" t="str">
        <v>parameter is error Conversion to Double</v>
      </c>
      <c r="K388" t="str">
        <v>parameter is error Conversion to Double</v>
      </c>
      <c r="L388" t="str">
        <v>parameter is error Conversion to Double</v>
      </c>
      <c r="M388" t="str">
        <v>parameter is error Conversion to Double</v>
      </c>
      <c r="N388" t="str">
        <v>parameter is error Conversion to Double</v>
      </c>
      <c r="O388" t="e">
        <f t="shared" si="10"/>
        <v>#VALUE!</v>
      </c>
    </row>
    <row r="389" spans="9:15" x14ac:dyDescent="0.2">
      <c r="I389">
        <f t="shared" si="11"/>
        <v>366</v>
      </c>
      <c r="J389" t="str">
        <v>parameter is error Conversion to Double</v>
      </c>
      <c r="K389" t="str">
        <v>parameter is error Conversion to Double</v>
      </c>
      <c r="L389" t="str">
        <v>parameter is error Conversion to Double</v>
      </c>
      <c r="M389" t="str">
        <v>parameter is error Conversion to Double</v>
      </c>
      <c r="N389" t="str">
        <v>parameter is error Conversion to Double</v>
      </c>
      <c r="O389" t="e">
        <f t="shared" si="10"/>
        <v>#VALUE!</v>
      </c>
    </row>
    <row r="390" spans="9:15" x14ac:dyDescent="0.2">
      <c r="I390">
        <f t="shared" si="11"/>
        <v>367</v>
      </c>
      <c r="J390" t="str">
        <v>parameter is error Conversion to Double</v>
      </c>
      <c r="K390" t="str">
        <v>parameter is error Conversion to Double</v>
      </c>
      <c r="L390" t="str">
        <v>parameter is error Conversion to Double</v>
      </c>
      <c r="M390" t="str">
        <v>parameter is error Conversion to Double</v>
      </c>
      <c r="N390" t="str">
        <v>parameter is error Conversion to Double</v>
      </c>
      <c r="O390" t="e">
        <f t="shared" si="10"/>
        <v>#VALUE!</v>
      </c>
    </row>
    <row r="391" spans="9:15" x14ac:dyDescent="0.2">
      <c r="I391">
        <f t="shared" si="11"/>
        <v>368</v>
      </c>
      <c r="J391" t="str">
        <v>parameter is error Conversion to Double</v>
      </c>
      <c r="K391" t="str">
        <v>parameter is error Conversion to Double</v>
      </c>
      <c r="L391" t="str">
        <v>parameter is error Conversion to Double</v>
      </c>
      <c r="M391" t="str">
        <v>parameter is error Conversion to Double</v>
      </c>
      <c r="N391" t="str">
        <v>parameter is error Conversion to Double</v>
      </c>
      <c r="O391" t="e">
        <f t="shared" si="10"/>
        <v>#VALUE!</v>
      </c>
    </row>
    <row r="392" spans="9:15" x14ac:dyDescent="0.2">
      <c r="I392">
        <f t="shared" si="11"/>
        <v>369</v>
      </c>
      <c r="J392" t="str">
        <v>parameter is error Conversion to Double</v>
      </c>
      <c r="K392" t="str">
        <v>parameter is error Conversion to Double</v>
      </c>
      <c r="L392" t="str">
        <v>parameter is error Conversion to Double</v>
      </c>
      <c r="M392" t="str">
        <v>parameter is error Conversion to Double</v>
      </c>
      <c r="N392" t="str">
        <v>parameter is error Conversion to Double</v>
      </c>
      <c r="O392" t="e">
        <f t="shared" si="10"/>
        <v>#VALUE!</v>
      </c>
    </row>
    <row r="393" spans="9:15" x14ac:dyDescent="0.2">
      <c r="I393">
        <f t="shared" si="11"/>
        <v>370</v>
      </c>
      <c r="J393" t="str">
        <v>parameter is error Conversion to Double</v>
      </c>
      <c r="K393" t="str">
        <v>parameter is error Conversion to Double</v>
      </c>
      <c r="L393" t="str">
        <v>parameter is error Conversion to Double</v>
      </c>
      <c r="M393" t="str">
        <v>parameter is error Conversion to Double</v>
      </c>
      <c r="N393" t="str">
        <v>parameter is error Conversion to Double</v>
      </c>
      <c r="O393" t="e">
        <f t="shared" si="10"/>
        <v>#VALUE!</v>
      </c>
    </row>
    <row r="394" spans="9:15" x14ac:dyDescent="0.2">
      <c r="I394">
        <f t="shared" si="11"/>
        <v>371</v>
      </c>
      <c r="J394" t="str">
        <v>parameter is error Conversion to Double</v>
      </c>
      <c r="K394" t="str">
        <v>parameter is error Conversion to Double</v>
      </c>
      <c r="L394" t="str">
        <v>parameter is error Conversion to Double</v>
      </c>
      <c r="M394" t="str">
        <v>parameter is error Conversion to Double</v>
      </c>
      <c r="N394" t="str">
        <v>parameter is error Conversion to Double</v>
      </c>
      <c r="O394" t="e">
        <f t="shared" si="10"/>
        <v>#VALUE!</v>
      </c>
    </row>
    <row r="395" spans="9:15" x14ac:dyDescent="0.2">
      <c r="I395">
        <f t="shared" si="11"/>
        <v>372</v>
      </c>
      <c r="J395" t="str">
        <v>parameter is error Conversion to Double</v>
      </c>
      <c r="K395" t="str">
        <v>parameter is error Conversion to Double</v>
      </c>
      <c r="L395" t="str">
        <v>parameter is error Conversion to Double</v>
      </c>
      <c r="M395" t="str">
        <v>parameter is error Conversion to Double</v>
      </c>
      <c r="N395" t="str">
        <v>parameter is error Conversion to Double</v>
      </c>
      <c r="O395" t="e">
        <f t="shared" si="10"/>
        <v>#VALUE!</v>
      </c>
    </row>
    <row r="396" spans="9:15" x14ac:dyDescent="0.2">
      <c r="I396">
        <f t="shared" si="11"/>
        <v>373</v>
      </c>
      <c r="J396" t="str">
        <v>parameter is error Conversion to Double</v>
      </c>
      <c r="K396" t="str">
        <v>parameter is error Conversion to Double</v>
      </c>
      <c r="L396" t="str">
        <v>parameter is error Conversion to Double</v>
      </c>
      <c r="M396" t="str">
        <v>parameter is error Conversion to Double</v>
      </c>
      <c r="N396" t="str">
        <v>parameter is error Conversion to Double</v>
      </c>
      <c r="O396" t="e">
        <f t="shared" si="10"/>
        <v>#VALUE!</v>
      </c>
    </row>
    <row r="397" spans="9:15" x14ac:dyDescent="0.2">
      <c r="I397">
        <f t="shared" si="11"/>
        <v>374</v>
      </c>
      <c r="J397" t="str">
        <v>parameter is error Conversion to Double</v>
      </c>
      <c r="K397" t="str">
        <v>parameter is error Conversion to Double</v>
      </c>
      <c r="L397" t="str">
        <v>parameter is error Conversion to Double</v>
      </c>
      <c r="M397" t="str">
        <v>parameter is error Conversion to Double</v>
      </c>
      <c r="N397" t="str">
        <v>parameter is error Conversion to Double</v>
      </c>
      <c r="O397" t="e">
        <f t="shared" si="10"/>
        <v>#VALUE!</v>
      </c>
    </row>
    <row r="398" spans="9:15" x14ac:dyDescent="0.2">
      <c r="I398">
        <f t="shared" si="11"/>
        <v>375</v>
      </c>
      <c r="J398" t="str">
        <v>parameter is error Conversion to Double</v>
      </c>
      <c r="K398" t="str">
        <v>parameter is error Conversion to Double</v>
      </c>
      <c r="L398" t="str">
        <v>parameter is error Conversion to Double</v>
      </c>
      <c r="M398" t="str">
        <v>parameter is error Conversion to Double</v>
      </c>
      <c r="N398" t="str">
        <v>parameter is error Conversion to Double</v>
      </c>
      <c r="O398" t="e">
        <f t="shared" si="10"/>
        <v>#VALUE!</v>
      </c>
    </row>
    <row r="399" spans="9:15" x14ac:dyDescent="0.2">
      <c r="I399">
        <f t="shared" si="11"/>
        <v>376</v>
      </c>
      <c r="J399" t="str">
        <v>parameter is error Conversion to Double</v>
      </c>
      <c r="K399" t="str">
        <v>parameter is error Conversion to Double</v>
      </c>
      <c r="L399" t="str">
        <v>parameter is error Conversion to Double</v>
      </c>
      <c r="M399" t="str">
        <v>parameter is error Conversion to Double</v>
      </c>
      <c r="N399" t="str">
        <v>parameter is error Conversion to Double</v>
      </c>
      <c r="O399" t="e">
        <f t="shared" si="10"/>
        <v>#VALUE!</v>
      </c>
    </row>
    <row r="400" spans="9:15" x14ac:dyDescent="0.2">
      <c r="I400">
        <f t="shared" si="11"/>
        <v>377</v>
      </c>
      <c r="J400" t="str">
        <v>parameter is error Conversion to Double</v>
      </c>
      <c r="K400" t="str">
        <v>parameter is error Conversion to Double</v>
      </c>
      <c r="L400" t="str">
        <v>parameter is error Conversion to Double</v>
      </c>
      <c r="M400" t="str">
        <v>parameter is error Conversion to Double</v>
      </c>
      <c r="N400" t="str">
        <v>parameter is error Conversion to Double</v>
      </c>
      <c r="O400" t="e">
        <f t="shared" si="10"/>
        <v>#VALUE!</v>
      </c>
    </row>
    <row r="401" spans="9:15" x14ac:dyDescent="0.2">
      <c r="I401">
        <f t="shared" si="11"/>
        <v>378</v>
      </c>
      <c r="J401" t="str">
        <v>parameter is error Conversion to Double</v>
      </c>
      <c r="K401" t="str">
        <v>parameter is error Conversion to Double</v>
      </c>
      <c r="L401" t="str">
        <v>parameter is error Conversion to Double</v>
      </c>
      <c r="M401" t="str">
        <v>parameter is error Conversion to Double</v>
      </c>
      <c r="N401" t="str">
        <v>parameter is error Conversion to Double</v>
      </c>
      <c r="O401" t="e">
        <f t="shared" si="10"/>
        <v>#VALUE!</v>
      </c>
    </row>
    <row r="402" spans="9:15" x14ac:dyDescent="0.2">
      <c r="I402">
        <f t="shared" si="11"/>
        <v>379</v>
      </c>
      <c r="J402" t="str">
        <v>parameter is error Conversion to Double</v>
      </c>
      <c r="K402" t="str">
        <v>parameter is error Conversion to Double</v>
      </c>
      <c r="L402" t="str">
        <v>parameter is error Conversion to Double</v>
      </c>
      <c r="M402" t="str">
        <v>parameter is error Conversion to Double</v>
      </c>
      <c r="N402" t="str">
        <v>parameter is error Conversion to Double</v>
      </c>
      <c r="O402" t="e">
        <f t="shared" si="10"/>
        <v>#VALUE!</v>
      </c>
    </row>
    <row r="403" spans="9:15" x14ac:dyDescent="0.2">
      <c r="I403">
        <f t="shared" si="11"/>
        <v>380</v>
      </c>
      <c r="J403" t="str">
        <v>parameter is error Conversion to Double</v>
      </c>
      <c r="K403" t="str">
        <v>parameter is error Conversion to Double</v>
      </c>
      <c r="L403" t="str">
        <v>parameter is error Conversion to Double</v>
      </c>
      <c r="M403" t="str">
        <v>parameter is error Conversion to Double</v>
      </c>
      <c r="N403" t="str">
        <v>parameter is error Conversion to Double</v>
      </c>
      <c r="O403" t="e">
        <f t="shared" si="10"/>
        <v>#VALUE!</v>
      </c>
    </row>
    <row r="404" spans="9:15" x14ac:dyDescent="0.2">
      <c r="I404">
        <f t="shared" si="11"/>
        <v>381</v>
      </c>
      <c r="J404" t="str">
        <v>parameter is error Conversion to Double</v>
      </c>
      <c r="K404" t="str">
        <v>parameter is error Conversion to Double</v>
      </c>
      <c r="L404" t="str">
        <v>parameter is error Conversion to Double</v>
      </c>
      <c r="M404" t="str">
        <v>parameter is error Conversion to Double</v>
      </c>
      <c r="N404" t="str">
        <v>parameter is error Conversion to Double</v>
      </c>
      <c r="O404" t="e">
        <f t="shared" si="10"/>
        <v>#VALUE!</v>
      </c>
    </row>
    <row r="405" spans="9:15" x14ac:dyDescent="0.2">
      <c r="I405">
        <f t="shared" si="11"/>
        <v>382</v>
      </c>
      <c r="J405" t="str">
        <v>parameter is error Conversion to Double</v>
      </c>
      <c r="K405" t="str">
        <v>parameter is error Conversion to Double</v>
      </c>
      <c r="L405" t="str">
        <v>parameter is error Conversion to Double</v>
      </c>
      <c r="M405" t="str">
        <v>parameter is error Conversion to Double</v>
      </c>
      <c r="N405" t="str">
        <v>parameter is error Conversion to Double</v>
      </c>
      <c r="O405" t="e">
        <f t="shared" si="10"/>
        <v>#VALUE!</v>
      </c>
    </row>
    <row r="406" spans="9:15" x14ac:dyDescent="0.2">
      <c r="I406">
        <f t="shared" si="11"/>
        <v>383</v>
      </c>
      <c r="J406" t="str">
        <v>parameter is error Conversion to Double</v>
      </c>
      <c r="K406" t="str">
        <v>parameter is error Conversion to Double</v>
      </c>
      <c r="L406" t="str">
        <v>parameter is error Conversion to Double</v>
      </c>
      <c r="M406" t="str">
        <v>parameter is error Conversion to Double</v>
      </c>
      <c r="N406" t="str">
        <v>parameter is error Conversion to Double</v>
      </c>
      <c r="O406" t="e">
        <f t="shared" si="10"/>
        <v>#VALUE!</v>
      </c>
    </row>
    <row r="407" spans="9:15" x14ac:dyDescent="0.2">
      <c r="I407">
        <f t="shared" si="11"/>
        <v>384</v>
      </c>
      <c r="J407" t="str">
        <v>parameter is error Conversion to Double</v>
      </c>
      <c r="K407" t="str">
        <v>parameter is error Conversion to Double</v>
      </c>
      <c r="L407" t="str">
        <v>parameter is error Conversion to Double</v>
      </c>
      <c r="M407" t="str">
        <v>parameter is error Conversion to Double</v>
      </c>
      <c r="N407" t="str">
        <v>parameter is error Conversion to Double</v>
      </c>
      <c r="O407" t="e">
        <f t="shared" ref="O407:O470" si="12">M407-N407</f>
        <v>#VALUE!</v>
      </c>
    </row>
    <row r="408" spans="9:15" x14ac:dyDescent="0.2">
      <c r="I408">
        <f t="shared" si="11"/>
        <v>385</v>
      </c>
      <c r="J408" t="str">
        <v>parameter is error Conversion to Double</v>
      </c>
      <c r="K408" t="str">
        <v>parameter is error Conversion to Double</v>
      </c>
      <c r="L408" t="str">
        <v>parameter is error Conversion to Double</v>
      </c>
      <c r="M408" t="str">
        <v>parameter is error Conversion to Double</v>
      </c>
      <c r="N408" t="str">
        <v>parameter is error Conversion to Double</v>
      </c>
      <c r="O408" t="e">
        <f t="shared" si="12"/>
        <v>#VALUE!</v>
      </c>
    </row>
    <row r="409" spans="9:15" x14ac:dyDescent="0.2">
      <c r="I409">
        <f t="shared" ref="I409:I472" si="13">I408+1</f>
        <v>386</v>
      </c>
      <c r="J409" t="str">
        <v>parameter is error Conversion to Double</v>
      </c>
      <c r="K409" t="str">
        <v>parameter is error Conversion to Double</v>
      </c>
      <c r="L409" t="str">
        <v>parameter is error Conversion to Double</v>
      </c>
      <c r="M409" t="str">
        <v>parameter is error Conversion to Double</v>
      </c>
      <c r="N409" t="str">
        <v>parameter is error Conversion to Double</v>
      </c>
      <c r="O409" t="e">
        <f t="shared" si="12"/>
        <v>#VALUE!</v>
      </c>
    </row>
    <row r="410" spans="9:15" x14ac:dyDescent="0.2">
      <c r="I410">
        <f t="shared" si="13"/>
        <v>387</v>
      </c>
      <c r="J410" t="str">
        <v>parameter is error Conversion to Double</v>
      </c>
      <c r="K410" t="str">
        <v>parameter is error Conversion to Double</v>
      </c>
      <c r="L410" t="str">
        <v>parameter is error Conversion to Double</v>
      </c>
      <c r="M410" t="str">
        <v>parameter is error Conversion to Double</v>
      </c>
      <c r="N410" t="str">
        <v>parameter is error Conversion to Double</v>
      </c>
      <c r="O410" t="e">
        <f t="shared" si="12"/>
        <v>#VALUE!</v>
      </c>
    </row>
    <row r="411" spans="9:15" x14ac:dyDescent="0.2">
      <c r="I411">
        <f t="shared" si="13"/>
        <v>388</v>
      </c>
      <c r="J411" t="str">
        <v>parameter is error Conversion to Double</v>
      </c>
      <c r="K411" t="str">
        <v>parameter is error Conversion to Double</v>
      </c>
      <c r="L411" t="str">
        <v>parameter is error Conversion to Double</v>
      </c>
      <c r="M411" t="str">
        <v>parameter is error Conversion to Double</v>
      </c>
      <c r="N411" t="str">
        <v>parameter is error Conversion to Double</v>
      </c>
      <c r="O411" t="e">
        <f t="shared" si="12"/>
        <v>#VALUE!</v>
      </c>
    </row>
    <row r="412" spans="9:15" x14ac:dyDescent="0.2">
      <c r="I412">
        <f t="shared" si="13"/>
        <v>389</v>
      </c>
      <c r="J412" t="str">
        <v>parameter is error Conversion to Double</v>
      </c>
      <c r="K412" t="str">
        <v>parameter is error Conversion to Double</v>
      </c>
      <c r="L412" t="str">
        <v>parameter is error Conversion to Double</v>
      </c>
      <c r="M412" t="str">
        <v>parameter is error Conversion to Double</v>
      </c>
      <c r="N412" t="str">
        <v>parameter is error Conversion to Double</v>
      </c>
      <c r="O412" t="e">
        <f t="shared" si="12"/>
        <v>#VALUE!</v>
      </c>
    </row>
    <row r="413" spans="9:15" x14ac:dyDescent="0.2">
      <c r="I413">
        <f t="shared" si="13"/>
        <v>390</v>
      </c>
      <c r="J413" t="str">
        <v>parameter is error Conversion to Double</v>
      </c>
      <c r="K413" t="str">
        <v>parameter is error Conversion to Double</v>
      </c>
      <c r="L413" t="str">
        <v>parameter is error Conversion to Double</v>
      </c>
      <c r="M413" t="str">
        <v>parameter is error Conversion to Double</v>
      </c>
      <c r="N413" t="str">
        <v>parameter is error Conversion to Double</v>
      </c>
      <c r="O413" t="e">
        <f t="shared" si="12"/>
        <v>#VALUE!</v>
      </c>
    </row>
    <row r="414" spans="9:15" x14ac:dyDescent="0.2">
      <c r="I414">
        <f t="shared" si="13"/>
        <v>391</v>
      </c>
      <c r="J414" t="str">
        <v>parameter is error Conversion to Double</v>
      </c>
      <c r="K414" t="str">
        <v>parameter is error Conversion to Double</v>
      </c>
      <c r="L414" t="str">
        <v>parameter is error Conversion to Double</v>
      </c>
      <c r="M414" t="str">
        <v>parameter is error Conversion to Double</v>
      </c>
      <c r="N414" t="str">
        <v>parameter is error Conversion to Double</v>
      </c>
      <c r="O414" t="e">
        <f t="shared" si="12"/>
        <v>#VALUE!</v>
      </c>
    </row>
    <row r="415" spans="9:15" x14ac:dyDescent="0.2">
      <c r="I415">
        <f t="shared" si="13"/>
        <v>392</v>
      </c>
      <c r="J415" t="str">
        <v>parameter is error Conversion to Double</v>
      </c>
      <c r="K415" t="str">
        <v>parameter is error Conversion to Double</v>
      </c>
      <c r="L415" t="str">
        <v>parameter is error Conversion to Double</v>
      </c>
      <c r="M415" t="str">
        <v>parameter is error Conversion to Double</v>
      </c>
      <c r="N415" t="str">
        <v>parameter is error Conversion to Double</v>
      </c>
      <c r="O415" t="e">
        <f t="shared" si="12"/>
        <v>#VALUE!</v>
      </c>
    </row>
    <row r="416" spans="9:15" x14ac:dyDescent="0.2">
      <c r="I416">
        <f t="shared" si="13"/>
        <v>393</v>
      </c>
      <c r="J416" t="str">
        <v>parameter is error Conversion to Double</v>
      </c>
      <c r="K416" t="str">
        <v>parameter is error Conversion to Double</v>
      </c>
      <c r="L416" t="str">
        <v>parameter is error Conversion to Double</v>
      </c>
      <c r="M416" t="str">
        <v>parameter is error Conversion to Double</v>
      </c>
      <c r="N416" t="str">
        <v>parameter is error Conversion to Double</v>
      </c>
      <c r="O416" t="e">
        <f t="shared" si="12"/>
        <v>#VALUE!</v>
      </c>
    </row>
    <row r="417" spans="9:15" x14ac:dyDescent="0.2">
      <c r="I417">
        <f t="shared" si="13"/>
        <v>394</v>
      </c>
      <c r="J417" t="str">
        <v>parameter is error Conversion to Double</v>
      </c>
      <c r="K417" t="str">
        <v>parameter is error Conversion to Double</v>
      </c>
      <c r="L417" t="str">
        <v>parameter is error Conversion to Double</v>
      </c>
      <c r="M417" t="str">
        <v>parameter is error Conversion to Double</v>
      </c>
      <c r="N417" t="str">
        <v>parameter is error Conversion to Double</v>
      </c>
      <c r="O417" t="e">
        <f t="shared" si="12"/>
        <v>#VALUE!</v>
      </c>
    </row>
    <row r="418" spans="9:15" x14ac:dyDescent="0.2">
      <c r="I418">
        <f t="shared" si="13"/>
        <v>395</v>
      </c>
      <c r="J418" t="str">
        <v>parameter is error Conversion to Double</v>
      </c>
      <c r="K418" t="str">
        <v>parameter is error Conversion to Double</v>
      </c>
      <c r="L418" t="str">
        <v>parameter is error Conversion to Double</v>
      </c>
      <c r="M418" t="str">
        <v>parameter is error Conversion to Double</v>
      </c>
      <c r="N418" t="str">
        <v>parameter is error Conversion to Double</v>
      </c>
      <c r="O418" t="e">
        <f t="shared" si="12"/>
        <v>#VALUE!</v>
      </c>
    </row>
    <row r="419" spans="9:15" x14ac:dyDescent="0.2">
      <c r="I419">
        <f t="shared" si="13"/>
        <v>396</v>
      </c>
      <c r="J419" t="str">
        <v>parameter is error Conversion to Double</v>
      </c>
      <c r="K419" t="str">
        <v>parameter is error Conversion to Double</v>
      </c>
      <c r="L419" t="str">
        <v>parameter is error Conversion to Double</v>
      </c>
      <c r="M419" t="str">
        <v>parameter is error Conversion to Double</v>
      </c>
      <c r="N419" t="str">
        <v>parameter is error Conversion to Double</v>
      </c>
      <c r="O419" t="e">
        <f t="shared" si="12"/>
        <v>#VALUE!</v>
      </c>
    </row>
    <row r="420" spans="9:15" x14ac:dyDescent="0.2">
      <c r="I420">
        <f t="shared" si="13"/>
        <v>397</v>
      </c>
      <c r="J420" t="str">
        <v>parameter is error Conversion to Double</v>
      </c>
      <c r="K420" t="str">
        <v>parameter is error Conversion to Double</v>
      </c>
      <c r="L420" t="str">
        <v>parameter is error Conversion to Double</v>
      </c>
      <c r="M420" t="str">
        <v>parameter is error Conversion to Double</v>
      </c>
      <c r="N420" t="str">
        <v>parameter is error Conversion to Double</v>
      </c>
      <c r="O420" t="e">
        <f t="shared" si="12"/>
        <v>#VALUE!</v>
      </c>
    </row>
    <row r="421" spans="9:15" x14ac:dyDescent="0.2">
      <c r="I421">
        <f t="shared" si="13"/>
        <v>398</v>
      </c>
      <c r="J421" t="str">
        <v>parameter is error Conversion to Double</v>
      </c>
      <c r="K421" t="str">
        <v>parameter is error Conversion to Double</v>
      </c>
      <c r="L421" t="str">
        <v>parameter is error Conversion to Double</v>
      </c>
      <c r="M421" t="str">
        <v>parameter is error Conversion to Double</v>
      </c>
      <c r="N421" t="str">
        <v>parameter is error Conversion to Double</v>
      </c>
      <c r="O421" t="e">
        <f t="shared" si="12"/>
        <v>#VALUE!</v>
      </c>
    </row>
    <row r="422" spans="9:15" x14ac:dyDescent="0.2">
      <c r="I422">
        <f t="shared" si="13"/>
        <v>399</v>
      </c>
      <c r="J422" t="str">
        <v>parameter is error Conversion to Double</v>
      </c>
      <c r="K422" t="str">
        <v>parameter is error Conversion to Double</v>
      </c>
      <c r="L422" t="str">
        <v>parameter is error Conversion to Double</v>
      </c>
      <c r="M422" t="str">
        <v>parameter is error Conversion to Double</v>
      </c>
      <c r="N422" t="str">
        <v>parameter is error Conversion to Double</v>
      </c>
      <c r="O422" t="e">
        <f t="shared" si="12"/>
        <v>#VALUE!</v>
      </c>
    </row>
    <row r="423" spans="9:15" x14ac:dyDescent="0.2">
      <c r="I423">
        <f t="shared" si="13"/>
        <v>400</v>
      </c>
      <c r="J423" t="str">
        <v>parameter is error Conversion to Double</v>
      </c>
      <c r="K423" t="str">
        <v>parameter is error Conversion to Double</v>
      </c>
      <c r="L423" t="str">
        <v>parameter is error Conversion to Double</v>
      </c>
      <c r="M423" t="str">
        <v>parameter is error Conversion to Double</v>
      </c>
      <c r="N423" t="str">
        <v>parameter is error Conversion to Double</v>
      </c>
      <c r="O423" t="e">
        <f t="shared" si="12"/>
        <v>#VALUE!</v>
      </c>
    </row>
    <row r="424" spans="9:15" x14ac:dyDescent="0.2">
      <c r="I424">
        <f t="shared" si="13"/>
        <v>401</v>
      </c>
      <c r="J424" t="str">
        <v>parameter is error Conversion to Double</v>
      </c>
      <c r="K424" t="str">
        <v>parameter is error Conversion to Double</v>
      </c>
      <c r="L424" t="str">
        <v>parameter is error Conversion to Double</v>
      </c>
      <c r="M424" t="str">
        <v>parameter is error Conversion to Double</v>
      </c>
      <c r="N424" t="str">
        <v>parameter is error Conversion to Double</v>
      </c>
      <c r="O424" t="e">
        <f t="shared" si="12"/>
        <v>#VALUE!</v>
      </c>
    </row>
    <row r="425" spans="9:15" x14ac:dyDescent="0.2">
      <c r="I425">
        <f t="shared" si="13"/>
        <v>402</v>
      </c>
      <c r="J425" t="str">
        <v>parameter is error Conversion to Double</v>
      </c>
      <c r="K425" t="str">
        <v>parameter is error Conversion to Double</v>
      </c>
      <c r="L425" t="str">
        <v>parameter is error Conversion to Double</v>
      </c>
      <c r="M425" t="str">
        <v>parameter is error Conversion to Double</v>
      </c>
      <c r="N425" t="str">
        <v>parameter is error Conversion to Double</v>
      </c>
      <c r="O425" t="e">
        <f t="shared" si="12"/>
        <v>#VALUE!</v>
      </c>
    </row>
    <row r="426" spans="9:15" x14ac:dyDescent="0.2">
      <c r="I426">
        <f t="shared" si="13"/>
        <v>403</v>
      </c>
      <c r="J426" t="str">
        <v>parameter is error Conversion to Double</v>
      </c>
      <c r="K426" t="str">
        <v>parameter is error Conversion to Double</v>
      </c>
      <c r="L426" t="str">
        <v>parameter is error Conversion to Double</v>
      </c>
      <c r="M426" t="str">
        <v>parameter is error Conversion to Double</v>
      </c>
      <c r="N426" t="str">
        <v>parameter is error Conversion to Double</v>
      </c>
      <c r="O426" t="e">
        <f t="shared" si="12"/>
        <v>#VALUE!</v>
      </c>
    </row>
    <row r="427" spans="9:15" x14ac:dyDescent="0.2">
      <c r="I427">
        <f t="shared" si="13"/>
        <v>404</v>
      </c>
      <c r="J427" t="str">
        <v>parameter is error Conversion to Double</v>
      </c>
      <c r="K427" t="str">
        <v>parameter is error Conversion to Double</v>
      </c>
      <c r="L427" t="str">
        <v>parameter is error Conversion to Double</v>
      </c>
      <c r="M427" t="str">
        <v>parameter is error Conversion to Double</v>
      </c>
      <c r="N427" t="str">
        <v>parameter is error Conversion to Double</v>
      </c>
      <c r="O427" t="e">
        <f t="shared" si="12"/>
        <v>#VALUE!</v>
      </c>
    </row>
    <row r="428" spans="9:15" x14ac:dyDescent="0.2">
      <c r="I428">
        <f t="shared" si="13"/>
        <v>405</v>
      </c>
      <c r="J428" t="str">
        <v>parameter is error Conversion to Double</v>
      </c>
      <c r="K428" t="str">
        <v>parameter is error Conversion to Double</v>
      </c>
      <c r="L428" t="str">
        <v>parameter is error Conversion to Double</v>
      </c>
      <c r="M428" t="str">
        <v>parameter is error Conversion to Double</v>
      </c>
      <c r="N428" t="str">
        <v>parameter is error Conversion to Double</v>
      </c>
      <c r="O428" t="e">
        <f t="shared" si="12"/>
        <v>#VALUE!</v>
      </c>
    </row>
    <row r="429" spans="9:15" x14ac:dyDescent="0.2">
      <c r="I429">
        <f t="shared" si="13"/>
        <v>406</v>
      </c>
      <c r="J429" t="str">
        <v>parameter is error Conversion to Double</v>
      </c>
      <c r="K429" t="str">
        <v>parameter is error Conversion to Double</v>
      </c>
      <c r="L429" t="str">
        <v>parameter is error Conversion to Double</v>
      </c>
      <c r="M429" t="str">
        <v>parameter is error Conversion to Double</v>
      </c>
      <c r="N429" t="str">
        <v>parameter is error Conversion to Double</v>
      </c>
      <c r="O429" t="e">
        <f t="shared" si="12"/>
        <v>#VALUE!</v>
      </c>
    </row>
    <row r="430" spans="9:15" x14ac:dyDescent="0.2">
      <c r="I430">
        <f t="shared" si="13"/>
        <v>407</v>
      </c>
      <c r="J430" t="str">
        <v>parameter is error Conversion to Double</v>
      </c>
      <c r="K430" t="str">
        <v>parameter is error Conversion to Double</v>
      </c>
      <c r="L430" t="str">
        <v>parameter is error Conversion to Double</v>
      </c>
      <c r="M430" t="str">
        <v>parameter is error Conversion to Double</v>
      </c>
      <c r="N430" t="str">
        <v>parameter is error Conversion to Double</v>
      </c>
      <c r="O430" t="e">
        <f t="shared" si="12"/>
        <v>#VALUE!</v>
      </c>
    </row>
    <row r="431" spans="9:15" x14ac:dyDescent="0.2">
      <c r="I431">
        <f t="shared" si="13"/>
        <v>408</v>
      </c>
      <c r="J431" t="str">
        <v>parameter is error Conversion to Double</v>
      </c>
      <c r="K431" t="str">
        <v>parameter is error Conversion to Double</v>
      </c>
      <c r="L431" t="str">
        <v>parameter is error Conversion to Double</v>
      </c>
      <c r="M431" t="str">
        <v>parameter is error Conversion to Double</v>
      </c>
      <c r="N431" t="str">
        <v>parameter is error Conversion to Double</v>
      </c>
      <c r="O431" t="e">
        <f t="shared" si="12"/>
        <v>#VALUE!</v>
      </c>
    </row>
    <row r="432" spans="9:15" x14ac:dyDescent="0.2">
      <c r="I432">
        <f t="shared" si="13"/>
        <v>409</v>
      </c>
      <c r="J432" t="str">
        <v>parameter is error Conversion to Double</v>
      </c>
      <c r="K432" t="str">
        <v>parameter is error Conversion to Double</v>
      </c>
      <c r="L432" t="str">
        <v>parameter is error Conversion to Double</v>
      </c>
      <c r="M432" t="str">
        <v>parameter is error Conversion to Double</v>
      </c>
      <c r="N432" t="str">
        <v>parameter is error Conversion to Double</v>
      </c>
      <c r="O432" t="e">
        <f t="shared" si="12"/>
        <v>#VALUE!</v>
      </c>
    </row>
    <row r="433" spans="9:15" x14ac:dyDescent="0.2">
      <c r="I433">
        <f t="shared" si="13"/>
        <v>410</v>
      </c>
      <c r="J433" t="str">
        <v>parameter is error Conversion to Double</v>
      </c>
      <c r="K433" t="str">
        <v>parameter is error Conversion to Double</v>
      </c>
      <c r="L433" t="str">
        <v>parameter is error Conversion to Double</v>
      </c>
      <c r="M433" t="str">
        <v>parameter is error Conversion to Double</v>
      </c>
      <c r="N433" t="str">
        <v>parameter is error Conversion to Double</v>
      </c>
      <c r="O433" t="e">
        <f t="shared" si="12"/>
        <v>#VALUE!</v>
      </c>
    </row>
    <row r="434" spans="9:15" x14ac:dyDescent="0.2">
      <c r="I434">
        <f t="shared" si="13"/>
        <v>411</v>
      </c>
      <c r="J434" t="str">
        <v>parameter is error Conversion to Double</v>
      </c>
      <c r="K434" t="str">
        <v>parameter is error Conversion to Double</v>
      </c>
      <c r="L434" t="str">
        <v>parameter is error Conversion to Double</v>
      </c>
      <c r="M434" t="str">
        <v>parameter is error Conversion to Double</v>
      </c>
      <c r="N434" t="str">
        <v>parameter is error Conversion to Double</v>
      </c>
      <c r="O434" t="e">
        <f t="shared" si="12"/>
        <v>#VALUE!</v>
      </c>
    </row>
    <row r="435" spans="9:15" x14ac:dyDescent="0.2">
      <c r="I435">
        <f t="shared" si="13"/>
        <v>412</v>
      </c>
      <c r="J435" t="str">
        <v>parameter is error Conversion to Double</v>
      </c>
      <c r="K435" t="str">
        <v>parameter is error Conversion to Double</v>
      </c>
      <c r="L435" t="str">
        <v>parameter is error Conversion to Double</v>
      </c>
      <c r="M435" t="str">
        <v>parameter is error Conversion to Double</v>
      </c>
      <c r="N435" t="str">
        <v>parameter is error Conversion to Double</v>
      </c>
      <c r="O435" t="e">
        <f t="shared" si="12"/>
        <v>#VALUE!</v>
      </c>
    </row>
    <row r="436" spans="9:15" x14ac:dyDescent="0.2">
      <c r="I436">
        <f t="shared" si="13"/>
        <v>413</v>
      </c>
      <c r="J436" t="str">
        <v>parameter is error Conversion to Double</v>
      </c>
      <c r="K436" t="str">
        <v>parameter is error Conversion to Double</v>
      </c>
      <c r="L436" t="str">
        <v>parameter is error Conversion to Double</v>
      </c>
      <c r="M436" t="str">
        <v>parameter is error Conversion to Double</v>
      </c>
      <c r="N436" t="str">
        <v>parameter is error Conversion to Double</v>
      </c>
      <c r="O436" t="e">
        <f t="shared" si="12"/>
        <v>#VALUE!</v>
      </c>
    </row>
    <row r="437" spans="9:15" x14ac:dyDescent="0.2">
      <c r="I437">
        <f t="shared" si="13"/>
        <v>414</v>
      </c>
      <c r="J437" t="str">
        <v>parameter is error Conversion to Double</v>
      </c>
      <c r="K437" t="str">
        <v>parameter is error Conversion to Double</v>
      </c>
      <c r="L437" t="str">
        <v>parameter is error Conversion to Double</v>
      </c>
      <c r="M437" t="str">
        <v>parameter is error Conversion to Double</v>
      </c>
      <c r="N437" t="str">
        <v>parameter is error Conversion to Double</v>
      </c>
      <c r="O437" t="e">
        <f t="shared" si="12"/>
        <v>#VALUE!</v>
      </c>
    </row>
    <row r="438" spans="9:15" x14ac:dyDescent="0.2">
      <c r="I438">
        <f t="shared" si="13"/>
        <v>415</v>
      </c>
      <c r="J438" t="str">
        <v>parameter is error Conversion to Double</v>
      </c>
      <c r="K438" t="str">
        <v>parameter is error Conversion to Double</v>
      </c>
      <c r="L438" t="str">
        <v>parameter is error Conversion to Double</v>
      </c>
      <c r="M438" t="str">
        <v>parameter is error Conversion to Double</v>
      </c>
      <c r="N438" t="str">
        <v>parameter is error Conversion to Double</v>
      </c>
      <c r="O438" t="e">
        <f t="shared" si="12"/>
        <v>#VALUE!</v>
      </c>
    </row>
    <row r="439" spans="9:15" x14ac:dyDescent="0.2">
      <c r="I439">
        <f t="shared" si="13"/>
        <v>416</v>
      </c>
      <c r="J439" t="str">
        <v>parameter is error Conversion to Double</v>
      </c>
      <c r="K439" t="str">
        <v>parameter is error Conversion to Double</v>
      </c>
      <c r="L439" t="str">
        <v>parameter is error Conversion to Double</v>
      </c>
      <c r="M439" t="str">
        <v>parameter is error Conversion to Double</v>
      </c>
      <c r="N439" t="str">
        <v>parameter is error Conversion to Double</v>
      </c>
      <c r="O439" t="e">
        <f t="shared" si="12"/>
        <v>#VALUE!</v>
      </c>
    </row>
    <row r="440" spans="9:15" x14ac:dyDescent="0.2">
      <c r="I440">
        <f t="shared" si="13"/>
        <v>417</v>
      </c>
      <c r="J440" t="str">
        <v>parameter is error Conversion to Double</v>
      </c>
      <c r="K440" t="str">
        <v>parameter is error Conversion to Double</v>
      </c>
      <c r="L440" t="str">
        <v>parameter is error Conversion to Double</v>
      </c>
      <c r="M440" t="str">
        <v>parameter is error Conversion to Double</v>
      </c>
      <c r="N440" t="str">
        <v>parameter is error Conversion to Double</v>
      </c>
      <c r="O440" t="e">
        <f t="shared" si="12"/>
        <v>#VALUE!</v>
      </c>
    </row>
    <row r="441" spans="9:15" x14ac:dyDescent="0.2">
      <c r="I441">
        <f t="shared" si="13"/>
        <v>418</v>
      </c>
      <c r="J441" t="str">
        <v>parameter is error Conversion to Double</v>
      </c>
      <c r="K441" t="str">
        <v>parameter is error Conversion to Double</v>
      </c>
      <c r="L441" t="str">
        <v>parameter is error Conversion to Double</v>
      </c>
      <c r="M441" t="str">
        <v>parameter is error Conversion to Double</v>
      </c>
      <c r="N441" t="str">
        <v>parameter is error Conversion to Double</v>
      </c>
      <c r="O441" t="e">
        <f t="shared" si="12"/>
        <v>#VALUE!</v>
      </c>
    </row>
    <row r="442" spans="9:15" x14ac:dyDescent="0.2">
      <c r="I442">
        <f t="shared" si="13"/>
        <v>419</v>
      </c>
      <c r="J442" t="str">
        <v>parameter is error Conversion to Double</v>
      </c>
      <c r="K442" t="str">
        <v>parameter is error Conversion to Double</v>
      </c>
      <c r="L442" t="str">
        <v>parameter is error Conversion to Double</v>
      </c>
      <c r="M442" t="str">
        <v>parameter is error Conversion to Double</v>
      </c>
      <c r="N442" t="str">
        <v>parameter is error Conversion to Double</v>
      </c>
      <c r="O442" t="e">
        <f t="shared" si="12"/>
        <v>#VALUE!</v>
      </c>
    </row>
    <row r="443" spans="9:15" x14ac:dyDescent="0.2">
      <c r="I443">
        <f t="shared" si="13"/>
        <v>420</v>
      </c>
      <c r="J443" t="str">
        <v>parameter is error Conversion to Double</v>
      </c>
      <c r="K443" t="str">
        <v>parameter is error Conversion to Double</v>
      </c>
      <c r="L443" t="str">
        <v>parameter is error Conversion to Double</v>
      </c>
      <c r="M443" t="str">
        <v>parameter is error Conversion to Double</v>
      </c>
      <c r="N443" t="str">
        <v>parameter is error Conversion to Double</v>
      </c>
      <c r="O443" t="e">
        <f t="shared" si="12"/>
        <v>#VALUE!</v>
      </c>
    </row>
    <row r="444" spans="9:15" x14ac:dyDescent="0.2">
      <c r="I444">
        <f t="shared" si="13"/>
        <v>421</v>
      </c>
      <c r="J444" t="str">
        <v>parameter is error Conversion to Double</v>
      </c>
      <c r="K444" t="str">
        <v>parameter is error Conversion to Double</v>
      </c>
      <c r="L444" t="str">
        <v>parameter is error Conversion to Double</v>
      </c>
      <c r="M444" t="str">
        <v>parameter is error Conversion to Double</v>
      </c>
      <c r="N444" t="str">
        <v>parameter is error Conversion to Double</v>
      </c>
      <c r="O444" t="e">
        <f t="shared" si="12"/>
        <v>#VALUE!</v>
      </c>
    </row>
    <row r="445" spans="9:15" x14ac:dyDescent="0.2">
      <c r="I445">
        <f t="shared" si="13"/>
        <v>422</v>
      </c>
      <c r="J445" t="str">
        <v>parameter is error Conversion to Double</v>
      </c>
      <c r="K445" t="str">
        <v>parameter is error Conversion to Double</v>
      </c>
      <c r="L445" t="str">
        <v>parameter is error Conversion to Double</v>
      </c>
      <c r="M445" t="str">
        <v>parameter is error Conversion to Double</v>
      </c>
      <c r="N445" t="str">
        <v>parameter is error Conversion to Double</v>
      </c>
      <c r="O445" t="e">
        <f t="shared" si="12"/>
        <v>#VALUE!</v>
      </c>
    </row>
    <row r="446" spans="9:15" x14ac:dyDescent="0.2">
      <c r="I446">
        <f t="shared" si="13"/>
        <v>423</v>
      </c>
      <c r="J446" t="str">
        <v>parameter is error Conversion to Double</v>
      </c>
      <c r="K446" t="str">
        <v>parameter is error Conversion to Double</v>
      </c>
      <c r="L446" t="str">
        <v>parameter is error Conversion to Double</v>
      </c>
      <c r="M446" t="str">
        <v>parameter is error Conversion to Double</v>
      </c>
      <c r="N446" t="str">
        <v>parameter is error Conversion to Double</v>
      </c>
      <c r="O446" t="e">
        <f t="shared" si="12"/>
        <v>#VALUE!</v>
      </c>
    </row>
    <row r="447" spans="9:15" x14ac:dyDescent="0.2">
      <c r="I447">
        <f t="shared" si="13"/>
        <v>424</v>
      </c>
      <c r="J447" t="str">
        <v>parameter is error Conversion to Double</v>
      </c>
      <c r="K447" t="str">
        <v>parameter is error Conversion to Double</v>
      </c>
      <c r="L447" t="str">
        <v>parameter is error Conversion to Double</v>
      </c>
      <c r="M447" t="str">
        <v>parameter is error Conversion to Double</v>
      </c>
      <c r="N447" t="str">
        <v>parameter is error Conversion to Double</v>
      </c>
      <c r="O447" t="e">
        <f t="shared" si="12"/>
        <v>#VALUE!</v>
      </c>
    </row>
    <row r="448" spans="9:15" x14ac:dyDescent="0.2">
      <c r="I448">
        <f t="shared" si="13"/>
        <v>425</v>
      </c>
      <c r="J448" t="str">
        <v>parameter is error Conversion to Double</v>
      </c>
      <c r="K448" t="str">
        <v>parameter is error Conversion to Double</v>
      </c>
      <c r="L448" t="str">
        <v>parameter is error Conversion to Double</v>
      </c>
      <c r="M448" t="str">
        <v>parameter is error Conversion to Double</v>
      </c>
      <c r="N448" t="str">
        <v>parameter is error Conversion to Double</v>
      </c>
      <c r="O448" t="e">
        <f t="shared" si="12"/>
        <v>#VALUE!</v>
      </c>
    </row>
    <row r="449" spans="9:15" x14ac:dyDescent="0.2">
      <c r="I449">
        <f t="shared" si="13"/>
        <v>426</v>
      </c>
      <c r="J449" t="str">
        <v>parameter is error Conversion to Double</v>
      </c>
      <c r="K449" t="str">
        <v>parameter is error Conversion to Double</v>
      </c>
      <c r="L449" t="str">
        <v>parameter is error Conversion to Double</v>
      </c>
      <c r="M449" t="str">
        <v>parameter is error Conversion to Double</v>
      </c>
      <c r="N449" t="str">
        <v>parameter is error Conversion to Double</v>
      </c>
      <c r="O449" t="e">
        <f t="shared" si="12"/>
        <v>#VALUE!</v>
      </c>
    </row>
    <row r="450" spans="9:15" x14ac:dyDescent="0.2">
      <c r="I450">
        <f t="shared" si="13"/>
        <v>427</v>
      </c>
      <c r="J450" t="str">
        <v>parameter is error Conversion to Double</v>
      </c>
      <c r="K450" t="str">
        <v>parameter is error Conversion to Double</v>
      </c>
      <c r="L450" t="str">
        <v>parameter is error Conversion to Double</v>
      </c>
      <c r="M450" t="str">
        <v>parameter is error Conversion to Double</v>
      </c>
      <c r="N450" t="str">
        <v>parameter is error Conversion to Double</v>
      </c>
      <c r="O450" t="e">
        <f t="shared" si="12"/>
        <v>#VALUE!</v>
      </c>
    </row>
    <row r="451" spans="9:15" x14ac:dyDescent="0.2">
      <c r="I451">
        <f t="shared" si="13"/>
        <v>428</v>
      </c>
      <c r="J451" t="str">
        <v>parameter is error Conversion to Double</v>
      </c>
      <c r="K451" t="str">
        <v>parameter is error Conversion to Double</v>
      </c>
      <c r="L451" t="str">
        <v>parameter is error Conversion to Double</v>
      </c>
      <c r="M451" t="str">
        <v>parameter is error Conversion to Double</v>
      </c>
      <c r="N451" t="str">
        <v>parameter is error Conversion to Double</v>
      </c>
      <c r="O451" t="e">
        <f t="shared" si="12"/>
        <v>#VALUE!</v>
      </c>
    </row>
    <row r="452" spans="9:15" x14ac:dyDescent="0.2">
      <c r="I452">
        <f t="shared" si="13"/>
        <v>429</v>
      </c>
      <c r="J452" t="str">
        <v>parameter is error Conversion to Double</v>
      </c>
      <c r="K452" t="str">
        <v>parameter is error Conversion to Double</v>
      </c>
      <c r="L452" t="str">
        <v>parameter is error Conversion to Double</v>
      </c>
      <c r="M452" t="str">
        <v>parameter is error Conversion to Double</v>
      </c>
      <c r="N452" t="str">
        <v>parameter is error Conversion to Double</v>
      </c>
      <c r="O452" t="e">
        <f t="shared" si="12"/>
        <v>#VALUE!</v>
      </c>
    </row>
    <row r="453" spans="9:15" x14ac:dyDescent="0.2">
      <c r="I453">
        <f t="shared" si="13"/>
        <v>430</v>
      </c>
      <c r="J453" t="str">
        <v>parameter is error Conversion to Double</v>
      </c>
      <c r="K453" t="str">
        <v>parameter is error Conversion to Double</v>
      </c>
      <c r="L453" t="str">
        <v>parameter is error Conversion to Double</v>
      </c>
      <c r="M453" t="str">
        <v>parameter is error Conversion to Double</v>
      </c>
      <c r="N453" t="str">
        <v>parameter is error Conversion to Double</v>
      </c>
      <c r="O453" t="e">
        <f t="shared" si="12"/>
        <v>#VALUE!</v>
      </c>
    </row>
    <row r="454" spans="9:15" x14ac:dyDescent="0.2">
      <c r="I454">
        <f t="shared" si="13"/>
        <v>431</v>
      </c>
      <c r="J454" t="str">
        <v>parameter is error Conversion to Double</v>
      </c>
      <c r="K454" t="str">
        <v>parameter is error Conversion to Double</v>
      </c>
      <c r="L454" t="str">
        <v>parameter is error Conversion to Double</v>
      </c>
      <c r="M454" t="str">
        <v>parameter is error Conversion to Double</v>
      </c>
      <c r="N454" t="str">
        <v>parameter is error Conversion to Double</v>
      </c>
      <c r="O454" t="e">
        <f t="shared" si="12"/>
        <v>#VALUE!</v>
      </c>
    </row>
    <row r="455" spans="9:15" x14ac:dyDescent="0.2">
      <c r="I455">
        <f t="shared" si="13"/>
        <v>432</v>
      </c>
      <c r="J455" t="str">
        <v>parameter is error Conversion to Double</v>
      </c>
      <c r="K455" t="str">
        <v>parameter is error Conversion to Double</v>
      </c>
      <c r="L455" t="str">
        <v>parameter is error Conversion to Double</v>
      </c>
      <c r="M455" t="str">
        <v>parameter is error Conversion to Double</v>
      </c>
      <c r="N455" t="str">
        <v>parameter is error Conversion to Double</v>
      </c>
      <c r="O455" t="e">
        <f t="shared" si="12"/>
        <v>#VALUE!</v>
      </c>
    </row>
    <row r="456" spans="9:15" x14ac:dyDescent="0.2">
      <c r="I456">
        <f t="shared" si="13"/>
        <v>433</v>
      </c>
      <c r="J456" t="str">
        <v>parameter is error Conversion to Double</v>
      </c>
      <c r="K456" t="str">
        <v>parameter is error Conversion to Double</v>
      </c>
      <c r="L456" t="str">
        <v>parameter is error Conversion to Double</v>
      </c>
      <c r="M456" t="str">
        <v>parameter is error Conversion to Double</v>
      </c>
      <c r="N456" t="str">
        <v>parameter is error Conversion to Double</v>
      </c>
      <c r="O456" t="e">
        <f t="shared" si="12"/>
        <v>#VALUE!</v>
      </c>
    </row>
    <row r="457" spans="9:15" x14ac:dyDescent="0.2">
      <c r="I457">
        <f t="shared" si="13"/>
        <v>434</v>
      </c>
      <c r="J457" t="str">
        <v>parameter is error Conversion to Double</v>
      </c>
      <c r="K457" t="str">
        <v>parameter is error Conversion to Double</v>
      </c>
      <c r="L457" t="str">
        <v>parameter is error Conversion to Double</v>
      </c>
      <c r="M457" t="str">
        <v>parameter is error Conversion to Double</v>
      </c>
      <c r="N457" t="str">
        <v>parameter is error Conversion to Double</v>
      </c>
      <c r="O457" t="e">
        <f t="shared" si="12"/>
        <v>#VALUE!</v>
      </c>
    </row>
    <row r="458" spans="9:15" x14ac:dyDescent="0.2">
      <c r="I458">
        <f t="shared" si="13"/>
        <v>435</v>
      </c>
      <c r="J458" t="str">
        <v>parameter is error Conversion to Double</v>
      </c>
      <c r="K458" t="str">
        <v>parameter is error Conversion to Double</v>
      </c>
      <c r="L458" t="str">
        <v>parameter is error Conversion to Double</v>
      </c>
      <c r="M458" t="str">
        <v>parameter is error Conversion to Double</v>
      </c>
      <c r="N458" t="str">
        <v>parameter is error Conversion to Double</v>
      </c>
      <c r="O458" t="e">
        <f t="shared" si="12"/>
        <v>#VALUE!</v>
      </c>
    </row>
    <row r="459" spans="9:15" x14ac:dyDescent="0.2">
      <c r="I459">
        <f t="shared" si="13"/>
        <v>436</v>
      </c>
      <c r="J459" t="str">
        <v>parameter is error Conversion to Double</v>
      </c>
      <c r="K459" t="str">
        <v>parameter is error Conversion to Double</v>
      </c>
      <c r="L459" t="str">
        <v>parameter is error Conversion to Double</v>
      </c>
      <c r="M459" t="str">
        <v>parameter is error Conversion to Double</v>
      </c>
      <c r="N459" t="str">
        <v>parameter is error Conversion to Double</v>
      </c>
      <c r="O459" t="e">
        <f t="shared" si="12"/>
        <v>#VALUE!</v>
      </c>
    </row>
    <row r="460" spans="9:15" x14ac:dyDescent="0.2">
      <c r="I460">
        <f t="shared" si="13"/>
        <v>437</v>
      </c>
      <c r="J460" t="str">
        <v>parameter is error Conversion to Double</v>
      </c>
      <c r="K460" t="str">
        <v>parameter is error Conversion to Double</v>
      </c>
      <c r="L460" t="str">
        <v>parameter is error Conversion to Double</v>
      </c>
      <c r="M460" t="str">
        <v>parameter is error Conversion to Double</v>
      </c>
      <c r="N460" t="str">
        <v>parameter is error Conversion to Double</v>
      </c>
      <c r="O460" t="e">
        <f t="shared" si="12"/>
        <v>#VALUE!</v>
      </c>
    </row>
    <row r="461" spans="9:15" x14ac:dyDescent="0.2">
      <c r="I461">
        <f t="shared" si="13"/>
        <v>438</v>
      </c>
      <c r="J461" t="str">
        <v>parameter is error Conversion to Double</v>
      </c>
      <c r="K461" t="str">
        <v>parameter is error Conversion to Double</v>
      </c>
      <c r="L461" t="str">
        <v>parameter is error Conversion to Double</v>
      </c>
      <c r="M461" t="str">
        <v>parameter is error Conversion to Double</v>
      </c>
      <c r="N461" t="str">
        <v>parameter is error Conversion to Double</v>
      </c>
      <c r="O461" t="e">
        <f t="shared" si="12"/>
        <v>#VALUE!</v>
      </c>
    </row>
    <row r="462" spans="9:15" x14ac:dyDescent="0.2">
      <c r="I462">
        <f t="shared" si="13"/>
        <v>439</v>
      </c>
      <c r="J462" t="str">
        <v>parameter is error Conversion to Double</v>
      </c>
      <c r="K462" t="str">
        <v>parameter is error Conversion to Double</v>
      </c>
      <c r="L462" t="str">
        <v>parameter is error Conversion to Double</v>
      </c>
      <c r="M462" t="str">
        <v>parameter is error Conversion to Double</v>
      </c>
      <c r="N462" t="str">
        <v>parameter is error Conversion to Double</v>
      </c>
      <c r="O462" t="e">
        <f t="shared" si="12"/>
        <v>#VALUE!</v>
      </c>
    </row>
    <row r="463" spans="9:15" x14ac:dyDescent="0.2">
      <c r="I463">
        <f t="shared" si="13"/>
        <v>440</v>
      </c>
      <c r="J463" t="str">
        <v>parameter is error Conversion to Double</v>
      </c>
      <c r="K463" t="str">
        <v>parameter is error Conversion to Double</v>
      </c>
      <c r="L463" t="str">
        <v>parameter is error Conversion to Double</v>
      </c>
      <c r="M463" t="str">
        <v>parameter is error Conversion to Double</v>
      </c>
      <c r="N463" t="str">
        <v>parameter is error Conversion to Double</v>
      </c>
      <c r="O463" t="e">
        <f t="shared" si="12"/>
        <v>#VALUE!</v>
      </c>
    </row>
    <row r="464" spans="9:15" x14ac:dyDescent="0.2">
      <c r="I464">
        <f t="shared" si="13"/>
        <v>441</v>
      </c>
      <c r="J464" t="str">
        <v>parameter is error Conversion to Double</v>
      </c>
      <c r="K464" t="str">
        <v>parameter is error Conversion to Double</v>
      </c>
      <c r="L464" t="str">
        <v>parameter is error Conversion to Double</v>
      </c>
      <c r="M464" t="str">
        <v>parameter is error Conversion to Double</v>
      </c>
      <c r="N464" t="str">
        <v>parameter is error Conversion to Double</v>
      </c>
      <c r="O464" t="e">
        <f t="shared" si="12"/>
        <v>#VALUE!</v>
      </c>
    </row>
    <row r="465" spans="6:15" x14ac:dyDescent="0.2">
      <c r="I465">
        <f t="shared" si="13"/>
        <v>442</v>
      </c>
      <c r="J465" t="str">
        <v>parameter is error Conversion to Double</v>
      </c>
      <c r="K465" t="str">
        <v>parameter is error Conversion to Double</v>
      </c>
      <c r="L465" t="str">
        <v>parameter is error Conversion to Double</v>
      </c>
      <c r="M465" t="str">
        <v>parameter is error Conversion to Double</v>
      </c>
      <c r="N465" t="str">
        <v>parameter is error Conversion to Double</v>
      </c>
      <c r="O465" t="e">
        <f t="shared" si="12"/>
        <v>#VALUE!</v>
      </c>
    </row>
    <row r="466" spans="6:15" x14ac:dyDescent="0.2">
      <c r="I466">
        <f t="shared" si="13"/>
        <v>443</v>
      </c>
      <c r="J466" t="str">
        <v>parameter is error Conversion to Double</v>
      </c>
      <c r="K466" t="str">
        <v>parameter is error Conversion to Double</v>
      </c>
      <c r="L466" t="str">
        <v>parameter is error Conversion to Double</v>
      </c>
      <c r="M466" t="str">
        <v>parameter is error Conversion to Double</v>
      </c>
      <c r="N466" t="str">
        <v>parameter is error Conversion to Double</v>
      </c>
      <c r="O466" t="e">
        <f t="shared" si="12"/>
        <v>#VALUE!</v>
      </c>
    </row>
    <row r="467" spans="6:15" x14ac:dyDescent="0.2">
      <c r="I467">
        <f t="shared" si="13"/>
        <v>444</v>
      </c>
      <c r="J467" t="str">
        <v>parameter is error Conversion to Double</v>
      </c>
      <c r="K467" t="str">
        <v>parameter is error Conversion to Double</v>
      </c>
      <c r="L467" t="str">
        <v>parameter is error Conversion to Double</v>
      </c>
      <c r="M467" t="str">
        <v>parameter is error Conversion to Double</v>
      </c>
      <c r="N467" t="str">
        <v>parameter is error Conversion to Double</v>
      </c>
      <c r="O467" t="e">
        <f t="shared" si="12"/>
        <v>#VALUE!</v>
      </c>
    </row>
    <row r="468" spans="6:15" x14ac:dyDescent="0.2">
      <c r="I468">
        <f t="shared" si="13"/>
        <v>445</v>
      </c>
      <c r="J468" t="str">
        <v>parameter is error Conversion to Double</v>
      </c>
      <c r="K468" t="str">
        <v>parameter is error Conversion to Double</v>
      </c>
      <c r="L468" t="str">
        <v>parameter is error Conversion to Double</v>
      </c>
      <c r="M468" t="str">
        <v>parameter is error Conversion to Double</v>
      </c>
      <c r="N468" t="str">
        <v>parameter is error Conversion to Double</v>
      </c>
      <c r="O468" t="e">
        <f t="shared" si="12"/>
        <v>#VALUE!</v>
      </c>
    </row>
    <row r="469" spans="6:15" x14ac:dyDescent="0.2">
      <c r="I469">
        <f t="shared" si="13"/>
        <v>446</v>
      </c>
      <c r="J469" t="str">
        <v>parameter is error Conversion to Double</v>
      </c>
      <c r="K469" t="str">
        <v>parameter is error Conversion to Double</v>
      </c>
      <c r="L469" t="str">
        <v>parameter is error Conversion to Double</v>
      </c>
      <c r="M469" t="str">
        <v>parameter is error Conversion to Double</v>
      </c>
      <c r="N469" t="str">
        <v>parameter is error Conversion to Double</v>
      </c>
      <c r="O469" t="e">
        <f t="shared" si="12"/>
        <v>#VALUE!</v>
      </c>
    </row>
    <row r="470" spans="6:15" x14ac:dyDescent="0.2">
      <c r="I470">
        <f t="shared" si="13"/>
        <v>447</v>
      </c>
      <c r="J470" t="str">
        <v>parameter is error Conversion to Double</v>
      </c>
      <c r="K470" t="str">
        <v>parameter is error Conversion to Double</v>
      </c>
      <c r="L470" t="str">
        <v>parameter is error Conversion to Double</v>
      </c>
      <c r="M470" t="str">
        <v>parameter is error Conversion to Double</v>
      </c>
      <c r="N470" t="str">
        <v>parameter is error Conversion to Double</v>
      </c>
      <c r="O470" t="e">
        <f t="shared" si="12"/>
        <v>#VALUE!</v>
      </c>
    </row>
    <row r="471" spans="6:15" x14ac:dyDescent="0.2">
      <c r="I471">
        <f t="shared" si="13"/>
        <v>448</v>
      </c>
      <c r="J471" t="str">
        <v>parameter is error Conversion to Double</v>
      </c>
      <c r="K471" t="str">
        <v>parameter is error Conversion to Double</v>
      </c>
      <c r="L471" t="str">
        <v>parameter is error Conversion to Double</v>
      </c>
      <c r="M471" t="str">
        <v>parameter is error Conversion to Double</v>
      </c>
      <c r="N471" t="str">
        <v>parameter is error Conversion to Double</v>
      </c>
      <c r="O471" t="e">
        <f>M471-N471</f>
        <v>#VALUE!</v>
      </c>
    </row>
    <row r="472" spans="6:15" x14ac:dyDescent="0.2">
      <c r="I472">
        <f t="shared" si="13"/>
        <v>449</v>
      </c>
      <c r="J472" t="str">
        <v>parameter is error Conversion to Double</v>
      </c>
      <c r="K472" t="str">
        <v>parameter is error Conversion to Double</v>
      </c>
      <c r="L472" t="str">
        <v>parameter is error Conversion to Double</v>
      </c>
      <c r="M472" t="str">
        <v>parameter is error Conversion to Double</v>
      </c>
      <c r="N472" t="str">
        <v>parameter is error Conversion to Double</v>
      </c>
      <c r="O472" t="e">
        <f>M472-N472</f>
        <v>#VALUE!</v>
      </c>
    </row>
    <row r="473" spans="6:15" x14ac:dyDescent="0.2">
      <c r="I473">
        <f>I472+1</f>
        <v>450</v>
      </c>
      <c r="J473" t="str">
        <v>parameter is error Conversion to Double</v>
      </c>
      <c r="K473" t="str">
        <v>parameter is error Conversion to Double</v>
      </c>
      <c r="L473" t="str">
        <v>parameter is error Conversion to Double</v>
      </c>
      <c r="M473" t="str">
        <v>parameter is error Conversion to Double</v>
      </c>
      <c r="N473" t="str">
        <v>parameter is error Conversion to Double</v>
      </c>
      <c r="O473" t="e">
        <f>M473-N473</f>
        <v>#VALUE!</v>
      </c>
    </row>
    <row r="474" spans="6:15" x14ac:dyDescent="0.2">
      <c r="I474">
        <f>I473+1</f>
        <v>451</v>
      </c>
      <c r="J474" t="str">
        <v>parameter is error Conversion to Double</v>
      </c>
      <c r="K474" t="str">
        <v>parameter is error Conversion to Double</v>
      </c>
      <c r="L474" t="str">
        <v>parameter is error Conversion to Double</v>
      </c>
      <c r="M474" t="str">
        <v>parameter is error Conversion to Double</v>
      </c>
      <c r="N474" t="str">
        <v>parameter is error Conversion to Double</v>
      </c>
      <c r="O474" t="e">
        <f>M474-N474</f>
        <v>#VALUE!</v>
      </c>
    </row>
    <row r="479" spans="6:15" x14ac:dyDescent="0.2">
      <c r="F479" s="6" t="s">
        <v>53</v>
      </c>
      <c r="G479" s="6">
        <f>F469</f>
        <v>0</v>
      </c>
      <c r="I479" s="10"/>
      <c r="J479" s="10"/>
      <c r="K479" s="10"/>
    </row>
    <row r="480" spans="6:15" x14ac:dyDescent="0.2">
      <c r="F480" s="6" t="s">
        <v>32</v>
      </c>
      <c r="G480" s="6">
        <v>0</v>
      </c>
      <c r="I480" s="10"/>
      <c r="J480" s="10"/>
      <c r="K480" s="10"/>
    </row>
    <row r="481" spans="6:11" x14ac:dyDescent="0.2">
      <c r="F481" s="6" t="s">
        <v>33</v>
      </c>
      <c r="G481" s="6">
        <v>10000</v>
      </c>
      <c r="I481" s="10"/>
      <c r="J481" s="10"/>
      <c r="K481" s="10"/>
    </row>
    <row r="482" spans="6:11" x14ac:dyDescent="0.2">
      <c r="F482" s="6" t="s">
        <v>34</v>
      </c>
      <c r="G482" s="6">
        <v>1</v>
      </c>
      <c r="I482" s="10"/>
      <c r="J482" s="10"/>
      <c r="K482" s="10"/>
    </row>
    <row r="483" spans="6:11" x14ac:dyDescent="0.2">
      <c r="I483" s="10"/>
      <c r="J483" s="10"/>
      <c r="K483" s="10"/>
    </row>
    <row r="484" spans="6:11" x14ac:dyDescent="0.2">
      <c r="I484" s="10"/>
      <c r="J484" s="10"/>
      <c r="K484" s="10"/>
    </row>
    <row r="485" spans="6:11" x14ac:dyDescent="0.2">
      <c r="I485" s="10"/>
      <c r="J485" s="10"/>
      <c r="K485" s="10"/>
    </row>
    <row r="486" spans="6:11" x14ac:dyDescent="0.2">
      <c r="I486" s="10"/>
      <c r="J486" s="10"/>
      <c r="K486" s="10"/>
    </row>
    <row r="487" spans="6:11" x14ac:dyDescent="0.2">
      <c r="I487" s="10"/>
      <c r="J487" s="10"/>
      <c r="K487" s="10"/>
    </row>
    <row r="488" spans="6:11" x14ac:dyDescent="0.2">
      <c r="I488" s="10"/>
      <c r="J488" s="10"/>
      <c r="K488" s="10"/>
    </row>
    <row r="489" spans="6:11" x14ac:dyDescent="0.2">
      <c r="I489" s="10"/>
      <c r="J489" s="10"/>
      <c r="K489" s="10"/>
    </row>
    <row r="490" spans="6:11" x14ac:dyDescent="0.2">
      <c r="I490" s="10"/>
      <c r="J490" s="10"/>
      <c r="K490" s="10"/>
    </row>
    <row r="491" spans="6:11" x14ac:dyDescent="0.2">
      <c r="I491" s="10"/>
      <c r="J491" s="10"/>
      <c r="K491" s="10"/>
    </row>
    <row r="492" spans="6:11" x14ac:dyDescent="0.2">
      <c r="I492" s="10"/>
      <c r="J492" s="10"/>
      <c r="K492" s="10"/>
    </row>
    <row r="493" spans="6:11" x14ac:dyDescent="0.2">
      <c r="I493" s="10"/>
      <c r="J493" s="10"/>
      <c r="K493" s="10"/>
    </row>
    <row r="494" spans="6:11" x14ac:dyDescent="0.2">
      <c r="I494" s="10"/>
      <c r="J494" s="10"/>
      <c r="K494" s="10"/>
    </row>
    <row r="495" spans="6:11" x14ac:dyDescent="0.2">
      <c r="I495" s="10"/>
      <c r="J495" s="10"/>
      <c r="K495" s="10"/>
    </row>
    <row r="496" spans="6:11" x14ac:dyDescent="0.2">
      <c r="I496" s="10"/>
      <c r="J496" s="10"/>
      <c r="K496" s="10"/>
    </row>
    <row r="497" spans="9:11" x14ac:dyDescent="0.2">
      <c r="I497" s="10"/>
      <c r="J497" s="10"/>
      <c r="K497" s="10"/>
    </row>
    <row r="498" spans="9:11" x14ac:dyDescent="0.2">
      <c r="I498" s="10"/>
      <c r="J498" s="10"/>
      <c r="K498" s="10"/>
    </row>
    <row r="499" spans="9:11" x14ac:dyDescent="0.2">
      <c r="I499" s="10"/>
      <c r="J499" s="10"/>
      <c r="K499" s="10"/>
    </row>
    <row r="500" spans="9:11" x14ac:dyDescent="0.2">
      <c r="I500" s="10"/>
      <c r="J500" s="10"/>
      <c r="K500" s="10"/>
    </row>
    <row r="501" spans="9:11" x14ac:dyDescent="0.2">
      <c r="I501" s="10"/>
      <c r="J501" s="10"/>
      <c r="K501" s="10"/>
    </row>
    <row r="502" spans="9:11" x14ac:dyDescent="0.2">
      <c r="I502" s="10"/>
      <c r="J502" s="10"/>
      <c r="K502" s="10"/>
    </row>
    <row r="503" spans="9:11" x14ac:dyDescent="0.2">
      <c r="I503" s="10"/>
      <c r="J503" s="10"/>
      <c r="K503" s="10"/>
    </row>
    <row r="504" spans="9:11" x14ac:dyDescent="0.2">
      <c r="I504" s="10"/>
      <c r="J504" s="10"/>
      <c r="K504" s="10"/>
    </row>
    <row r="505" spans="9:11" x14ac:dyDescent="0.2">
      <c r="I505" s="10"/>
      <c r="J505" s="10"/>
      <c r="K505" s="10"/>
    </row>
    <row r="506" spans="9:11" x14ac:dyDescent="0.2">
      <c r="I506" s="10"/>
      <c r="J506" s="10"/>
      <c r="K506" s="10"/>
    </row>
    <row r="507" spans="9:11" x14ac:dyDescent="0.2">
      <c r="I507" s="10"/>
      <c r="J507" s="10"/>
      <c r="K507" s="10"/>
    </row>
    <row r="508" spans="9:11" x14ac:dyDescent="0.2">
      <c r="I508" s="10"/>
      <c r="J508" s="10"/>
      <c r="K508" s="10"/>
    </row>
    <row r="509" spans="9:11" x14ac:dyDescent="0.2">
      <c r="I509" s="10"/>
      <c r="J509" s="10"/>
      <c r="K509" s="10"/>
    </row>
    <row r="510" spans="9:11" x14ac:dyDescent="0.2">
      <c r="I510" s="10"/>
      <c r="J510" s="10"/>
      <c r="K510" s="10"/>
    </row>
  </sheetData>
  <pageMargins left="0.75" right="0.75" top="1" bottom="1" header="0.4921259845" footer="0.492125984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Q17"/>
  <sheetViews>
    <sheetView workbookViewId="0">
      <selection activeCell="J7" sqref="J7"/>
    </sheetView>
  </sheetViews>
  <sheetFormatPr defaultRowHeight="12.75" x14ac:dyDescent="0.2"/>
  <sheetData>
    <row r="2" spans="2:17" x14ac:dyDescent="0.2"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  <c r="P2">
        <v>11</v>
      </c>
      <c r="Q2">
        <v>12</v>
      </c>
    </row>
    <row r="3" spans="2:17" x14ac:dyDescent="0.2">
      <c r="B3" s="15" t="s">
        <v>91</v>
      </c>
      <c r="C3" s="15" t="s">
        <v>92</v>
      </c>
      <c r="E3">
        <v>1</v>
      </c>
      <c r="F3" s="6">
        <v>1000</v>
      </c>
      <c r="G3" s="6">
        <v>1000</v>
      </c>
      <c r="H3" s="6">
        <v>8</v>
      </c>
      <c r="I3" s="6">
        <v>1000</v>
      </c>
      <c r="J3" s="6">
        <v>1000</v>
      </c>
      <c r="K3" s="6">
        <v>1000</v>
      </c>
      <c r="L3" s="6">
        <v>1000</v>
      </c>
      <c r="M3" s="6">
        <v>2</v>
      </c>
      <c r="N3" s="6">
        <v>1000</v>
      </c>
      <c r="O3" s="6">
        <v>1000</v>
      </c>
      <c r="P3" s="6">
        <v>1000</v>
      </c>
      <c r="Q3" s="6">
        <v>1000</v>
      </c>
    </row>
    <row r="4" spans="2:17" x14ac:dyDescent="0.2">
      <c r="B4" s="15" t="s">
        <v>93</v>
      </c>
      <c r="C4" s="6">
        <v>1</v>
      </c>
      <c r="E4">
        <v>2</v>
      </c>
      <c r="F4" s="6">
        <v>1000</v>
      </c>
      <c r="G4" s="6">
        <v>1000</v>
      </c>
      <c r="H4" s="6">
        <v>1000</v>
      </c>
      <c r="I4" s="6">
        <v>1000</v>
      </c>
      <c r="J4" s="6">
        <v>1000</v>
      </c>
      <c r="K4" s="6">
        <v>3</v>
      </c>
      <c r="L4" s="6">
        <v>1000</v>
      </c>
      <c r="M4" s="6">
        <v>1000</v>
      </c>
      <c r="N4" s="6">
        <v>1000</v>
      </c>
      <c r="O4" s="6">
        <v>1000</v>
      </c>
      <c r="P4" s="6">
        <v>1000</v>
      </c>
      <c r="Q4" s="6">
        <v>1000</v>
      </c>
    </row>
    <row r="5" spans="2:17" x14ac:dyDescent="0.2">
      <c r="E5">
        <v>3</v>
      </c>
      <c r="F5" s="6">
        <v>1000</v>
      </c>
      <c r="G5" s="6">
        <v>1000</v>
      </c>
      <c r="H5" s="6">
        <v>1000</v>
      </c>
      <c r="I5" s="6">
        <v>5</v>
      </c>
      <c r="J5" s="6">
        <v>1000</v>
      </c>
      <c r="K5" s="6">
        <v>1000</v>
      </c>
      <c r="L5" s="6">
        <v>7</v>
      </c>
      <c r="M5" s="6">
        <v>1000</v>
      </c>
      <c r="N5" s="6">
        <v>1000</v>
      </c>
      <c r="O5" s="6">
        <v>1000</v>
      </c>
      <c r="P5" s="6">
        <v>1000</v>
      </c>
      <c r="Q5" s="6">
        <v>1000</v>
      </c>
    </row>
    <row r="6" spans="2:17" x14ac:dyDescent="0.2">
      <c r="E6">
        <v>4</v>
      </c>
      <c r="F6" s="6">
        <v>1000</v>
      </c>
      <c r="G6" s="6">
        <v>1</v>
      </c>
      <c r="H6" s="6">
        <v>1000</v>
      </c>
      <c r="I6" s="6">
        <v>1000</v>
      </c>
      <c r="J6" s="6">
        <v>1000</v>
      </c>
      <c r="K6" s="6">
        <v>1000</v>
      </c>
      <c r="L6" s="6">
        <v>1000</v>
      </c>
      <c r="M6" s="6">
        <v>1000</v>
      </c>
      <c r="N6" s="6">
        <v>1000</v>
      </c>
      <c r="O6" s="6">
        <v>1000</v>
      </c>
      <c r="P6" s="6">
        <v>1000</v>
      </c>
      <c r="Q6" s="6">
        <v>1000</v>
      </c>
    </row>
    <row r="7" spans="2:17" x14ac:dyDescent="0.2">
      <c r="E7">
        <v>5</v>
      </c>
      <c r="F7" s="6">
        <v>1000</v>
      </c>
      <c r="G7" s="6">
        <v>1000</v>
      </c>
      <c r="H7" s="6">
        <v>1000</v>
      </c>
      <c r="I7" s="6">
        <v>1000</v>
      </c>
      <c r="J7" s="6">
        <v>1000</v>
      </c>
      <c r="K7" s="6">
        <v>1000</v>
      </c>
      <c r="L7" s="6">
        <v>1000</v>
      </c>
      <c r="M7" s="6">
        <v>1000</v>
      </c>
      <c r="N7" s="6">
        <v>1000</v>
      </c>
      <c r="O7" s="6">
        <v>1000</v>
      </c>
      <c r="P7" s="6">
        <v>1000</v>
      </c>
      <c r="Q7" s="6">
        <v>1000</v>
      </c>
    </row>
    <row r="8" spans="2:17" x14ac:dyDescent="0.2">
      <c r="E8">
        <v>6</v>
      </c>
      <c r="F8" s="6">
        <v>1000</v>
      </c>
      <c r="G8" s="6">
        <v>1000</v>
      </c>
      <c r="H8" s="6">
        <v>1000</v>
      </c>
      <c r="I8" s="6">
        <v>1000</v>
      </c>
      <c r="J8" s="6">
        <v>1000</v>
      </c>
      <c r="K8" s="6">
        <v>1000</v>
      </c>
      <c r="L8" s="6">
        <v>1000</v>
      </c>
      <c r="M8" s="6">
        <v>1000</v>
      </c>
      <c r="N8" s="6">
        <v>1000</v>
      </c>
      <c r="O8" s="6">
        <v>1000</v>
      </c>
      <c r="P8" s="6">
        <v>3</v>
      </c>
      <c r="Q8" s="6">
        <v>1000</v>
      </c>
    </row>
    <row r="9" spans="2:17" x14ac:dyDescent="0.2">
      <c r="E9">
        <v>7</v>
      </c>
      <c r="F9" s="6">
        <v>1000</v>
      </c>
      <c r="G9" s="6">
        <v>1000</v>
      </c>
      <c r="H9" s="6">
        <v>1000</v>
      </c>
      <c r="I9" s="6">
        <v>1000</v>
      </c>
      <c r="J9" s="6">
        <v>4</v>
      </c>
      <c r="K9" s="6">
        <v>1</v>
      </c>
      <c r="L9" s="6">
        <v>1000</v>
      </c>
      <c r="M9" s="6">
        <v>1000</v>
      </c>
      <c r="N9" s="6">
        <v>1000</v>
      </c>
      <c r="O9" s="6">
        <v>1000</v>
      </c>
      <c r="P9" s="6">
        <v>2</v>
      </c>
      <c r="Q9" s="6">
        <v>15</v>
      </c>
    </row>
    <row r="10" spans="2:17" x14ac:dyDescent="0.2">
      <c r="E10">
        <v>8</v>
      </c>
      <c r="F10" s="6">
        <v>1000</v>
      </c>
      <c r="G10" s="6">
        <v>1000</v>
      </c>
      <c r="H10" s="6">
        <v>1000</v>
      </c>
      <c r="I10" s="6">
        <v>1000</v>
      </c>
      <c r="J10" s="6">
        <v>1000</v>
      </c>
      <c r="K10" s="6">
        <v>1000</v>
      </c>
      <c r="L10" s="6">
        <v>1000</v>
      </c>
      <c r="M10" s="6">
        <v>1000</v>
      </c>
      <c r="N10" s="6">
        <v>1000</v>
      </c>
      <c r="O10" s="6">
        <v>3</v>
      </c>
      <c r="P10" s="6">
        <v>1000</v>
      </c>
      <c r="Q10" s="6">
        <v>1000</v>
      </c>
    </row>
    <row r="11" spans="2:17" x14ac:dyDescent="0.2">
      <c r="E11">
        <v>9</v>
      </c>
      <c r="F11" s="6">
        <v>1000</v>
      </c>
      <c r="G11" s="6">
        <v>1000</v>
      </c>
      <c r="H11" s="6">
        <v>1000</v>
      </c>
      <c r="I11" s="6">
        <v>1000</v>
      </c>
      <c r="J11" s="6">
        <v>6</v>
      </c>
      <c r="K11" s="6">
        <v>1000</v>
      </c>
      <c r="L11" s="6">
        <v>1000</v>
      </c>
      <c r="M11" s="6">
        <v>1000</v>
      </c>
      <c r="N11" s="6">
        <v>1000</v>
      </c>
      <c r="O11" s="6">
        <v>1000</v>
      </c>
      <c r="P11" s="6">
        <v>1</v>
      </c>
      <c r="Q11" s="6">
        <v>1000</v>
      </c>
    </row>
    <row r="12" spans="2:17" x14ac:dyDescent="0.2">
      <c r="E12">
        <v>10</v>
      </c>
      <c r="F12" s="6">
        <v>1000</v>
      </c>
      <c r="G12" s="6">
        <v>1000</v>
      </c>
      <c r="H12" s="6">
        <v>1</v>
      </c>
      <c r="I12" s="6">
        <v>1000</v>
      </c>
      <c r="J12" s="6">
        <v>1000</v>
      </c>
      <c r="K12" s="6">
        <v>1000</v>
      </c>
      <c r="L12" s="6">
        <v>1000</v>
      </c>
      <c r="M12" s="6">
        <v>1000</v>
      </c>
      <c r="N12" s="6">
        <v>1000</v>
      </c>
      <c r="O12" s="6">
        <v>1000</v>
      </c>
      <c r="P12" s="6">
        <v>1000</v>
      </c>
      <c r="Q12" s="6">
        <v>1000</v>
      </c>
    </row>
    <row r="13" spans="2:17" x14ac:dyDescent="0.2">
      <c r="E13">
        <v>11</v>
      </c>
      <c r="F13" s="6">
        <v>1000</v>
      </c>
      <c r="G13" s="6">
        <v>1</v>
      </c>
      <c r="H13" s="6">
        <v>1000</v>
      </c>
      <c r="I13" s="6">
        <v>1000</v>
      </c>
      <c r="J13" s="6">
        <v>1000</v>
      </c>
      <c r="K13" s="6">
        <v>1000</v>
      </c>
      <c r="L13" s="6">
        <v>1000</v>
      </c>
      <c r="M13" s="6">
        <v>1000</v>
      </c>
      <c r="N13" s="6">
        <v>1000</v>
      </c>
      <c r="O13" s="6">
        <v>1000</v>
      </c>
      <c r="P13" s="6">
        <v>1000</v>
      </c>
      <c r="Q13" s="6">
        <v>1000</v>
      </c>
    </row>
    <row r="14" spans="2:17" x14ac:dyDescent="0.2">
      <c r="E14">
        <v>12</v>
      </c>
      <c r="F14" s="6">
        <v>1000</v>
      </c>
      <c r="G14" s="6">
        <v>1000</v>
      </c>
      <c r="H14" s="6">
        <v>1000</v>
      </c>
      <c r="I14" s="6">
        <v>1000</v>
      </c>
      <c r="J14" s="6">
        <v>1000</v>
      </c>
      <c r="K14" s="6">
        <v>1000</v>
      </c>
      <c r="L14" s="6">
        <v>1000</v>
      </c>
      <c r="M14" s="6">
        <v>1000</v>
      </c>
      <c r="N14" s="6">
        <v>4</v>
      </c>
      <c r="O14" s="6">
        <v>5</v>
      </c>
      <c r="P14" s="6">
        <v>1000</v>
      </c>
      <c r="Q14" s="6">
        <v>1000</v>
      </c>
    </row>
    <row r="17" spans="6:6" x14ac:dyDescent="0.2">
      <c r="F17" s="6">
        <f>_xll.GraphAlgoTest(B3:C4, F3:Q14)</f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C5"/>
  <sheetViews>
    <sheetView workbookViewId="0">
      <selection activeCell="C12" sqref="C12"/>
    </sheetView>
  </sheetViews>
  <sheetFormatPr defaultRowHeight="12.75" x14ac:dyDescent="0.2"/>
  <sheetData>
    <row r="4" spans="2:3" x14ac:dyDescent="0.2">
      <c r="B4" s="13" t="s">
        <v>95</v>
      </c>
      <c r="C4" s="13" t="s">
        <v>94</v>
      </c>
    </row>
    <row r="5" spans="2:3" x14ac:dyDescent="0.2">
      <c r="B5" s="13" t="s">
        <v>96</v>
      </c>
      <c r="C5">
        <f>_xll.OpenImageFile(C4)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K24"/>
  <sheetViews>
    <sheetView workbookViewId="0">
      <selection activeCell="E30" sqref="E30"/>
    </sheetView>
  </sheetViews>
  <sheetFormatPr defaultRowHeight="12.75" x14ac:dyDescent="0.2"/>
  <cols>
    <col min="3" max="3" width="14.140625" customWidth="1"/>
    <col min="8" max="8" width="33.85546875" bestFit="1" customWidth="1"/>
  </cols>
  <sheetData>
    <row r="2" spans="1:11" x14ac:dyDescent="0.2">
      <c r="B2" s="11" t="s">
        <v>65</v>
      </c>
      <c r="C2" s="13"/>
    </row>
    <row r="3" spans="1:11" x14ac:dyDescent="0.2">
      <c r="B3" t="s">
        <v>20</v>
      </c>
      <c r="C3" s="13" t="s">
        <v>97</v>
      </c>
    </row>
    <row r="5" spans="1:11" x14ac:dyDescent="0.2">
      <c r="B5" t="s">
        <v>29</v>
      </c>
      <c r="C5" s="10" t="str">
        <f>_xll.TimeSeries("mapTextFile",C3)</f>
        <v>File is too big</v>
      </c>
      <c r="K5" s="10" t="str">
        <f>_xll.TimeSeries("displayCSVFile",C3)</f>
        <v>Unknown command.</v>
      </c>
    </row>
    <row r="6" spans="1:11" ht="13.5" thickBot="1" x14ac:dyDescent="0.25"/>
    <row r="7" spans="1:11" x14ac:dyDescent="0.2">
      <c r="B7" t="s">
        <v>30</v>
      </c>
      <c r="C7" s="16" t="str">
        <f t="array" ref="C7:D9">_xll.TimeSeries("info",C5)</f>
        <v>command failed Conversion to Int</v>
      </c>
      <c r="D7" s="17" t="str">
        <v>command failed Conversion to Int</v>
      </c>
    </row>
    <row r="8" spans="1:11" x14ac:dyDescent="0.2">
      <c r="C8" s="18" t="str">
        <v>command failed Conversion to Int</v>
      </c>
      <c r="D8" s="19" t="str">
        <v>command failed Conversion to Int</v>
      </c>
    </row>
    <row r="9" spans="1:11" ht="13.5" thickBot="1" x14ac:dyDescent="0.25">
      <c r="C9" s="20" t="str">
        <v>command failed Conversion to Int</v>
      </c>
      <c r="D9" s="21" t="str">
        <v>command failed Conversion to Int</v>
      </c>
    </row>
    <row r="15" spans="1:11" x14ac:dyDescent="0.2">
      <c r="A15" t="s">
        <v>31</v>
      </c>
      <c r="G15" s="13" t="s">
        <v>99</v>
      </c>
    </row>
    <row r="16" spans="1:11" x14ac:dyDescent="0.2">
      <c r="B16" s="6" t="s">
        <v>53</v>
      </c>
      <c r="C16" s="6" t="str">
        <f>C5</f>
        <v>File is too big</v>
      </c>
      <c r="H16" s="10" t="str">
        <f t="array" ref="H16:H24">_xll.TimeSeries("list",B16:C19)</f>
        <v>Invalid handle.</v>
      </c>
    </row>
    <row r="17" spans="2:8" x14ac:dyDescent="0.2">
      <c r="B17" s="6" t="s">
        <v>32</v>
      </c>
      <c r="C17" s="6">
        <v>0</v>
      </c>
      <c r="H17" s="10" t="str">
        <v>Invalid handle.</v>
      </c>
    </row>
    <row r="18" spans="2:8" x14ac:dyDescent="0.2">
      <c r="B18" s="6" t="s">
        <v>33</v>
      </c>
      <c r="C18" s="6">
        <v>7</v>
      </c>
      <c r="H18" s="10" t="str">
        <v>Invalid handle.</v>
      </c>
    </row>
    <row r="19" spans="2:8" x14ac:dyDescent="0.2">
      <c r="B19" s="6" t="s">
        <v>34</v>
      </c>
      <c r="C19" s="6">
        <v>1</v>
      </c>
      <c r="H19" s="10" t="str">
        <v>Invalid handle.</v>
      </c>
    </row>
    <row r="20" spans="2:8" x14ac:dyDescent="0.2">
      <c r="H20" s="10" t="str">
        <v>Invalid handle.</v>
      </c>
    </row>
    <row r="21" spans="2:8" x14ac:dyDescent="0.2">
      <c r="B21" s="13" t="s">
        <v>98</v>
      </c>
      <c r="H21" s="10" t="str">
        <v>Invalid handle.</v>
      </c>
    </row>
    <row r="22" spans="2:8" x14ac:dyDescent="0.2">
      <c r="C22" s="10" t="str">
        <f>_xll.TimeSeries("OpenCSVFile",C3)</f>
        <v>File is too big</v>
      </c>
      <c r="H22" s="10" t="str">
        <v>Invalid handle.</v>
      </c>
    </row>
    <row r="23" spans="2:8" x14ac:dyDescent="0.2">
      <c r="H23" s="10" t="str">
        <v>Invalid handle.</v>
      </c>
    </row>
    <row r="24" spans="2:8" x14ac:dyDescent="0.2">
      <c r="H24" s="10" t="str">
        <v>Invalid handle.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J24"/>
  <sheetViews>
    <sheetView workbookViewId="0">
      <selection activeCell="E6" sqref="E6"/>
    </sheetView>
  </sheetViews>
  <sheetFormatPr defaultRowHeight="12.75" x14ac:dyDescent="0.2"/>
  <cols>
    <col min="2" max="2" width="18.28515625" bestFit="1" customWidth="1"/>
    <col min="5" max="5" width="13.140625" bestFit="1" customWidth="1"/>
  </cols>
  <sheetData>
    <row r="3" spans="2:10" x14ac:dyDescent="0.2">
      <c r="E3" t="s">
        <v>100</v>
      </c>
    </row>
    <row r="4" spans="2:10" x14ac:dyDescent="0.2">
      <c r="B4">
        <v>1</v>
      </c>
      <c r="C4">
        <v>2</v>
      </c>
      <c r="E4">
        <f t="array" aca="1" ref="E4:E7" ca="1">_xll.MergeSortRemoveDuplicates(B4:B8,C4:C7)</f>
        <v>1</v>
      </c>
      <c r="J4" s="13" t="s">
        <v>15</v>
      </c>
    </row>
    <row r="5" spans="2:10" x14ac:dyDescent="0.2">
      <c r="B5">
        <v>2</v>
      </c>
      <c r="C5">
        <v>4</v>
      </c>
      <c r="E5">
        <f ca="1"/>
        <v>6</v>
      </c>
      <c r="J5" s="13" t="s">
        <v>103</v>
      </c>
    </row>
    <row r="6" spans="2:10" x14ac:dyDescent="0.2">
      <c r="B6">
        <v>4</v>
      </c>
      <c r="C6">
        <v>6</v>
      </c>
      <c r="E6">
        <f ca="1"/>
        <v>8</v>
      </c>
      <c r="J6" s="13" t="s">
        <v>104</v>
      </c>
    </row>
    <row r="7" spans="2:10" x14ac:dyDescent="0.2">
      <c r="B7">
        <v>7</v>
      </c>
      <c r="C7">
        <v>7</v>
      </c>
      <c r="E7" t="e">
        <f ca="1"/>
        <v>#N/A</v>
      </c>
      <c r="J7" s="13" t="s">
        <v>105</v>
      </c>
    </row>
    <row r="8" spans="2:10" x14ac:dyDescent="0.2">
      <c r="B8">
        <v>8</v>
      </c>
      <c r="J8" s="13" t="s">
        <v>104</v>
      </c>
    </row>
    <row r="9" spans="2:10" x14ac:dyDescent="0.2">
      <c r="J9" s="13" t="s">
        <v>15</v>
      </c>
    </row>
    <row r="10" spans="2:10" x14ac:dyDescent="0.2">
      <c r="E10" s="13" t="s">
        <v>101</v>
      </c>
      <c r="J10" s="13" t="s">
        <v>15</v>
      </c>
    </row>
    <row r="11" spans="2:10" x14ac:dyDescent="0.2">
      <c r="E11">
        <f t="array" ref="E11:E14">_xll.MergeSortDuplicatesOnly(B4:B8,C4:C7)</f>
        <v>2</v>
      </c>
    </row>
    <row r="12" spans="2:10" x14ac:dyDescent="0.2">
      <c r="E12">
        <v>4</v>
      </c>
    </row>
    <row r="13" spans="2:10" x14ac:dyDescent="0.2">
      <c r="E13">
        <v>7</v>
      </c>
    </row>
    <row r="14" spans="2:10" x14ac:dyDescent="0.2">
      <c r="E14" t="e">
        <v>#N/A</v>
      </c>
    </row>
    <row r="16" spans="2:10" x14ac:dyDescent="0.2">
      <c r="C16" s="13" t="s">
        <v>102</v>
      </c>
    </row>
    <row r="17" spans="2:3" x14ac:dyDescent="0.2">
      <c r="C17" t="str">
        <f>_xll.FrequencyDistribution(J4:J10)</f>
        <v>tta</v>
      </c>
    </row>
    <row r="19" spans="2:3" x14ac:dyDescent="0.2">
      <c r="B19" s="13" t="s">
        <v>106</v>
      </c>
    </row>
    <row r="20" spans="2:3" x14ac:dyDescent="0.2">
      <c r="B20" t="str">
        <f>_xll.md5file(B19)</f>
        <v>46E52A62EC662859A5EF8A6049C780A8</v>
      </c>
    </row>
    <row r="24" spans="2:3" x14ac:dyDescent="0.2">
      <c r="B24" t="e">
        <f>fre</f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S4478"/>
  <sheetViews>
    <sheetView workbookViewId="0">
      <selection activeCell="C7" sqref="C7"/>
    </sheetView>
  </sheetViews>
  <sheetFormatPr defaultRowHeight="12.75" x14ac:dyDescent="0.2"/>
  <cols>
    <col min="1" max="1" width="10.85546875" bestFit="1" customWidth="1"/>
    <col min="2" max="2" width="35.28515625" bestFit="1" customWidth="1"/>
    <col min="3" max="3" width="113.42578125" customWidth="1"/>
  </cols>
  <sheetData>
    <row r="3" spans="2:123" x14ac:dyDescent="0.2">
      <c r="B3" s="15" t="s">
        <v>107</v>
      </c>
      <c r="C3" s="13" t="s">
        <v>8729</v>
      </c>
      <c r="D3" s="13"/>
      <c r="E3" s="13"/>
    </row>
    <row r="4" spans="2:123" x14ac:dyDescent="0.2">
      <c r="B4" s="15" t="s">
        <v>108</v>
      </c>
      <c r="C4" s="13" t="s">
        <v>8733</v>
      </c>
      <c r="D4" s="13"/>
      <c r="E4" s="13"/>
    </row>
    <row r="5" spans="2:123" x14ac:dyDescent="0.2">
      <c r="B5" s="15"/>
      <c r="C5" s="15"/>
    </row>
    <row r="6" spans="2:123" x14ac:dyDescent="0.2">
      <c r="B6" s="15" t="s">
        <v>109</v>
      </c>
      <c r="C6" s="15">
        <f>_xll.EditDistance(C3,C4,0)</f>
        <v>140</v>
      </c>
      <c r="D6" s="13"/>
      <c r="E6" s="13"/>
    </row>
    <row r="7" spans="2:123" x14ac:dyDescent="0.2">
      <c r="B7" s="15"/>
      <c r="C7" s="15">
        <f>_xll.EditDistance(C3,C4,2)</f>
        <v>18</v>
      </c>
      <c r="D7" s="13"/>
      <c r="E7" s="13"/>
    </row>
    <row r="8" spans="2:123" x14ac:dyDescent="0.2">
      <c r="D8" s="13"/>
      <c r="E8" s="13"/>
      <c r="F8" s="13" t="s">
        <v>8728</v>
      </c>
    </row>
    <row r="10" spans="2:123" x14ac:dyDescent="0.2">
      <c r="B10" t="s">
        <v>2004</v>
      </c>
      <c r="C10" t="s">
        <v>2005</v>
      </c>
      <c r="D10" s="13">
        <f>_xll.EditDistance($C$3,C10,2)</f>
        <v>10</v>
      </c>
      <c r="E10" s="13"/>
      <c r="F10" s="13"/>
    </row>
    <row r="11" spans="2:123" x14ac:dyDescent="0.2">
      <c r="B11" t="s">
        <v>2957</v>
      </c>
      <c r="C11" t="s">
        <v>2958</v>
      </c>
      <c r="D11" s="13">
        <f>_xll.EditDistance($C$3,C11,2)</f>
        <v>20</v>
      </c>
      <c r="E11" s="13"/>
      <c r="DS11" s="13" t="s">
        <v>8727</v>
      </c>
    </row>
    <row r="12" spans="2:123" x14ac:dyDescent="0.2">
      <c r="B12" s="22" t="s">
        <v>3138</v>
      </c>
      <c r="C12" t="s">
        <v>3140</v>
      </c>
      <c r="D12" s="13">
        <f>_xll.EditDistance($C$3,C12,2)</f>
        <v>20</v>
      </c>
      <c r="E12" s="13"/>
      <c r="G12" s="6">
        <f t="array" ref="G12:DS25">_xll.EditDistance(C3,C4,2)</f>
        <v>18</v>
      </c>
      <c r="H12" s="6">
        <v>18</v>
      </c>
      <c r="I12" s="6">
        <v>18</v>
      </c>
      <c r="J12" s="6">
        <v>18</v>
      </c>
      <c r="K12" s="6">
        <v>18</v>
      </c>
      <c r="L12" s="6">
        <v>18</v>
      </c>
      <c r="M12" s="6">
        <v>18</v>
      </c>
      <c r="N12" s="6">
        <v>18</v>
      </c>
      <c r="O12" s="6">
        <v>18</v>
      </c>
      <c r="P12" s="6">
        <v>18</v>
      </c>
      <c r="Q12" s="6">
        <v>18</v>
      </c>
      <c r="R12" s="6">
        <v>18</v>
      </c>
      <c r="S12" s="6">
        <v>18</v>
      </c>
      <c r="T12" s="6">
        <v>18</v>
      </c>
      <c r="U12" s="6">
        <v>18</v>
      </c>
      <c r="V12" s="6">
        <v>18</v>
      </c>
      <c r="W12" s="6">
        <v>18</v>
      </c>
      <c r="X12" s="6">
        <v>18</v>
      </c>
      <c r="Y12" s="6">
        <v>18</v>
      </c>
      <c r="Z12" s="6">
        <v>18</v>
      </c>
      <c r="AA12" s="6">
        <v>18</v>
      </c>
      <c r="AB12" s="6">
        <v>18</v>
      </c>
      <c r="AC12" s="6">
        <v>18</v>
      </c>
      <c r="AD12" s="6">
        <v>18</v>
      </c>
      <c r="AE12" s="6">
        <v>18</v>
      </c>
      <c r="AF12" s="6">
        <v>18</v>
      </c>
      <c r="AG12" s="6">
        <v>18</v>
      </c>
      <c r="AH12" s="6">
        <v>18</v>
      </c>
      <c r="AI12" s="6">
        <v>18</v>
      </c>
      <c r="AJ12" s="6">
        <v>18</v>
      </c>
      <c r="AK12" s="6">
        <v>18</v>
      </c>
      <c r="AL12" s="6">
        <v>18</v>
      </c>
      <c r="AM12" s="6">
        <v>18</v>
      </c>
      <c r="AN12" s="6">
        <v>18</v>
      </c>
      <c r="AO12" s="6">
        <v>18</v>
      </c>
      <c r="AP12" s="6">
        <v>18</v>
      </c>
      <c r="AQ12" s="6">
        <v>18</v>
      </c>
      <c r="AR12" s="6">
        <v>18</v>
      </c>
      <c r="AS12" s="6">
        <v>18</v>
      </c>
      <c r="AT12" s="6">
        <v>18</v>
      </c>
      <c r="AU12" s="6">
        <v>18</v>
      </c>
      <c r="AV12" s="6">
        <v>18</v>
      </c>
      <c r="AW12" s="6">
        <v>18</v>
      </c>
      <c r="AX12" s="6">
        <v>18</v>
      </c>
      <c r="AY12" s="6">
        <v>18</v>
      </c>
      <c r="AZ12" s="6">
        <v>18</v>
      </c>
      <c r="BA12" s="6">
        <v>18</v>
      </c>
      <c r="BB12" s="6">
        <v>18</v>
      </c>
      <c r="BC12" s="6">
        <v>18</v>
      </c>
      <c r="BD12" s="6">
        <v>18</v>
      </c>
      <c r="BE12" s="6">
        <v>18</v>
      </c>
      <c r="BF12" s="6">
        <v>18</v>
      </c>
      <c r="BG12" s="6">
        <v>18</v>
      </c>
      <c r="BH12" s="6">
        <v>18</v>
      </c>
      <c r="BI12" s="6">
        <v>18</v>
      </c>
      <c r="BJ12" s="6">
        <v>18</v>
      </c>
      <c r="BK12" s="6">
        <v>18</v>
      </c>
      <c r="BL12" s="6">
        <v>18</v>
      </c>
      <c r="BM12" s="6">
        <v>18</v>
      </c>
      <c r="BN12" s="6">
        <v>18</v>
      </c>
      <c r="BO12" s="6">
        <v>18</v>
      </c>
      <c r="BP12" s="6">
        <v>18</v>
      </c>
      <c r="BQ12" s="6">
        <v>18</v>
      </c>
      <c r="BR12" s="6">
        <v>18</v>
      </c>
      <c r="BS12" s="6">
        <v>18</v>
      </c>
      <c r="BT12" s="6">
        <v>18</v>
      </c>
      <c r="BU12" s="6">
        <v>18</v>
      </c>
      <c r="BV12" s="6">
        <v>18</v>
      </c>
      <c r="BW12" s="6">
        <v>18</v>
      </c>
      <c r="BX12" s="6">
        <v>18</v>
      </c>
      <c r="BY12" s="6">
        <v>18</v>
      </c>
      <c r="BZ12" s="6">
        <v>18</v>
      </c>
      <c r="CA12" s="6">
        <v>18</v>
      </c>
      <c r="CB12" s="6">
        <v>18</v>
      </c>
      <c r="CC12" s="6">
        <v>18</v>
      </c>
      <c r="CD12" s="6">
        <v>18</v>
      </c>
      <c r="CE12" s="6">
        <v>18</v>
      </c>
      <c r="CF12" s="6">
        <v>18</v>
      </c>
      <c r="CG12" s="6">
        <v>18</v>
      </c>
      <c r="CH12" s="6">
        <v>18</v>
      </c>
      <c r="CI12" s="6">
        <v>18</v>
      </c>
      <c r="CJ12" s="6">
        <v>18</v>
      </c>
      <c r="CK12" s="6">
        <v>18</v>
      </c>
      <c r="CL12" s="6">
        <v>18</v>
      </c>
      <c r="CM12" s="6">
        <v>18</v>
      </c>
      <c r="CN12" s="6">
        <v>18</v>
      </c>
      <c r="CO12" s="6">
        <v>18</v>
      </c>
      <c r="CP12" s="6">
        <v>18</v>
      </c>
      <c r="CQ12" s="6">
        <v>18</v>
      </c>
      <c r="CR12" s="6">
        <v>18</v>
      </c>
      <c r="CS12" s="6">
        <v>18</v>
      </c>
      <c r="CT12" s="6">
        <v>18</v>
      </c>
      <c r="CU12" s="6">
        <v>18</v>
      </c>
      <c r="CV12" s="6">
        <v>18</v>
      </c>
      <c r="CW12" s="6">
        <v>18</v>
      </c>
      <c r="CX12" s="6">
        <v>18</v>
      </c>
      <c r="CY12" s="6">
        <v>18</v>
      </c>
      <c r="CZ12" s="6">
        <v>18</v>
      </c>
      <c r="DA12" s="6">
        <v>18</v>
      </c>
      <c r="DB12" s="6">
        <v>18</v>
      </c>
      <c r="DC12" s="6">
        <v>18</v>
      </c>
      <c r="DD12" s="6">
        <v>18</v>
      </c>
      <c r="DE12" s="6">
        <v>18</v>
      </c>
      <c r="DF12" s="6">
        <v>18</v>
      </c>
      <c r="DG12" s="6">
        <v>18</v>
      </c>
      <c r="DH12" s="6">
        <v>18</v>
      </c>
      <c r="DI12" s="6">
        <v>18</v>
      </c>
      <c r="DJ12" s="6">
        <v>18</v>
      </c>
      <c r="DK12" s="6">
        <v>18</v>
      </c>
      <c r="DL12" s="6">
        <v>18</v>
      </c>
      <c r="DM12" s="6">
        <v>18</v>
      </c>
      <c r="DN12" s="6">
        <v>18</v>
      </c>
      <c r="DO12" s="6">
        <v>18</v>
      </c>
      <c r="DP12" s="6">
        <v>18</v>
      </c>
      <c r="DQ12" s="6">
        <v>18</v>
      </c>
      <c r="DR12" s="6">
        <v>18</v>
      </c>
      <c r="DS12" s="6">
        <v>18</v>
      </c>
    </row>
    <row r="13" spans="2:123" x14ac:dyDescent="0.2">
      <c r="B13" t="s">
        <v>4153</v>
      </c>
      <c r="C13" t="s">
        <v>4154</v>
      </c>
      <c r="D13" s="13">
        <f>_xll.EditDistance($C$3,C13,2)</f>
        <v>10</v>
      </c>
      <c r="E13" s="13"/>
      <c r="G13" s="6">
        <v>18</v>
      </c>
      <c r="H13" s="6">
        <v>18</v>
      </c>
      <c r="I13" s="6">
        <v>18</v>
      </c>
      <c r="J13" s="6">
        <v>18</v>
      </c>
      <c r="K13" s="6">
        <v>18</v>
      </c>
      <c r="L13" s="6">
        <v>18</v>
      </c>
      <c r="M13" s="6">
        <v>18</v>
      </c>
      <c r="N13" s="6">
        <v>18</v>
      </c>
      <c r="O13" s="6">
        <v>18</v>
      </c>
      <c r="P13" s="6">
        <v>18</v>
      </c>
      <c r="Q13" s="6">
        <v>18</v>
      </c>
      <c r="R13" s="6">
        <v>18</v>
      </c>
      <c r="S13" s="6">
        <v>18</v>
      </c>
      <c r="T13" s="6">
        <v>18</v>
      </c>
      <c r="U13" s="6">
        <v>18</v>
      </c>
      <c r="V13" s="6">
        <v>18</v>
      </c>
      <c r="W13" s="6">
        <v>18</v>
      </c>
      <c r="X13" s="6">
        <v>18</v>
      </c>
      <c r="Y13" s="6">
        <v>18</v>
      </c>
      <c r="Z13" s="6">
        <v>18</v>
      </c>
      <c r="AA13" s="6">
        <v>18</v>
      </c>
      <c r="AB13" s="6">
        <v>18</v>
      </c>
      <c r="AC13" s="6">
        <v>18</v>
      </c>
      <c r="AD13" s="6">
        <v>18</v>
      </c>
      <c r="AE13" s="6">
        <v>18</v>
      </c>
      <c r="AF13" s="6">
        <v>18</v>
      </c>
      <c r="AG13" s="6">
        <v>18</v>
      </c>
      <c r="AH13" s="6">
        <v>18</v>
      </c>
      <c r="AI13" s="6">
        <v>18</v>
      </c>
      <c r="AJ13" s="6">
        <v>18</v>
      </c>
      <c r="AK13" s="6">
        <v>18</v>
      </c>
      <c r="AL13" s="6">
        <v>18</v>
      </c>
      <c r="AM13" s="6">
        <v>18</v>
      </c>
      <c r="AN13" s="6">
        <v>18</v>
      </c>
      <c r="AO13" s="6">
        <v>18</v>
      </c>
      <c r="AP13" s="6">
        <v>18</v>
      </c>
      <c r="AQ13" s="6">
        <v>18</v>
      </c>
      <c r="AR13" s="6">
        <v>18</v>
      </c>
      <c r="AS13" s="6">
        <v>18</v>
      </c>
      <c r="AT13" s="6">
        <v>18</v>
      </c>
      <c r="AU13" s="6">
        <v>18</v>
      </c>
      <c r="AV13" s="6">
        <v>18</v>
      </c>
      <c r="AW13" s="6">
        <v>18</v>
      </c>
      <c r="AX13" s="6">
        <v>18</v>
      </c>
      <c r="AY13" s="6">
        <v>18</v>
      </c>
      <c r="AZ13" s="6">
        <v>18</v>
      </c>
      <c r="BA13" s="6">
        <v>18</v>
      </c>
      <c r="BB13" s="6">
        <v>18</v>
      </c>
      <c r="BC13" s="6">
        <v>18</v>
      </c>
      <c r="BD13" s="6">
        <v>18</v>
      </c>
      <c r="BE13" s="6">
        <v>18</v>
      </c>
      <c r="BF13" s="6">
        <v>18</v>
      </c>
      <c r="BG13" s="6">
        <v>18</v>
      </c>
      <c r="BH13" s="6">
        <v>18</v>
      </c>
      <c r="BI13" s="6">
        <v>18</v>
      </c>
      <c r="BJ13" s="6">
        <v>18</v>
      </c>
      <c r="BK13" s="6">
        <v>18</v>
      </c>
      <c r="BL13" s="6">
        <v>18</v>
      </c>
      <c r="BM13" s="6">
        <v>18</v>
      </c>
      <c r="BN13" s="6">
        <v>18</v>
      </c>
      <c r="BO13" s="6">
        <v>18</v>
      </c>
      <c r="BP13" s="6">
        <v>18</v>
      </c>
      <c r="BQ13" s="6">
        <v>18</v>
      </c>
      <c r="BR13" s="6">
        <v>18</v>
      </c>
      <c r="BS13" s="6">
        <v>18</v>
      </c>
      <c r="BT13" s="6">
        <v>18</v>
      </c>
      <c r="BU13" s="6">
        <v>18</v>
      </c>
      <c r="BV13" s="6">
        <v>18</v>
      </c>
      <c r="BW13" s="6">
        <v>18</v>
      </c>
      <c r="BX13" s="6">
        <v>18</v>
      </c>
      <c r="BY13" s="6">
        <v>18</v>
      </c>
      <c r="BZ13" s="6">
        <v>18</v>
      </c>
      <c r="CA13" s="6">
        <v>18</v>
      </c>
      <c r="CB13" s="6">
        <v>18</v>
      </c>
      <c r="CC13" s="6">
        <v>18</v>
      </c>
      <c r="CD13" s="6">
        <v>18</v>
      </c>
      <c r="CE13" s="6">
        <v>18</v>
      </c>
      <c r="CF13" s="6">
        <v>18</v>
      </c>
      <c r="CG13" s="6">
        <v>18</v>
      </c>
      <c r="CH13" s="6">
        <v>18</v>
      </c>
      <c r="CI13" s="6">
        <v>18</v>
      </c>
      <c r="CJ13" s="6">
        <v>18</v>
      </c>
      <c r="CK13" s="6">
        <v>18</v>
      </c>
      <c r="CL13" s="6">
        <v>18</v>
      </c>
      <c r="CM13" s="6">
        <v>18</v>
      </c>
      <c r="CN13" s="6">
        <v>18</v>
      </c>
      <c r="CO13" s="6">
        <v>18</v>
      </c>
      <c r="CP13" s="6">
        <v>18</v>
      </c>
      <c r="CQ13" s="6">
        <v>18</v>
      </c>
      <c r="CR13" s="6">
        <v>18</v>
      </c>
      <c r="CS13" s="6">
        <v>18</v>
      </c>
      <c r="CT13" s="6">
        <v>18</v>
      </c>
      <c r="CU13" s="6">
        <v>18</v>
      </c>
      <c r="CV13" s="6">
        <v>18</v>
      </c>
      <c r="CW13" s="6">
        <v>18</v>
      </c>
      <c r="CX13" s="6">
        <v>18</v>
      </c>
      <c r="CY13" s="6">
        <v>18</v>
      </c>
      <c r="CZ13" s="6">
        <v>18</v>
      </c>
      <c r="DA13" s="6">
        <v>18</v>
      </c>
      <c r="DB13" s="6">
        <v>18</v>
      </c>
      <c r="DC13" s="6">
        <v>18</v>
      </c>
      <c r="DD13" s="6">
        <v>18</v>
      </c>
      <c r="DE13" s="6">
        <v>18</v>
      </c>
      <c r="DF13" s="6">
        <v>18</v>
      </c>
      <c r="DG13" s="6">
        <v>18</v>
      </c>
      <c r="DH13" s="6">
        <v>18</v>
      </c>
      <c r="DI13" s="6">
        <v>18</v>
      </c>
      <c r="DJ13" s="6">
        <v>18</v>
      </c>
      <c r="DK13" s="6">
        <v>18</v>
      </c>
      <c r="DL13" s="6">
        <v>18</v>
      </c>
      <c r="DM13" s="6">
        <v>18</v>
      </c>
      <c r="DN13" s="6">
        <v>18</v>
      </c>
      <c r="DO13" s="6">
        <v>18</v>
      </c>
      <c r="DP13" s="6">
        <v>18</v>
      </c>
      <c r="DQ13" s="6">
        <v>18</v>
      </c>
      <c r="DR13" s="6">
        <v>18</v>
      </c>
      <c r="DS13" s="6">
        <v>18</v>
      </c>
    </row>
    <row r="14" spans="2:123" x14ac:dyDescent="0.2">
      <c r="B14" t="s">
        <v>4211</v>
      </c>
      <c r="C14" t="s">
        <v>4212</v>
      </c>
      <c r="D14" s="13">
        <f>_xll.EditDistance($C$3,C14,2)</f>
        <v>10</v>
      </c>
      <c r="E14" s="13"/>
      <c r="G14" s="6">
        <v>18</v>
      </c>
      <c r="H14" s="6">
        <v>18</v>
      </c>
      <c r="I14" s="6">
        <v>18</v>
      </c>
      <c r="J14" s="6">
        <v>18</v>
      </c>
      <c r="K14" s="6">
        <v>18</v>
      </c>
      <c r="L14" s="6">
        <v>18</v>
      </c>
      <c r="M14" s="6">
        <v>18</v>
      </c>
      <c r="N14" s="6">
        <v>18</v>
      </c>
      <c r="O14" s="6">
        <v>18</v>
      </c>
      <c r="P14" s="6">
        <v>18</v>
      </c>
      <c r="Q14" s="6">
        <v>18</v>
      </c>
      <c r="R14" s="6">
        <v>18</v>
      </c>
      <c r="S14" s="6">
        <v>18</v>
      </c>
      <c r="T14" s="6">
        <v>18</v>
      </c>
      <c r="U14" s="6">
        <v>18</v>
      </c>
      <c r="V14" s="6">
        <v>18</v>
      </c>
      <c r="W14" s="6">
        <v>18</v>
      </c>
      <c r="X14" s="6">
        <v>18</v>
      </c>
      <c r="Y14" s="6">
        <v>18</v>
      </c>
      <c r="Z14" s="6">
        <v>18</v>
      </c>
      <c r="AA14" s="6">
        <v>18</v>
      </c>
      <c r="AB14" s="6">
        <v>18</v>
      </c>
      <c r="AC14" s="6">
        <v>18</v>
      </c>
      <c r="AD14" s="6">
        <v>18</v>
      </c>
      <c r="AE14" s="6">
        <v>18</v>
      </c>
      <c r="AF14" s="6">
        <v>18</v>
      </c>
      <c r="AG14" s="6">
        <v>18</v>
      </c>
      <c r="AH14" s="6">
        <v>18</v>
      </c>
      <c r="AI14" s="6">
        <v>18</v>
      </c>
      <c r="AJ14" s="6">
        <v>18</v>
      </c>
      <c r="AK14" s="6">
        <v>18</v>
      </c>
      <c r="AL14" s="6">
        <v>18</v>
      </c>
      <c r="AM14" s="6">
        <v>18</v>
      </c>
      <c r="AN14" s="6">
        <v>18</v>
      </c>
      <c r="AO14" s="6">
        <v>18</v>
      </c>
      <c r="AP14" s="6">
        <v>18</v>
      </c>
      <c r="AQ14" s="6">
        <v>18</v>
      </c>
      <c r="AR14" s="6">
        <v>18</v>
      </c>
      <c r="AS14" s="6">
        <v>18</v>
      </c>
      <c r="AT14" s="6">
        <v>18</v>
      </c>
      <c r="AU14" s="6">
        <v>18</v>
      </c>
      <c r="AV14" s="6">
        <v>18</v>
      </c>
      <c r="AW14" s="6">
        <v>18</v>
      </c>
      <c r="AX14" s="6">
        <v>18</v>
      </c>
      <c r="AY14" s="6">
        <v>18</v>
      </c>
      <c r="AZ14" s="6">
        <v>18</v>
      </c>
      <c r="BA14" s="6">
        <v>18</v>
      </c>
      <c r="BB14" s="6">
        <v>18</v>
      </c>
      <c r="BC14" s="6">
        <v>18</v>
      </c>
      <c r="BD14" s="6">
        <v>18</v>
      </c>
      <c r="BE14" s="6">
        <v>18</v>
      </c>
      <c r="BF14" s="6">
        <v>18</v>
      </c>
      <c r="BG14" s="6">
        <v>18</v>
      </c>
      <c r="BH14" s="6">
        <v>18</v>
      </c>
      <c r="BI14" s="6">
        <v>18</v>
      </c>
      <c r="BJ14" s="6">
        <v>18</v>
      </c>
      <c r="BK14" s="6">
        <v>18</v>
      </c>
      <c r="BL14" s="6">
        <v>18</v>
      </c>
      <c r="BM14" s="6">
        <v>18</v>
      </c>
      <c r="BN14" s="6">
        <v>18</v>
      </c>
      <c r="BO14" s="6">
        <v>18</v>
      </c>
      <c r="BP14" s="6">
        <v>18</v>
      </c>
      <c r="BQ14" s="6">
        <v>18</v>
      </c>
      <c r="BR14" s="6">
        <v>18</v>
      </c>
      <c r="BS14" s="6">
        <v>18</v>
      </c>
      <c r="BT14" s="6">
        <v>18</v>
      </c>
      <c r="BU14" s="6">
        <v>18</v>
      </c>
      <c r="BV14" s="6">
        <v>18</v>
      </c>
      <c r="BW14" s="6">
        <v>18</v>
      </c>
      <c r="BX14" s="6">
        <v>18</v>
      </c>
      <c r="BY14" s="6">
        <v>18</v>
      </c>
      <c r="BZ14" s="6">
        <v>18</v>
      </c>
      <c r="CA14" s="6">
        <v>18</v>
      </c>
      <c r="CB14" s="6">
        <v>18</v>
      </c>
      <c r="CC14" s="6">
        <v>18</v>
      </c>
      <c r="CD14" s="6">
        <v>18</v>
      </c>
      <c r="CE14" s="6">
        <v>18</v>
      </c>
      <c r="CF14" s="6">
        <v>18</v>
      </c>
      <c r="CG14" s="6">
        <v>18</v>
      </c>
      <c r="CH14" s="6">
        <v>18</v>
      </c>
      <c r="CI14" s="6">
        <v>18</v>
      </c>
      <c r="CJ14" s="6">
        <v>18</v>
      </c>
      <c r="CK14" s="6">
        <v>18</v>
      </c>
      <c r="CL14" s="6">
        <v>18</v>
      </c>
      <c r="CM14" s="6">
        <v>18</v>
      </c>
      <c r="CN14" s="6">
        <v>18</v>
      </c>
      <c r="CO14" s="6">
        <v>18</v>
      </c>
      <c r="CP14" s="6">
        <v>18</v>
      </c>
      <c r="CQ14" s="6">
        <v>18</v>
      </c>
      <c r="CR14" s="6">
        <v>18</v>
      </c>
      <c r="CS14" s="6">
        <v>18</v>
      </c>
      <c r="CT14" s="6">
        <v>18</v>
      </c>
      <c r="CU14" s="6">
        <v>18</v>
      </c>
      <c r="CV14" s="6">
        <v>18</v>
      </c>
      <c r="CW14" s="6">
        <v>18</v>
      </c>
      <c r="CX14" s="6">
        <v>18</v>
      </c>
      <c r="CY14" s="6">
        <v>18</v>
      </c>
      <c r="CZ14" s="6">
        <v>18</v>
      </c>
      <c r="DA14" s="6">
        <v>18</v>
      </c>
      <c r="DB14" s="6">
        <v>18</v>
      </c>
      <c r="DC14" s="6">
        <v>18</v>
      </c>
      <c r="DD14" s="6">
        <v>18</v>
      </c>
      <c r="DE14" s="6">
        <v>18</v>
      </c>
      <c r="DF14" s="6">
        <v>18</v>
      </c>
      <c r="DG14" s="6">
        <v>18</v>
      </c>
      <c r="DH14" s="6">
        <v>18</v>
      </c>
      <c r="DI14" s="6">
        <v>18</v>
      </c>
      <c r="DJ14" s="6">
        <v>18</v>
      </c>
      <c r="DK14" s="6">
        <v>18</v>
      </c>
      <c r="DL14" s="6">
        <v>18</v>
      </c>
      <c r="DM14" s="6">
        <v>18</v>
      </c>
      <c r="DN14" s="6">
        <v>18</v>
      </c>
      <c r="DO14" s="6">
        <v>18</v>
      </c>
      <c r="DP14" s="6">
        <v>18</v>
      </c>
      <c r="DQ14" s="6">
        <v>18</v>
      </c>
      <c r="DR14" s="6">
        <v>18</v>
      </c>
      <c r="DS14" s="6">
        <v>18</v>
      </c>
    </row>
    <row r="15" spans="2:123" x14ac:dyDescent="0.2">
      <c r="B15" t="s">
        <v>4976</v>
      </c>
      <c r="C15" t="s">
        <v>4978</v>
      </c>
      <c r="D15" s="13">
        <f>_xll.EditDistance($C$3,C15,2)</f>
        <v>20</v>
      </c>
      <c r="E15" s="13"/>
      <c r="G15" s="6">
        <v>18</v>
      </c>
      <c r="H15" s="6">
        <v>18</v>
      </c>
      <c r="I15" s="6">
        <v>18</v>
      </c>
      <c r="J15" s="6">
        <v>18</v>
      </c>
      <c r="K15" s="6">
        <v>18</v>
      </c>
      <c r="L15" s="6">
        <v>18</v>
      </c>
      <c r="M15" s="6">
        <v>18</v>
      </c>
      <c r="N15" s="6">
        <v>18</v>
      </c>
      <c r="O15" s="6">
        <v>18</v>
      </c>
      <c r="P15" s="6">
        <v>18</v>
      </c>
      <c r="Q15" s="6">
        <v>18</v>
      </c>
      <c r="R15" s="6">
        <v>18</v>
      </c>
      <c r="S15" s="6">
        <v>18</v>
      </c>
      <c r="T15" s="6">
        <v>18</v>
      </c>
      <c r="U15" s="6">
        <v>18</v>
      </c>
      <c r="V15" s="6">
        <v>18</v>
      </c>
      <c r="W15" s="6">
        <v>18</v>
      </c>
      <c r="X15" s="6">
        <v>18</v>
      </c>
      <c r="Y15" s="6">
        <v>18</v>
      </c>
      <c r="Z15" s="6">
        <v>18</v>
      </c>
      <c r="AA15" s="6">
        <v>18</v>
      </c>
      <c r="AB15" s="6">
        <v>18</v>
      </c>
      <c r="AC15" s="6">
        <v>18</v>
      </c>
      <c r="AD15" s="6">
        <v>18</v>
      </c>
      <c r="AE15" s="6">
        <v>18</v>
      </c>
      <c r="AF15" s="6">
        <v>18</v>
      </c>
      <c r="AG15" s="6">
        <v>18</v>
      </c>
      <c r="AH15" s="6">
        <v>18</v>
      </c>
      <c r="AI15" s="6">
        <v>18</v>
      </c>
      <c r="AJ15" s="6">
        <v>18</v>
      </c>
      <c r="AK15" s="6">
        <v>18</v>
      </c>
      <c r="AL15" s="6">
        <v>18</v>
      </c>
      <c r="AM15" s="6">
        <v>18</v>
      </c>
      <c r="AN15" s="6">
        <v>18</v>
      </c>
      <c r="AO15" s="6">
        <v>18</v>
      </c>
      <c r="AP15" s="6">
        <v>18</v>
      </c>
      <c r="AQ15" s="6">
        <v>18</v>
      </c>
      <c r="AR15" s="6">
        <v>18</v>
      </c>
      <c r="AS15" s="6">
        <v>18</v>
      </c>
      <c r="AT15" s="6">
        <v>18</v>
      </c>
      <c r="AU15" s="6">
        <v>18</v>
      </c>
      <c r="AV15" s="6">
        <v>18</v>
      </c>
      <c r="AW15" s="6">
        <v>18</v>
      </c>
      <c r="AX15" s="6">
        <v>18</v>
      </c>
      <c r="AY15" s="6">
        <v>18</v>
      </c>
      <c r="AZ15" s="6">
        <v>18</v>
      </c>
      <c r="BA15" s="6">
        <v>18</v>
      </c>
      <c r="BB15" s="6">
        <v>18</v>
      </c>
      <c r="BC15" s="6">
        <v>18</v>
      </c>
      <c r="BD15" s="6">
        <v>18</v>
      </c>
      <c r="BE15" s="6">
        <v>18</v>
      </c>
      <c r="BF15" s="6">
        <v>18</v>
      </c>
      <c r="BG15" s="6">
        <v>18</v>
      </c>
      <c r="BH15" s="6">
        <v>18</v>
      </c>
      <c r="BI15" s="6">
        <v>18</v>
      </c>
      <c r="BJ15" s="6">
        <v>18</v>
      </c>
      <c r="BK15" s="6">
        <v>18</v>
      </c>
      <c r="BL15" s="6">
        <v>18</v>
      </c>
      <c r="BM15" s="6">
        <v>18</v>
      </c>
      <c r="BN15" s="6">
        <v>18</v>
      </c>
      <c r="BO15" s="6">
        <v>18</v>
      </c>
      <c r="BP15" s="6">
        <v>18</v>
      </c>
      <c r="BQ15" s="6">
        <v>18</v>
      </c>
      <c r="BR15" s="6">
        <v>18</v>
      </c>
      <c r="BS15" s="6">
        <v>18</v>
      </c>
      <c r="BT15" s="6">
        <v>18</v>
      </c>
      <c r="BU15" s="6">
        <v>18</v>
      </c>
      <c r="BV15" s="6">
        <v>18</v>
      </c>
      <c r="BW15" s="6">
        <v>18</v>
      </c>
      <c r="BX15" s="6">
        <v>18</v>
      </c>
      <c r="BY15" s="6">
        <v>18</v>
      </c>
      <c r="BZ15" s="6">
        <v>18</v>
      </c>
      <c r="CA15" s="6">
        <v>18</v>
      </c>
      <c r="CB15" s="6">
        <v>18</v>
      </c>
      <c r="CC15" s="6">
        <v>18</v>
      </c>
      <c r="CD15" s="6">
        <v>18</v>
      </c>
      <c r="CE15" s="6">
        <v>18</v>
      </c>
      <c r="CF15" s="6">
        <v>18</v>
      </c>
      <c r="CG15" s="6">
        <v>18</v>
      </c>
      <c r="CH15" s="6">
        <v>18</v>
      </c>
      <c r="CI15" s="6">
        <v>18</v>
      </c>
      <c r="CJ15" s="6">
        <v>18</v>
      </c>
      <c r="CK15" s="6">
        <v>18</v>
      </c>
      <c r="CL15" s="6">
        <v>18</v>
      </c>
      <c r="CM15" s="6">
        <v>18</v>
      </c>
      <c r="CN15" s="6">
        <v>18</v>
      </c>
      <c r="CO15" s="6">
        <v>18</v>
      </c>
      <c r="CP15" s="6">
        <v>18</v>
      </c>
      <c r="CQ15" s="6">
        <v>18</v>
      </c>
      <c r="CR15" s="6">
        <v>18</v>
      </c>
      <c r="CS15" s="6">
        <v>18</v>
      </c>
      <c r="CT15" s="6">
        <v>18</v>
      </c>
      <c r="CU15" s="6">
        <v>18</v>
      </c>
      <c r="CV15" s="6">
        <v>18</v>
      </c>
      <c r="CW15" s="6">
        <v>18</v>
      </c>
      <c r="CX15" s="6">
        <v>18</v>
      </c>
      <c r="CY15" s="6">
        <v>18</v>
      </c>
      <c r="CZ15" s="6">
        <v>18</v>
      </c>
      <c r="DA15" s="6">
        <v>18</v>
      </c>
      <c r="DB15" s="6">
        <v>18</v>
      </c>
      <c r="DC15" s="6">
        <v>18</v>
      </c>
      <c r="DD15" s="6">
        <v>18</v>
      </c>
      <c r="DE15" s="6">
        <v>18</v>
      </c>
      <c r="DF15" s="6">
        <v>18</v>
      </c>
      <c r="DG15" s="6">
        <v>18</v>
      </c>
      <c r="DH15" s="6">
        <v>18</v>
      </c>
      <c r="DI15" s="6">
        <v>18</v>
      </c>
      <c r="DJ15" s="6">
        <v>18</v>
      </c>
      <c r="DK15" s="6">
        <v>18</v>
      </c>
      <c r="DL15" s="6">
        <v>18</v>
      </c>
      <c r="DM15" s="6">
        <v>18</v>
      </c>
      <c r="DN15" s="6">
        <v>18</v>
      </c>
      <c r="DO15" s="6">
        <v>18</v>
      </c>
      <c r="DP15" s="6">
        <v>18</v>
      </c>
      <c r="DQ15" s="6">
        <v>18</v>
      </c>
      <c r="DR15" s="6">
        <v>18</v>
      </c>
      <c r="DS15" s="6">
        <v>18</v>
      </c>
    </row>
    <row r="16" spans="2:123" x14ac:dyDescent="0.2">
      <c r="B16" t="s">
        <v>7161</v>
      </c>
      <c r="C16" t="s">
        <v>7163</v>
      </c>
      <c r="D16" s="13">
        <f>_xll.EditDistance($C$3,C16,2)</f>
        <v>18</v>
      </c>
      <c r="E16" s="13"/>
      <c r="G16" s="6">
        <v>18</v>
      </c>
      <c r="H16" s="6">
        <v>18</v>
      </c>
      <c r="I16" s="6">
        <v>18</v>
      </c>
      <c r="J16" s="6">
        <v>18</v>
      </c>
      <c r="K16" s="6">
        <v>18</v>
      </c>
      <c r="L16" s="6">
        <v>18</v>
      </c>
      <c r="M16" s="6">
        <v>18</v>
      </c>
      <c r="N16" s="6">
        <v>18</v>
      </c>
      <c r="O16" s="6">
        <v>18</v>
      </c>
      <c r="P16" s="6">
        <v>18</v>
      </c>
      <c r="Q16" s="6">
        <v>18</v>
      </c>
      <c r="R16" s="6">
        <v>18</v>
      </c>
      <c r="S16" s="6">
        <v>18</v>
      </c>
      <c r="T16" s="6">
        <v>18</v>
      </c>
      <c r="U16" s="6">
        <v>18</v>
      </c>
      <c r="V16" s="6">
        <v>18</v>
      </c>
      <c r="W16" s="6">
        <v>18</v>
      </c>
      <c r="X16" s="6">
        <v>18</v>
      </c>
      <c r="Y16" s="6">
        <v>18</v>
      </c>
      <c r="Z16" s="6">
        <v>18</v>
      </c>
      <c r="AA16" s="6">
        <v>18</v>
      </c>
      <c r="AB16" s="6">
        <v>18</v>
      </c>
      <c r="AC16" s="6">
        <v>18</v>
      </c>
      <c r="AD16" s="6">
        <v>18</v>
      </c>
      <c r="AE16" s="6">
        <v>18</v>
      </c>
      <c r="AF16" s="6">
        <v>18</v>
      </c>
      <c r="AG16" s="6">
        <v>18</v>
      </c>
      <c r="AH16" s="6">
        <v>18</v>
      </c>
      <c r="AI16" s="6">
        <v>18</v>
      </c>
      <c r="AJ16" s="6">
        <v>18</v>
      </c>
      <c r="AK16" s="6">
        <v>18</v>
      </c>
      <c r="AL16" s="6">
        <v>18</v>
      </c>
      <c r="AM16" s="6">
        <v>18</v>
      </c>
      <c r="AN16" s="6">
        <v>18</v>
      </c>
      <c r="AO16" s="6">
        <v>18</v>
      </c>
      <c r="AP16" s="6">
        <v>18</v>
      </c>
      <c r="AQ16" s="6">
        <v>18</v>
      </c>
      <c r="AR16" s="6">
        <v>18</v>
      </c>
      <c r="AS16" s="6">
        <v>18</v>
      </c>
      <c r="AT16" s="6">
        <v>18</v>
      </c>
      <c r="AU16" s="6">
        <v>18</v>
      </c>
      <c r="AV16" s="6">
        <v>18</v>
      </c>
      <c r="AW16" s="6">
        <v>18</v>
      </c>
      <c r="AX16" s="6">
        <v>18</v>
      </c>
      <c r="AY16" s="6">
        <v>18</v>
      </c>
      <c r="AZ16" s="6">
        <v>18</v>
      </c>
      <c r="BA16" s="6">
        <v>18</v>
      </c>
      <c r="BB16" s="6">
        <v>18</v>
      </c>
      <c r="BC16" s="6">
        <v>18</v>
      </c>
      <c r="BD16" s="6">
        <v>18</v>
      </c>
      <c r="BE16" s="6">
        <v>18</v>
      </c>
      <c r="BF16" s="6">
        <v>18</v>
      </c>
      <c r="BG16" s="6">
        <v>18</v>
      </c>
      <c r="BH16" s="6">
        <v>18</v>
      </c>
      <c r="BI16" s="6">
        <v>18</v>
      </c>
      <c r="BJ16" s="6">
        <v>18</v>
      </c>
      <c r="BK16" s="6">
        <v>18</v>
      </c>
      <c r="BL16" s="6">
        <v>18</v>
      </c>
      <c r="BM16" s="6">
        <v>18</v>
      </c>
      <c r="BN16" s="6">
        <v>18</v>
      </c>
      <c r="BO16" s="6">
        <v>18</v>
      </c>
      <c r="BP16" s="6">
        <v>18</v>
      </c>
      <c r="BQ16" s="6">
        <v>18</v>
      </c>
      <c r="BR16" s="6">
        <v>18</v>
      </c>
      <c r="BS16" s="6">
        <v>18</v>
      </c>
      <c r="BT16" s="6">
        <v>18</v>
      </c>
      <c r="BU16" s="6">
        <v>18</v>
      </c>
      <c r="BV16" s="6">
        <v>18</v>
      </c>
      <c r="BW16" s="6">
        <v>18</v>
      </c>
      <c r="BX16" s="6">
        <v>18</v>
      </c>
      <c r="BY16" s="6">
        <v>18</v>
      </c>
      <c r="BZ16" s="6">
        <v>18</v>
      </c>
      <c r="CA16" s="6">
        <v>18</v>
      </c>
      <c r="CB16" s="6">
        <v>18</v>
      </c>
      <c r="CC16" s="6">
        <v>18</v>
      </c>
      <c r="CD16" s="6">
        <v>18</v>
      </c>
      <c r="CE16" s="6">
        <v>18</v>
      </c>
      <c r="CF16" s="6">
        <v>18</v>
      </c>
      <c r="CG16" s="6">
        <v>18</v>
      </c>
      <c r="CH16" s="6">
        <v>18</v>
      </c>
      <c r="CI16" s="6">
        <v>18</v>
      </c>
      <c r="CJ16" s="6">
        <v>18</v>
      </c>
      <c r="CK16" s="6">
        <v>18</v>
      </c>
      <c r="CL16" s="6">
        <v>18</v>
      </c>
      <c r="CM16" s="6">
        <v>18</v>
      </c>
      <c r="CN16" s="6">
        <v>18</v>
      </c>
      <c r="CO16" s="6">
        <v>18</v>
      </c>
      <c r="CP16" s="6">
        <v>18</v>
      </c>
      <c r="CQ16" s="6">
        <v>18</v>
      </c>
      <c r="CR16" s="6">
        <v>18</v>
      </c>
      <c r="CS16" s="6">
        <v>18</v>
      </c>
      <c r="CT16" s="6">
        <v>18</v>
      </c>
      <c r="CU16" s="6">
        <v>18</v>
      </c>
      <c r="CV16" s="6">
        <v>18</v>
      </c>
      <c r="CW16" s="6">
        <v>18</v>
      </c>
      <c r="CX16" s="6">
        <v>18</v>
      </c>
      <c r="CY16" s="6">
        <v>18</v>
      </c>
      <c r="CZ16" s="6">
        <v>18</v>
      </c>
      <c r="DA16" s="6">
        <v>18</v>
      </c>
      <c r="DB16" s="6">
        <v>18</v>
      </c>
      <c r="DC16" s="6">
        <v>18</v>
      </c>
      <c r="DD16" s="6">
        <v>18</v>
      </c>
      <c r="DE16" s="6">
        <v>18</v>
      </c>
      <c r="DF16" s="6">
        <v>18</v>
      </c>
      <c r="DG16" s="6">
        <v>18</v>
      </c>
      <c r="DH16" s="6">
        <v>18</v>
      </c>
      <c r="DI16" s="6">
        <v>18</v>
      </c>
      <c r="DJ16" s="6">
        <v>18</v>
      </c>
      <c r="DK16" s="6">
        <v>18</v>
      </c>
      <c r="DL16" s="6">
        <v>18</v>
      </c>
      <c r="DM16" s="6">
        <v>18</v>
      </c>
      <c r="DN16" s="6">
        <v>18</v>
      </c>
      <c r="DO16" s="6">
        <v>18</v>
      </c>
      <c r="DP16" s="6">
        <v>18</v>
      </c>
      <c r="DQ16" s="6">
        <v>18</v>
      </c>
      <c r="DR16" s="6">
        <v>18</v>
      </c>
      <c r="DS16" s="6">
        <v>18</v>
      </c>
    </row>
    <row r="17" spans="1:123" x14ac:dyDescent="0.2">
      <c r="B17" t="s">
        <v>7590</v>
      </c>
      <c r="C17" t="s">
        <v>7591</v>
      </c>
      <c r="D17" s="13">
        <f>_xll.EditDistance($C$3,C17,2)</f>
        <v>10</v>
      </c>
      <c r="E17" s="13"/>
      <c r="G17" s="6">
        <v>18</v>
      </c>
      <c r="H17" s="6">
        <v>18</v>
      </c>
      <c r="I17" s="6">
        <v>18</v>
      </c>
      <c r="J17" s="6">
        <v>18</v>
      </c>
      <c r="K17" s="6">
        <v>18</v>
      </c>
      <c r="L17" s="6">
        <v>18</v>
      </c>
      <c r="M17" s="6">
        <v>18</v>
      </c>
      <c r="N17" s="6">
        <v>18</v>
      </c>
      <c r="O17" s="6">
        <v>18</v>
      </c>
      <c r="P17" s="6">
        <v>18</v>
      </c>
      <c r="Q17" s="6">
        <v>18</v>
      </c>
      <c r="R17" s="6">
        <v>18</v>
      </c>
      <c r="S17" s="6">
        <v>18</v>
      </c>
      <c r="T17" s="6">
        <v>18</v>
      </c>
      <c r="U17" s="6">
        <v>18</v>
      </c>
      <c r="V17" s="6">
        <v>18</v>
      </c>
      <c r="W17" s="6">
        <v>18</v>
      </c>
      <c r="X17" s="6">
        <v>18</v>
      </c>
      <c r="Y17" s="6">
        <v>18</v>
      </c>
      <c r="Z17" s="6">
        <v>18</v>
      </c>
      <c r="AA17" s="6">
        <v>18</v>
      </c>
      <c r="AB17" s="6">
        <v>18</v>
      </c>
      <c r="AC17" s="6">
        <v>18</v>
      </c>
      <c r="AD17" s="6">
        <v>18</v>
      </c>
      <c r="AE17" s="6">
        <v>18</v>
      </c>
      <c r="AF17" s="6">
        <v>18</v>
      </c>
      <c r="AG17" s="6">
        <v>18</v>
      </c>
      <c r="AH17" s="6">
        <v>18</v>
      </c>
      <c r="AI17" s="6">
        <v>18</v>
      </c>
      <c r="AJ17" s="6">
        <v>18</v>
      </c>
      <c r="AK17" s="6">
        <v>18</v>
      </c>
      <c r="AL17" s="6">
        <v>18</v>
      </c>
      <c r="AM17" s="6">
        <v>18</v>
      </c>
      <c r="AN17" s="6">
        <v>18</v>
      </c>
      <c r="AO17" s="6">
        <v>18</v>
      </c>
      <c r="AP17" s="6">
        <v>18</v>
      </c>
      <c r="AQ17" s="6">
        <v>18</v>
      </c>
      <c r="AR17" s="6">
        <v>18</v>
      </c>
      <c r="AS17" s="6">
        <v>18</v>
      </c>
      <c r="AT17" s="6">
        <v>18</v>
      </c>
      <c r="AU17" s="6">
        <v>18</v>
      </c>
      <c r="AV17" s="6">
        <v>18</v>
      </c>
      <c r="AW17" s="6">
        <v>18</v>
      </c>
      <c r="AX17" s="6">
        <v>18</v>
      </c>
      <c r="AY17" s="6">
        <v>18</v>
      </c>
      <c r="AZ17" s="6">
        <v>18</v>
      </c>
      <c r="BA17" s="6">
        <v>18</v>
      </c>
      <c r="BB17" s="6">
        <v>18</v>
      </c>
      <c r="BC17" s="6">
        <v>18</v>
      </c>
      <c r="BD17" s="6">
        <v>18</v>
      </c>
      <c r="BE17" s="6">
        <v>18</v>
      </c>
      <c r="BF17" s="6">
        <v>18</v>
      </c>
      <c r="BG17" s="6">
        <v>18</v>
      </c>
      <c r="BH17" s="6">
        <v>18</v>
      </c>
      <c r="BI17" s="6">
        <v>18</v>
      </c>
      <c r="BJ17" s="6">
        <v>18</v>
      </c>
      <c r="BK17" s="6">
        <v>18</v>
      </c>
      <c r="BL17" s="6">
        <v>18</v>
      </c>
      <c r="BM17" s="6">
        <v>18</v>
      </c>
      <c r="BN17" s="6">
        <v>18</v>
      </c>
      <c r="BO17" s="6">
        <v>18</v>
      </c>
      <c r="BP17" s="6">
        <v>18</v>
      </c>
      <c r="BQ17" s="6">
        <v>18</v>
      </c>
      <c r="BR17" s="6">
        <v>18</v>
      </c>
      <c r="BS17" s="6">
        <v>18</v>
      </c>
      <c r="BT17" s="6">
        <v>18</v>
      </c>
      <c r="BU17" s="6">
        <v>18</v>
      </c>
      <c r="BV17" s="6">
        <v>18</v>
      </c>
      <c r="BW17" s="6">
        <v>18</v>
      </c>
      <c r="BX17" s="6">
        <v>18</v>
      </c>
      <c r="BY17" s="6">
        <v>18</v>
      </c>
      <c r="BZ17" s="6">
        <v>18</v>
      </c>
      <c r="CA17" s="6">
        <v>18</v>
      </c>
      <c r="CB17" s="6">
        <v>18</v>
      </c>
      <c r="CC17" s="6">
        <v>18</v>
      </c>
      <c r="CD17" s="6">
        <v>18</v>
      </c>
      <c r="CE17" s="6">
        <v>18</v>
      </c>
      <c r="CF17" s="6">
        <v>18</v>
      </c>
      <c r="CG17" s="6">
        <v>18</v>
      </c>
      <c r="CH17" s="6">
        <v>18</v>
      </c>
      <c r="CI17" s="6">
        <v>18</v>
      </c>
      <c r="CJ17" s="6">
        <v>18</v>
      </c>
      <c r="CK17" s="6">
        <v>18</v>
      </c>
      <c r="CL17" s="6">
        <v>18</v>
      </c>
      <c r="CM17" s="6">
        <v>18</v>
      </c>
      <c r="CN17" s="6">
        <v>18</v>
      </c>
      <c r="CO17" s="6">
        <v>18</v>
      </c>
      <c r="CP17" s="6">
        <v>18</v>
      </c>
      <c r="CQ17" s="6">
        <v>18</v>
      </c>
      <c r="CR17" s="6">
        <v>18</v>
      </c>
      <c r="CS17" s="6">
        <v>18</v>
      </c>
      <c r="CT17" s="6">
        <v>18</v>
      </c>
      <c r="CU17" s="6">
        <v>18</v>
      </c>
      <c r="CV17" s="6">
        <v>18</v>
      </c>
      <c r="CW17" s="6">
        <v>18</v>
      </c>
      <c r="CX17" s="6">
        <v>18</v>
      </c>
      <c r="CY17" s="6">
        <v>18</v>
      </c>
      <c r="CZ17" s="6">
        <v>18</v>
      </c>
      <c r="DA17" s="6">
        <v>18</v>
      </c>
      <c r="DB17" s="6">
        <v>18</v>
      </c>
      <c r="DC17" s="6">
        <v>18</v>
      </c>
      <c r="DD17" s="6">
        <v>18</v>
      </c>
      <c r="DE17" s="6">
        <v>18</v>
      </c>
      <c r="DF17" s="6">
        <v>18</v>
      </c>
      <c r="DG17" s="6">
        <v>18</v>
      </c>
      <c r="DH17" s="6">
        <v>18</v>
      </c>
      <c r="DI17" s="6">
        <v>18</v>
      </c>
      <c r="DJ17" s="6">
        <v>18</v>
      </c>
      <c r="DK17" s="6">
        <v>18</v>
      </c>
      <c r="DL17" s="6">
        <v>18</v>
      </c>
      <c r="DM17" s="6">
        <v>18</v>
      </c>
      <c r="DN17" s="6">
        <v>18</v>
      </c>
      <c r="DO17" s="6">
        <v>18</v>
      </c>
      <c r="DP17" s="6">
        <v>18</v>
      </c>
      <c r="DQ17" s="6">
        <v>18</v>
      </c>
      <c r="DR17" s="6">
        <v>18</v>
      </c>
      <c r="DS17" s="6">
        <v>18</v>
      </c>
    </row>
    <row r="18" spans="1:123" x14ac:dyDescent="0.2">
      <c r="B18" t="s">
        <v>7688</v>
      </c>
      <c r="C18" t="s">
        <v>7690</v>
      </c>
      <c r="D18" s="13">
        <f>_xll.EditDistance($C$3,C18,2)</f>
        <v>10</v>
      </c>
      <c r="E18" s="13"/>
      <c r="G18" s="6">
        <v>18</v>
      </c>
      <c r="H18" s="6">
        <v>18</v>
      </c>
      <c r="I18" s="6">
        <v>18</v>
      </c>
      <c r="J18" s="6">
        <v>18</v>
      </c>
      <c r="K18" s="6">
        <v>18</v>
      </c>
      <c r="L18" s="6">
        <v>18</v>
      </c>
      <c r="M18" s="6">
        <v>18</v>
      </c>
      <c r="N18" s="6">
        <v>18</v>
      </c>
      <c r="O18" s="6">
        <v>18</v>
      </c>
      <c r="P18" s="6">
        <v>18</v>
      </c>
      <c r="Q18" s="6">
        <v>18</v>
      </c>
      <c r="R18" s="6">
        <v>18</v>
      </c>
      <c r="S18" s="6">
        <v>18</v>
      </c>
      <c r="T18" s="6">
        <v>18</v>
      </c>
      <c r="U18" s="6">
        <v>18</v>
      </c>
      <c r="V18" s="6">
        <v>18</v>
      </c>
      <c r="W18" s="6">
        <v>18</v>
      </c>
      <c r="X18" s="6">
        <v>18</v>
      </c>
      <c r="Y18" s="6">
        <v>18</v>
      </c>
      <c r="Z18" s="6">
        <v>18</v>
      </c>
      <c r="AA18" s="6">
        <v>18</v>
      </c>
      <c r="AB18" s="6">
        <v>18</v>
      </c>
      <c r="AC18" s="6">
        <v>18</v>
      </c>
      <c r="AD18" s="6">
        <v>18</v>
      </c>
      <c r="AE18" s="6">
        <v>18</v>
      </c>
      <c r="AF18" s="6">
        <v>18</v>
      </c>
      <c r="AG18" s="6">
        <v>18</v>
      </c>
      <c r="AH18" s="6">
        <v>18</v>
      </c>
      <c r="AI18" s="6">
        <v>18</v>
      </c>
      <c r="AJ18" s="6">
        <v>18</v>
      </c>
      <c r="AK18" s="6">
        <v>18</v>
      </c>
      <c r="AL18" s="6">
        <v>18</v>
      </c>
      <c r="AM18" s="6">
        <v>18</v>
      </c>
      <c r="AN18" s="6">
        <v>18</v>
      </c>
      <c r="AO18" s="6">
        <v>18</v>
      </c>
      <c r="AP18" s="6">
        <v>18</v>
      </c>
      <c r="AQ18" s="6">
        <v>18</v>
      </c>
      <c r="AR18" s="6">
        <v>18</v>
      </c>
      <c r="AS18" s="6">
        <v>18</v>
      </c>
      <c r="AT18" s="6">
        <v>18</v>
      </c>
      <c r="AU18" s="6">
        <v>18</v>
      </c>
      <c r="AV18" s="6">
        <v>18</v>
      </c>
      <c r="AW18" s="6">
        <v>18</v>
      </c>
      <c r="AX18" s="6">
        <v>18</v>
      </c>
      <c r="AY18" s="6">
        <v>18</v>
      </c>
      <c r="AZ18" s="6">
        <v>18</v>
      </c>
      <c r="BA18" s="6">
        <v>18</v>
      </c>
      <c r="BB18" s="6">
        <v>18</v>
      </c>
      <c r="BC18" s="6">
        <v>18</v>
      </c>
      <c r="BD18" s="6">
        <v>18</v>
      </c>
      <c r="BE18" s="6">
        <v>18</v>
      </c>
      <c r="BF18" s="6">
        <v>18</v>
      </c>
      <c r="BG18" s="6">
        <v>18</v>
      </c>
      <c r="BH18" s="6">
        <v>18</v>
      </c>
      <c r="BI18" s="6">
        <v>18</v>
      </c>
      <c r="BJ18" s="6">
        <v>18</v>
      </c>
      <c r="BK18" s="6">
        <v>18</v>
      </c>
      <c r="BL18" s="6">
        <v>18</v>
      </c>
      <c r="BM18" s="6">
        <v>18</v>
      </c>
      <c r="BN18" s="6">
        <v>18</v>
      </c>
      <c r="BO18" s="6">
        <v>18</v>
      </c>
      <c r="BP18" s="6">
        <v>18</v>
      </c>
      <c r="BQ18" s="6">
        <v>18</v>
      </c>
      <c r="BR18" s="6">
        <v>18</v>
      </c>
      <c r="BS18" s="6">
        <v>18</v>
      </c>
      <c r="BT18" s="6">
        <v>18</v>
      </c>
      <c r="BU18" s="6">
        <v>18</v>
      </c>
      <c r="BV18" s="6">
        <v>18</v>
      </c>
      <c r="BW18" s="6">
        <v>18</v>
      </c>
      <c r="BX18" s="6">
        <v>18</v>
      </c>
      <c r="BY18" s="6">
        <v>18</v>
      </c>
      <c r="BZ18" s="6">
        <v>18</v>
      </c>
      <c r="CA18" s="6">
        <v>18</v>
      </c>
      <c r="CB18" s="6">
        <v>18</v>
      </c>
      <c r="CC18" s="6">
        <v>18</v>
      </c>
      <c r="CD18" s="6">
        <v>18</v>
      </c>
      <c r="CE18" s="6">
        <v>18</v>
      </c>
      <c r="CF18" s="6">
        <v>18</v>
      </c>
      <c r="CG18" s="6">
        <v>18</v>
      </c>
      <c r="CH18" s="6">
        <v>18</v>
      </c>
      <c r="CI18" s="6">
        <v>18</v>
      </c>
      <c r="CJ18" s="6">
        <v>18</v>
      </c>
      <c r="CK18" s="6">
        <v>18</v>
      </c>
      <c r="CL18" s="6">
        <v>18</v>
      </c>
      <c r="CM18" s="6">
        <v>18</v>
      </c>
      <c r="CN18" s="6">
        <v>18</v>
      </c>
      <c r="CO18" s="6">
        <v>18</v>
      </c>
      <c r="CP18" s="6">
        <v>18</v>
      </c>
      <c r="CQ18" s="6">
        <v>18</v>
      </c>
      <c r="CR18" s="6">
        <v>18</v>
      </c>
      <c r="CS18" s="6">
        <v>18</v>
      </c>
      <c r="CT18" s="6">
        <v>18</v>
      </c>
      <c r="CU18" s="6">
        <v>18</v>
      </c>
      <c r="CV18" s="6">
        <v>18</v>
      </c>
      <c r="CW18" s="6">
        <v>18</v>
      </c>
      <c r="CX18" s="6">
        <v>18</v>
      </c>
      <c r="CY18" s="6">
        <v>18</v>
      </c>
      <c r="CZ18" s="6">
        <v>18</v>
      </c>
      <c r="DA18" s="6">
        <v>18</v>
      </c>
      <c r="DB18" s="6">
        <v>18</v>
      </c>
      <c r="DC18" s="6">
        <v>18</v>
      </c>
      <c r="DD18" s="6">
        <v>18</v>
      </c>
      <c r="DE18" s="6">
        <v>18</v>
      </c>
      <c r="DF18" s="6">
        <v>18</v>
      </c>
      <c r="DG18" s="6">
        <v>18</v>
      </c>
      <c r="DH18" s="6">
        <v>18</v>
      </c>
      <c r="DI18" s="6">
        <v>18</v>
      </c>
      <c r="DJ18" s="6">
        <v>18</v>
      </c>
      <c r="DK18" s="6">
        <v>18</v>
      </c>
      <c r="DL18" s="6">
        <v>18</v>
      </c>
      <c r="DM18" s="6">
        <v>18</v>
      </c>
      <c r="DN18" s="6">
        <v>18</v>
      </c>
      <c r="DO18" s="6">
        <v>18</v>
      </c>
      <c r="DP18" s="6">
        <v>18</v>
      </c>
      <c r="DQ18" s="6">
        <v>18</v>
      </c>
      <c r="DR18" s="6">
        <v>18</v>
      </c>
      <c r="DS18" s="6">
        <v>18</v>
      </c>
    </row>
    <row r="19" spans="1:123" x14ac:dyDescent="0.2">
      <c r="B19" t="s">
        <v>2844</v>
      </c>
      <c r="C19" t="s">
        <v>2845</v>
      </c>
      <c r="D19" s="13">
        <f>_xll.EditDistance($C$3,C19,2)</f>
        <v>10</v>
      </c>
      <c r="E19" s="13"/>
      <c r="G19" s="6">
        <v>18</v>
      </c>
      <c r="H19" s="6">
        <v>18</v>
      </c>
      <c r="I19" s="6">
        <v>18</v>
      </c>
      <c r="J19" s="6">
        <v>18</v>
      </c>
      <c r="K19" s="6">
        <v>18</v>
      </c>
      <c r="L19" s="6">
        <v>18</v>
      </c>
      <c r="M19" s="6">
        <v>18</v>
      </c>
      <c r="N19" s="6">
        <v>18</v>
      </c>
      <c r="O19" s="6">
        <v>18</v>
      </c>
      <c r="P19" s="6">
        <v>18</v>
      </c>
      <c r="Q19" s="6">
        <v>18</v>
      </c>
      <c r="R19" s="6">
        <v>18</v>
      </c>
      <c r="S19" s="6">
        <v>18</v>
      </c>
      <c r="T19" s="6">
        <v>18</v>
      </c>
      <c r="U19" s="6">
        <v>18</v>
      </c>
      <c r="V19" s="6">
        <v>18</v>
      </c>
      <c r="W19" s="6">
        <v>18</v>
      </c>
      <c r="X19" s="6">
        <v>18</v>
      </c>
      <c r="Y19" s="6">
        <v>18</v>
      </c>
      <c r="Z19" s="6">
        <v>18</v>
      </c>
      <c r="AA19" s="6">
        <v>18</v>
      </c>
      <c r="AB19" s="6">
        <v>18</v>
      </c>
      <c r="AC19" s="6">
        <v>18</v>
      </c>
      <c r="AD19" s="6">
        <v>18</v>
      </c>
      <c r="AE19" s="6">
        <v>18</v>
      </c>
      <c r="AF19" s="6">
        <v>18</v>
      </c>
      <c r="AG19" s="6">
        <v>18</v>
      </c>
      <c r="AH19" s="6">
        <v>18</v>
      </c>
      <c r="AI19" s="6">
        <v>18</v>
      </c>
      <c r="AJ19" s="6">
        <v>18</v>
      </c>
      <c r="AK19" s="6">
        <v>18</v>
      </c>
      <c r="AL19" s="6">
        <v>18</v>
      </c>
      <c r="AM19" s="6">
        <v>18</v>
      </c>
      <c r="AN19" s="6">
        <v>18</v>
      </c>
      <c r="AO19" s="6">
        <v>18</v>
      </c>
      <c r="AP19" s="6">
        <v>18</v>
      </c>
      <c r="AQ19" s="6">
        <v>18</v>
      </c>
      <c r="AR19" s="6">
        <v>18</v>
      </c>
      <c r="AS19" s="6">
        <v>18</v>
      </c>
      <c r="AT19" s="6">
        <v>18</v>
      </c>
      <c r="AU19" s="6">
        <v>18</v>
      </c>
      <c r="AV19" s="6">
        <v>18</v>
      </c>
      <c r="AW19" s="6">
        <v>18</v>
      </c>
      <c r="AX19" s="6">
        <v>18</v>
      </c>
      <c r="AY19" s="6">
        <v>18</v>
      </c>
      <c r="AZ19" s="6">
        <v>18</v>
      </c>
      <c r="BA19" s="6">
        <v>18</v>
      </c>
      <c r="BB19" s="6">
        <v>18</v>
      </c>
      <c r="BC19" s="6">
        <v>18</v>
      </c>
      <c r="BD19" s="6">
        <v>18</v>
      </c>
      <c r="BE19" s="6">
        <v>18</v>
      </c>
      <c r="BF19" s="6">
        <v>18</v>
      </c>
      <c r="BG19" s="6">
        <v>18</v>
      </c>
      <c r="BH19" s="6">
        <v>18</v>
      </c>
      <c r="BI19" s="6">
        <v>18</v>
      </c>
      <c r="BJ19" s="6">
        <v>18</v>
      </c>
      <c r="BK19" s="6">
        <v>18</v>
      </c>
      <c r="BL19" s="6">
        <v>18</v>
      </c>
      <c r="BM19" s="6">
        <v>18</v>
      </c>
      <c r="BN19" s="6">
        <v>18</v>
      </c>
      <c r="BO19" s="6">
        <v>18</v>
      </c>
      <c r="BP19" s="6">
        <v>18</v>
      </c>
      <c r="BQ19" s="6">
        <v>18</v>
      </c>
      <c r="BR19" s="6">
        <v>18</v>
      </c>
      <c r="BS19" s="6">
        <v>18</v>
      </c>
      <c r="BT19" s="6">
        <v>18</v>
      </c>
      <c r="BU19" s="6">
        <v>18</v>
      </c>
      <c r="BV19" s="6">
        <v>18</v>
      </c>
      <c r="BW19" s="6">
        <v>18</v>
      </c>
      <c r="BX19" s="6">
        <v>18</v>
      </c>
      <c r="BY19" s="6">
        <v>18</v>
      </c>
      <c r="BZ19" s="6">
        <v>18</v>
      </c>
      <c r="CA19" s="6">
        <v>18</v>
      </c>
      <c r="CB19" s="6">
        <v>18</v>
      </c>
      <c r="CC19" s="6">
        <v>18</v>
      </c>
      <c r="CD19" s="6">
        <v>18</v>
      </c>
      <c r="CE19" s="6">
        <v>18</v>
      </c>
      <c r="CF19" s="6">
        <v>18</v>
      </c>
      <c r="CG19" s="6">
        <v>18</v>
      </c>
      <c r="CH19" s="6">
        <v>18</v>
      </c>
      <c r="CI19" s="6">
        <v>18</v>
      </c>
      <c r="CJ19" s="6">
        <v>18</v>
      </c>
      <c r="CK19" s="6">
        <v>18</v>
      </c>
      <c r="CL19" s="6">
        <v>18</v>
      </c>
      <c r="CM19" s="6">
        <v>18</v>
      </c>
      <c r="CN19" s="6">
        <v>18</v>
      </c>
      <c r="CO19" s="6">
        <v>18</v>
      </c>
      <c r="CP19" s="6">
        <v>18</v>
      </c>
      <c r="CQ19" s="6">
        <v>18</v>
      </c>
      <c r="CR19" s="6">
        <v>18</v>
      </c>
      <c r="CS19" s="6">
        <v>18</v>
      </c>
      <c r="CT19" s="6">
        <v>18</v>
      </c>
      <c r="CU19" s="6">
        <v>18</v>
      </c>
      <c r="CV19" s="6">
        <v>18</v>
      </c>
      <c r="CW19" s="6">
        <v>18</v>
      </c>
      <c r="CX19" s="6">
        <v>18</v>
      </c>
      <c r="CY19" s="6">
        <v>18</v>
      </c>
      <c r="CZ19" s="6">
        <v>18</v>
      </c>
      <c r="DA19" s="6">
        <v>18</v>
      </c>
      <c r="DB19" s="6">
        <v>18</v>
      </c>
      <c r="DC19" s="6">
        <v>18</v>
      </c>
      <c r="DD19" s="6">
        <v>18</v>
      </c>
      <c r="DE19" s="6">
        <v>18</v>
      </c>
      <c r="DF19" s="6">
        <v>18</v>
      </c>
      <c r="DG19" s="6">
        <v>18</v>
      </c>
      <c r="DH19" s="6">
        <v>18</v>
      </c>
      <c r="DI19" s="6">
        <v>18</v>
      </c>
      <c r="DJ19" s="6">
        <v>18</v>
      </c>
      <c r="DK19" s="6">
        <v>18</v>
      </c>
      <c r="DL19" s="6">
        <v>18</v>
      </c>
      <c r="DM19" s="6">
        <v>18</v>
      </c>
      <c r="DN19" s="6">
        <v>18</v>
      </c>
      <c r="DO19" s="6">
        <v>18</v>
      </c>
      <c r="DP19" s="6">
        <v>18</v>
      </c>
      <c r="DQ19" s="6">
        <v>18</v>
      </c>
      <c r="DR19" s="6">
        <v>18</v>
      </c>
      <c r="DS19" s="6">
        <v>18</v>
      </c>
    </row>
    <row r="20" spans="1:123" x14ac:dyDescent="0.2">
      <c r="B20" t="s">
        <v>4146</v>
      </c>
      <c r="C20" t="s">
        <v>4147</v>
      </c>
      <c r="D20" s="13">
        <f>_xll.EditDistance($C$3,C20,2)</f>
        <v>10</v>
      </c>
      <c r="E20" s="13"/>
      <c r="G20" s="6">
        <v>18</v>
      </c>
      <c r="H20" s="6">
        <v>18</v>
      </c>
      <c r="I20" s="6">
        <v>18</v>
      </c>
      <c r="J20" s="6">
        <v>18</v>
      </c>
      <c r="K20" s="6">
        <v>18</v>
      </c>
      <c r="L20" s="6">
        <v>18</v>
      </c>
      <c r="M20" s="6">
        <v>18</v>
      </c>
      <c r="N20" s="6">
        <v>18</v>
      </c>
      <c r="O20" s="6">
        <v>18</v>
      </c>
      <c r="P20" s="6">
        <v>18</v>
      </c>
      <c r="Q20" s="6">
        <v>18</v>
      </c>
      <c r="R20" s="6">
        <v>18</v>
      </c>
      <c r="S20" s="6">
        <v>18</v>
      </c>
      <c r="T20" s="6">
        <v>18</v>
      </c>
      <c r="U20" s="6">
        <v>18</v>
      </c>
      <c r="V20" s="6">
        <v>18</v>
      </c>
      <c r="W20" s="6">
        <v>18</v>
      </c>
      <c r="X20" s="6">
        <v>18</v>
      </c>
      <c r="Y20" s="6">
        <v>18</v>
      </c>
      <c r="Z20" s="6">
        <v>18</v>
      </c>
      <c r="AA20" s="6">
        <v>18</v>
      </c>
      <c r="AB20" s="6">
        <v>18</v>
      </c>
      <c r="AC20" s="6">
        <v>18</v>
      </c>
      <c r="AD20" s="6">
        <v>18</v>
      </c>
      <c r="AE20" s="6">
        <v>18</v>
      </c>
      <c r="AF20" s="6">
        <v>18</v>
      </c>
      <c r="AG20" s="6">
        <v>18</v>
      </c>
      <c r="AH20" s="6">
        <v>18</v>
      </c>
      <c r="AI20" s="6">
        <v>18</v>
      </c>
      <c r="AJ20" s="6">
        <v>18</v>
      </c>
      <c r="AK20" s="6">
        <v>18</v>
      </c>
      <c r="AL20" s="6">
        <v>18</v>
      </c>
      <c r="AM20" s="6">
        <v>18</v>
      </c>
      <c r="AN20" s="6">
        <v>18</v>
      </c>
      <c r="AO20" s="6">
        <v>18</v>
      </c>
      <c r="AP20" s="6">
        <v>18</v>
      </c>
      <c r="AQ20" s="6">
        <v>18</v>
      </c>
      <c r="AR20" s="6">
        <v>18</v>
      </c>
      <c r="AS20" s="6">
        <v>18</v>
      </c>
      <c r="AT20" s="6">
        <v>18</v>
      </c>
      <c r="AU20" s="6">
        <v>18</v>
      </c>
      <c r="AV20" s="6">
        <v>18</v>
      </c>
      <c r="AW20" s="6">
        <v>18</v>
      </c>
      <c r="AX20" s="6">
        <v>18</v>
      </c>
      <c r="AY20" s="6">
        <v>18</v>
      </c>
      <c r="AZ20" s="6">
        <v>18</v>
      </c>
      <c r="BA20" s="6">
        <v>18</v>
      </c>
      <c r="BB20" s="6">
        <v>18</v>
      </c>
      <c r="BC20" s="6">
        <v>18</v>
      </c>
      <c r="BD20" s="6">
        <v>18</v>
      </c>
      <c r="BE20" s="6">
        <v>18</v>
      </c>
      <c r="BF20" s="6">
        <v>18</v>
      </c>
      <c r="BG20" s="6">
        <v>18</v>
      </c>
      <c r="BH20" s="6">
        <v>18</v>
      </c>
      <c r="BI20" s="6">
        <v>18</v>
      </c>
      <c r="BJ20" s="6">
        <v>18</v>
      </c>
      <c r="BK20" s="6">
        <v>18</v>
      </c>
      <c r="BL20" s="6">
        <v>18</v>
      </c>
      <c r="BM20" s="6">
        <v>18</v>
      </c>
      <c r="BN20" s="6">
        <v>18</v>
      </c>
      <c r="BO20" s="6">
        <v>18</v>
      </c>
      <c r="BP20" s="6">
        <v>18</v>
      </c>
      <c r="BQ20" s="6">
        <v>18</v>
      </c>
      <c r="BR20" s="6">
        <v>18</v>
      </c>
      <c r="BS20" s="6">
        <v>18</v>
      </c>
      <c r="BT20" s="6">
        <v>18</v>
      </c>
      <c r="BU20" s="6">
        <v>18</v>
      </c>
      <c r="BV20" s="6">
        <v>18</v>
      </c>
      <c r="BW20" s="6">
        <v>18</v>
      </c>
      <c r="BX20" s="6">
        <v>18</v>
      </c>
      <c r="BY20" s="6">
        <v>18</v>
      </c>
      <c r="BZ20" s="6">
        <v>18</v>
      </c>
      <c r="CA20" s="6">
        <v>18</v>
      </c>
      <c r="CB20" s="6">
        <v>18</v>
      </c>
      <c r="CC20" s="6">
        <v>18</v>
      </c>
      <c r="CD20" s="6">
        <v>18</v>
      </c>
      <c r="CE20" s="6">
        <v>18</v>
      </c>
      <c r="CF20" s="6">
        <v>18</v>
      </c>
      <c r="CG20" s="6">
        <v>18</v>
      </c>
      <c r="CH20" s="6">
        <v>18</v>
      </c>
      <c r="CI20" s="6">
        <v>18</v>
      </c>
      <c r="CJ20" s="6">
        <v>18</v>
      </c>
      <c r="CK20" s="6">
        <v>18</v>
      </c>
      <c r="CL20" s="6">
        <v>18</v>
      </c>
      <c r="CM20" s="6">
        <v>18</v>
      </c>
      <c r="CN20" s="6">
        <v>18</v>
      </c>
      <c r="CO20" s="6">
        <v>18</v>
      </c>
      <c r="CP20" s="6">
        <v>18</v>
      </c>
      <c r="CQ20" s="6">
        <v>18</v>
      </c>
      <c r="CR20" s="6">
        <v>18</v>
      </c>
      <c r="CS20" s="6">
        <v>18</v>
      </c>
      <c r="CT20" s="6">
        <v>18</v>
      </c>
      <c r="CU20" s="6">
        <v>18</v>
      </c>
      <c r="CV20" s="6">
        <v>18</v>
      </c>
      <c r="CW20" s="6">
        <v>18</v>
      </c>
      <c r="CX20" s="6">
        <v>18</v>
      </c>
      <c r="CY20" s="6">
        <v>18</v>
      </c>
      <c r="CZ20" s="6">
        <v>18</v>
      </c>
      <c r="DA20" s="6">
        <v>18</v>
      </c>
      <c r="DB20" s="6">
        <v>18</v>
      </c>
      <c r="DC20" s="6">
        <v>18</v>
      </c>
      <c r="DD20" s="6">
        <v>18</v>
      </c>
      <c r="DE20" s="6">
        <v>18</v>
      </c>
      <c r="DF20" s="6">
        <v>18</v>
      </c>
      <c r="DG20" s="6">
        <v>18</v>
      </c>
      <c r="DH20" s="6">
        <v>18</v>
      </c>
      <c r="DI20" s="6">
        <v>18</v>
      </c>
      <c r="DJ20" s="6">
        <v>18</v>
      </c>
      <c r="DK20" s="6">
        <v>18</v>
      </c>
      <c r="DL20" s="6">
        <v>18</v>
      </c>
      <c r="DM20" s="6">
        <v>18</v>
      </c>
      <c r="DN20" s="6">
        <v>18</v>
      </c>
      <c r="DO20" s="6">
        <v>18</v>
      </c>
      <c r="DP20" s="6">
        <v>18</v>
      </c>
      <c r="DQ20" s="6">
        <v>18</v>
      </c>
      <c r="DR20" s="6">
        <v>18</v>
      </c>
      <c r="DS20" s="6">
        <v>18</v>
      </c>
    </row>
    <row r="21" spans="1:123" x14ac:dyDescent="0.2">
      <c r="B21" t="s">
        <v>4934</v>
      </c>
      <c r="C21" t="s">
        <v>4935</v>
      </c>
      <c r="D21" s="13">
        <f>_xll.EditDistance($C$3,C21,2)</f>
        <v>18</v>
      </c>
      <c r="E21" s="13"/>
      <c r="G21" s="6">
        <v>18</v>
      </c>
      <c r="H21" s="6">
        <v>18</v>
      </c>
      <c r="I21" s="6">
        <v>18</v>
      </c>
      <c r="J21" s="6">
        <v>18</v>
      </c>
      <c r="K21" s="6">
        <v>18</v>
      </c>
      <c r="L21" s="6">
        <v>18</v>
      </c>
      <c r="M21" s="6">
        <v>18</v>
      </c>
      <c r="N21" s="6">
        <v>18</v>
      </c>
      <c r="O21" s="6">
        <v>18</v>
      </c>
      <c r="P21" s="6">
        <v>18</v>
      </c>
      <c r="Q21" s="6">
        <v>18</v>
      </c>
      <c r="R21" s="6">
        <v>18</v>
      </c>
      <c r="S21" s="6">
        <v>18</v>
      </c>
      <c r="T21" s="6">
        <v>18</v>
      </c>
      <c r="U21" s="6">
        <v>18</v>
      </c>
      <c r="V21" s="6">
        <v>18</v>
      </c>
      <c r="W21" s="6">
        <v>18</v>
      </c>
      <c r="X21" s="6">
        <v>18</v>
      </c>
      <c r="Y21" s="6">
        <v>18</v>
      </c>
      <c r="Z21" s="6">
        <v>18</v>
      </c>
      <c r="AA21" s="6">
        <v>18</v>
      </c>
      <c r="AB21" s="6">
        <v>18</v>
      </c>
      <c r="AC21" s="6">
        <v>18</v>
      </c>
      <c r="AD21" s="6">
        <v>18</v>
      </c>
      <c r="AE21" s="6">
        <v>18</v>
      </c>
      <c r="AF21" s="6">
        <v>18</v>
      </c>
      <c r="AG21" s="6">
        <v>18</v>
      </c>
      <c r="AH21" s="6">
        <v>18</v>
      </c>
      <c r="AI21" s="6">
        <v>18</v>
      </c>
      <c r="AJ21" s="6">
        <v>18</v>
      </c>
      <c r="AK21" s="6">
        <v>18</v>
      </c>
      <c r="AL21" s="6">
        <v>18</v>
      </c>
      <c r="AM21" s="6">
        <v>18</v>
      </c>
      <c r="AN21" s="6">
        <v>18</v>
      </c>
      <c r="AO21" s="6">
        <v>18</v>
      </c>
      <c r="AP21" s="6">
        <v>18</v>
      </c>
      <c r="AQ21" s="6">
        <v>18</v>
      </c>
      <c r="AR21" s="6">
        <v>18</v>
      </c>
      <c r="AS21" s="6">
        <v>18</v>
      </c>
      <c r="AT21" s="6">
        <v>18</v>
      </c>
      <c r="AU21" s="6">
        <v>18</v>
      </c>
      <c r="AV21" s="6">
        <v>18</v>
      </c>
      <c r="AW21" s="6">
        <v>18</v>
      </c>
      <c r="AX21" s="6">
        <v>18</v>
      </c>
      <c r="AY21" s="6">
        <v>18</v>
      </c>
      <c r="AZ21" s="6">
        <v>18</v>
      </c>
      <c r="BA21" s="6">
        <v>18</v>
      </c>
      <c r="BB21" s="6">
        <v>18</v>
      </c>
      <c r="BC21" s="6">
        <v>18</v>
      </c>
      <c r="BD21" s="6">
        <v>18</v>
      </c>
      <c r="BE21" s="6">
        <v>18</v>
      </c>
      <c r="BF21" s="6">
        <v>18</v>
      </c>
      <c r="BG21" s="6">
        <v>18</v>
      </c>
      <c r="BH21" s="6">
        <v>18</v>
      </c>
      <c r="BI21" s="6">
        <v>18</v>
      </c>
      <c r="BJ21" s="6">
        <v>18</v>
      </c>
      <c r="BK21" s="6">
        <v>18</v>
      </c>
      <c r="BL21" s="6">
        <v>18</v>
      </c>
      <c r="BM21" s="6">
        <v>18</v>
      </c>
      <c r="BN21" s="6">
        <v>18</v>
      </c>
      <c r="BO21" s="6">
        <v>18</v>
      </c>
      <c r="BP21" s="6">
        <v>18</v>
      </c>
      <c r="BQ21" s="6">
        <v>18</v>
      </c>
      <c r="BR21" s="6">
        <v>18</v>
      </c>
      <c r="BS21" s="6">
        <v>18</v>
      </c>
      <c r="BT21" s="6">
        <v>18</v>
      </c>
      <c r="BU21" s="6">
        <v>18</v>
      </c>
      <c r="BV21" s="6">
        <v>18</v>
      </c>
      <c r="BW21" s="6">
        <v>18</v>
      </c>
      <c r="BX21" s="6">
        <v>18</v>
      </c>
      <c r="BY21" s="6">
        <v>18</v>
      </c>
      <c r="BZ21" s="6">
        <v>18</v>
      </c>
      <c r="CA21" s="6">
        <v>18</v>
      </c>
      <c r="CB21" s="6">
        <v>18</v>
      </c>
      <c r="CC21" s="6">
        <v>18</v>
      </c>
      <c r="CD21" s="6">
        <v>18</v>
      </c>
      <c r="CE21" s="6">
        <v>18</v>
      </c>
      <c r="CF21" s="6">
        <v>18</v>
      </c>
      <c r="CG21" s="6">
        <v>18</v>
      </c>
      <c r="CH21" s="6">
        <v>18</v>
      </c>
      <c r="CI21" s="6">
        <v>18</v>
      </c>
      <c r="CJ21" s="6">
        <v>18</v>
      </c>
      <c r="CK21" s="6">
        <v>18</v>
      </c>
      <c r="CL21" s="6">
        <v>18</v>
      </c>
      <c r="CM21" s="6">
        <v>18</v>
      </c>
      <c r="CN21" s="6">
        <v>18</v>
      </c>
      <c r="CO21" s="6">
        <v>18</v>
      </c>
      <c r="CP21" s="6">
        <v>18</v>
      </c>
      <c r="CQ21" s="6">
        <v>18</v>
      </c>
      <c r="CR21" s="6">
        <v>18</v>
      </c>
      <c r="CS21" s="6">
        <v>18</v>
      </c>
      <c r="CT21" s="6">
        <v>18</v>
      </c>
      <c r="CU21" s="6">
        <v>18</v>
      </c>
      <c r="CV21" s="6">
        <v>18</v>
      </c>
      <c r="CW21" s="6">
        <v>18</v>
      </c>
      <c r="CX21" s="6">
        <v>18</v>
      </c>
      <c r="CY21" s="6">
        <v>18</v>
      </c>
      <c r="CZ21" s="6">
        <v>18</v>
      </c>
      <c r="DA21" s="6">
        <v>18</v>
      </c>
      <c r="DB21" s="6">
        <v>18</v>
      </c>
      <c r="DC21" s="6">
        <v>18</v>
      </c>
      <c r="DD21" s="6">
        <v>18</v>
      </c>
      <c r="DE21" s="6">
        <v>18</v>
      </c>
      <c r="DF21" s="6">
        <v>18</v>
      </c>
      <c r="DG21" s="6">
        <v>18</v>
      </c>
      <c r="DH21" s="6">
        <v>18</v>
      </c>
      <c r="DI21" s="6">
        <v>18</v>
      </c>
      <c r="DJ21" s="6">
        <v>18</v>
      </c>
      <c r="DK21" s="6">
        <v>18</v>
      </c>
      <c r="DL21" s="6">
        <v>18</v>
      </c>
      <c r="DM21" s="6">
        <v>18</v>
      </c>
      <c r="DN21" s="6">
        <v>18</v>
      </c>
      <c r="DO21" s="6">
        <v>18</v>
      </c>
      <c r="DP21" s="6">
        <v>18</v>
      </c>
      <c r="DQ21" s="6">
        <v>18</v>
      </c>
      <c r="DR21" s="6">
        <v>18</v>
      </c>
      <c r="DS21" s="6">
        <v>18</v>
      </c>
    </row>
    <row r="22" spans="1:123" x14ac:dyDescent="0.2">
      <c r="A22" s="13"/>
      <c r="B22" t="s">
        <v>6866</v>
      </c>
      <c r="C22" t="s">
        <v>6868</v>
      </c>
      <c r="D22" s="13">
        <f>_xll.EditDistance($C$3,C22,2)</f>
        <v>20</v>
      </c>
      <c r="E22" s="13"/>
      <c r="G22" s="6">
        <v>18</v>
      </c>
      <c r="H22" s="6">
        <v>18</v>
      </c>
      <c r="I22" s="6">
        <v>18</v>
      </c>
      <c r="J22" s="6">
        <v>18</v>
      </c>
      <c r="K22" s="6">
        <v>18</v>
      </c>
      <c r="L22" s="6">
        <v>18</v>
      </c>
      <c r="M22" s="6">
        <v>18</v>
      </c>
      <c r="N22" s="6">
        <v>18</v>
      </c>
      <c r="O22" s="6">
        <v>18</v>
      </c>
      <c r="P22" s="6">
        <v>18</v>
      </c>
      <c r="Q22" s="6">
        <v>18</v>
      </c>
      <c r="R22" s="6">
        <v>18</v>
      </c>
      <c r="S22" s="6">
        <v>18</v>
      </c>
      <c r="T22" s="6">
        <v>18</v>
      </c>
      <c r="U22" s="6">
        <v>18</v>
      </c>
      <c r="V22" s="6">
        <v>18</v>
      </c>
      <c r="W22" s="6">
        <v>18</v>
      </c>
      <c r="X22" s="6">
        <v>18</v>
      </c>
      <c r="Y22" s="6">
        <v>18</v>
      </c>
      <c r="Z22" s="6">
        <v>18</v>
      </c>
      <c r="AA22" s="6">
        <v>18</v>
      </c>
      <c r="AB22" s="6">
        <v>18</v>
      </c>
      <c r="AC22" s="6">
        <v>18</v>
      </c>
      <c r="AD22" s="6">
        <v>18</v>
      </c>
      <c r="AE22" s="6">
        <v>18</v>
      </c>
      <c r="AF22" s="6">
        <v>18</v>
      </c>
      <c r="AG22" s="6">
        <v>18</v>
      </c>
      <c r="AH22" s="6">
        <v>18</v>
      </c>
      <c r="AI22" s="6">
        <v>18</v>
      </c>
      <c r="AJ22" s="6">
        <v>18</v>
      </c>
      <c r="AK22" s="6">
        <v>18</v>
      </c>
      <c r="AL22" s="6">
        <v>18</v>
      </c>
      <c r="AM22" s="6">
        <v>18</v>
      </c>
      <c r="AN22" s="6">
        <v>18</v>
      </c>
      <c r="AO22" s="6">
        <v>18</v>
      </c>
      <c r="AP22" s="6">
        <v>18</v>
      </c>
      <c r="AQ22" s="6">
        <v>18</v>
      </c>
      <c r="AR22" s="6">
        <v>18</v>
      </c>
      <c r="AS22" s="6">
        <v>18</v>
      </c>
      <c r="AT22" s="6">
        <v>18</v>
      </c>
      <c r="AU22" s="6">
        <v>18</v>
      </c>
      <c r="AV22" s="6">
        <v>18</v>
      </c>
      <c r="AW22" s="6">
        <v>18</v>
      </c>
      <c r="AX22" s="6">
        <v>18</v>
      </c>
      <c r="AY22" s="6">
        <v>18</v>
      </c>
      <c r="AZ22" s="6">
        <v>18</v>
      </c>
      <c r="BA22" s="6">
        <v>18</v>
      </c>
      <c r="BB22" s="6">
        <v>18</v>
      </c>
      <c r="BC22" s="6">
        <v>18</v>
      </c>
      <c r="BD22" s="6">
        <v>18</v>
      </c>
      <c r="BE22" s="6">
        <v>18</v>
      </c>
      <c r="BF22" s="6">
        <v>18</v>
      </c>
      <c r="BG22" s="6">
        <v>18</v>
      </c>
      <c r="BH22" s="6">
        <v>18</v>
      </c>
      <c r="BI22" s="6">
        <v>18</v>
      </c>
      <c r="BJ22" s="6">
        <v>18</v>
      </c>
      <c r="BK22" s="6">
        <v>18</v>
      </c>
      <c r="BL22" s="6">
        <v>18</v>
      </c>
      <c r="BM22" s="6">
        <v>18</v>
      </c>
      <c r="BN22" s="6">
        <v>18</v>
      </c>
      <c r="BO22" s="6">
        <v>18</v>
      </c>
      <c r="BP22" s="6">
        <v>18</v>
      </c>
      <c r="BQ22" s="6">
        <v>18</v>
      </c>
      <c r="BR22" s="6">
        <v>18</v>
      </c>
      <c r="BS22" s="6">
        <v>18</v>
      </c>
      <c r="BT22" s="6">
        <v>18</v>
      </c>
      <c r="BU22" s="6">
        <v>18</v>
      </c>
      <c r="BV22" s="6">
        <v>18</v>
      </c>
      <c r="BW22" s="6">
        <v>18</v>
      </c>
      <c r="BX22" s="6">
        <v>18</v>
      </c>
      <c r="BY22" s="6">
        <v>18</v>
      </c>
      <c r="BZ22" s="6">
        <v>18</v>
      </c>
      <c r="CA22" s="6">
        <v>18</v>
      </c>
      <c r="CB22" s="6">
        <v>18</v>
      </c>
      <c r="CC22" s="6">
        <v>18</v>
      </c>
      <c r="CD22" s="6">
        <v>18</v>
      </c>
      <c r="CE22" s="6">
        <v>18</v>
      </c>
      <c r="CF22" s="6">
        <v>18</v>
      </c>
      <c r="CG22" s="6">
        <v>18</v>
      </c>
      <c r="CH22" s="6">
        <v>18</v>
      </c>
      <c r="CI22" s="6">
        <v>18</v>
      </c>
      <c r="CJ22" s="6">
        <v>18</v>
      </c>
      <c r="CK22" s="6">
        <v>18</v>
      </c>
      <c r="CL22" s="6">
        <v>18</v>
      </c>
      <c r="CM22" s="6">
        <v>18</v>
      </c>
      <c r="CN22" s="6">
        <v>18</v>
      </c>
      <c r="CO22" s="6">
        <v>18</v>
      </c>
      <c r="CP22" s="6">
        <v>18</v>
      </c>
      <c r="CQ22" s="6">
        <v>18</v>
      </c>
      <c r="CR22" s="6">
        <v>18</v>
      </c>
      <c r="CS22" s="6">
        <v>18</v>
      </c>
      <c r="CT22" s="6">
        <v>18</v>
      </c>
      <c r="CU22" s="6">
        <v>18</v>
      </c>
      <c r="CV22" s="6">
        <v>18</v>
      </c>
      <c r="CW22" s="6">
        <v>18</v>
      </c>
      <c r="CX22" s="6">
        <v>18</v>
      </c>
      <c r="CY22" s="6">
        <v>18</v>
      </c>
      <c r="CZ22" s="6">
        <v>18</v>
      </c>
      <c r="DA22" s="6">
        <v>18</v>
      </c>
      <c r="DB22" s="6">
        <v>18</v>
      </c>
      <c r="DC22" s="6">
        <v>18</v>
      </c>
      <c r="DD22" s="6">
        <v>18</v>
      </c>
      <c r="DE22" s="6">
        <v>18</v>
      </c>
      <c r="DF22" s="6">
        <v>18</v>
      </c>
      <c r="DG22" s="6">
        <v>18</v>
      </c>
      <c r="DH22" s="6">
        <v>18</v>
      </c>
      <c r="DI22" s="6">
        <v>18</v>
      </c>
      <c r="DJ22" s="6">
        <v>18</v>
      </c>
      <c r="DK22" s="6">
        <v>18</v>
      </c>
      <c r="DL22" s="6">
        <v>18</v>
      </c>
      <c r="DM22" s="6">
        <v>18</v>
      </c>
      <c r="DN22" s="6">
        <v>18</v>
      </c>
      <c r="DO22" s="6">
        <v>18</v>
      </c>
      <c r="DP22" s="6">
        <v>18</v>
      </c>
      <c r="DQ22" s="6">
        <v>18</v>
      </c>
      <c r="DR22" s="6">
        <v>18</v>
      </c>
      <c r="DS22" s="6">
        <v>18</v>
      </c>
    </row>
    <row r="23" spans="1:123" x14ac:dyDescent="0.2">
      <c r="B23" t="s">
        <v>8197</v>
      </c>
      <c r="C23" t="s">
        <v>8198</v>
      </c>
      <c r="D23" s="13">
        <f>_xll.EditDistance($C$3,C23,2)</f>
        <v>10</v>
      </c>
      <c r="E23" s="13"/>
      <c r="G23" s="6">
        <v>18</v>
      </c>
      <c r="H23" s="6">
        <v>18</v>
      </c>
      <c r="I23" s="6">
        <v>18</v>
      </c>
      <c r="J23" s="6">
        <v>18</v>
      </c>
      <c r="K23" s="6">
        <v>18</v>
      </c>
      <c r="L23" s="6">
        <v>18</v>
      </c>
      <c r="M23" s="6">
        <v>18</v>
      </c>
      <c r="N23" s="6">
        <v>18</v>
      </c>
      <c r="O23" s="6">
        <v>18</v>
      </c>
      <c r="P23" s="6">
        <v>18</v>
      </c>
      <c r="Q23" s="6">
        <v>18</v>
      </c>
      <c r="R23" s="6">
        <v>18</v>
      </c>
      <c r="S23" s="6">
        <v>18</v>
      </c>
      <c r="T23" s="6">
        <v>18</v>
      </c>
      <c r="U23" s="6">
        <v>18</v>
      </c>
      <c r="V23" s="6">
        <v>18</v>
      </c>
      <c r="W23" s="6">
        <v>18</v>
      </c>
      <c r="X23" s="6">
        <v>18</v>
      </c>
      <c r="Y23" s="6">
        <v>18</v>
      </c>
      <c r="Z23" s="6">
        <v>18</v>
      </c>
      <c r="AA23" s="6">
        <v>18</v>
      </c>
      <c r="AB23" s="6">
        <v>18</v>
      </c>
      <c r="AC23" s="6">
        <v>18</v>
      </c>
      <c r="AD23" s="6">
        <v>18</v>
      </c>
      <c r="AE23" s="6">
        <v>18</v>
      </c>
      <c r="AF23" s="6">
        <v>18</v>
      </c>
      <c r="AG23" s="6">
        <v>18</v>
      </c>
      <c r="AH23" s="6">
        <v>18</v>
      </c>
      <c r="AI23" s="6">
        <v>18</v>
      </c>
      <c r="AJ23" s="6">
        <v>18</v>
      </c>
      <c r="AK23" s="6">
        <v>18</v>
      </c>
      <c r="AL23" s="6">
        <v>18</v>
      </c>
      <c r="AM23" s="6">
        <v>18</v>
      </c>
      <c r="AN23" s="6">
        <v>18</v>
      </c>
      <c r="AO23" s="6">
        <v>18</v>
      </c>
      <c r="AP23" s="6">
        <v>18</v>
      </c>
      <c r="AQ23" s="6">
        <v>18</v>
      </c>
      <c r="AR23" s="6">
        <v>18</v>
      </c>
      <c r="AS23" s="6">
        <v>18</v>
      </c>
      <c r="AT23" s="6">
        <v>18</v>
      </c>
      <c r="AU23" s="6">
        <v>18</v>
      </c>
      <c r="AV23" s="6">
        <v>18</v>
      </c>
      <c r="AW23" s="6">
        <v>18</v>
      </c>
      <c r="AX23" s="6">
        <v>18</v>
      </c>
      <c r="AY23" s="6">
        <v>18</v>
      </c>
      <c r="AZ23" s="6">
        <v>18</v>
      </c>
      <c r="BA23" s="6">
        <v>18</v>
      </c>
      <c r="BB23" s="6">
        <v>18</v>
      </c>
      <c r="BC23" s="6">
        <v>18</v>
      </c>
      <c r="BD23" s="6">
        <v>18</v>
      </c>
      <c r="BE23" s="6">
        <v>18</v>
      </c>
      <c r="BF23" s="6">
        <v>18</v>
      </c>
      <c r="BG23" s="6">
        <v>18</v>
      </c>
      <c r="BH23" s="6">
        <v>18</v>
      </c>
      <c r="BI23" s="6">
        <v>18</v>
      </c>
      <c r="BJ23" s="6">
        <v>18</v>
      </c>
      <c r="BK23" s="6">
        <v>18</v>
      </c>
      <c r="BL23" s="6">
        <v>18</v>
      </c>
      <c r="BM23" s="6">
        <v>18</v>
      </c>
      <c r="BN23" s="6">
        <v>18</v>
      </c>
      <c r="BO23" s="6">
        <v>18</v>
      </c>
      <c r="BP23" s="6">
        <v>18</v>
      </c>
      <c r="BQ23" s="6">
        <v>18</v>
      </c>
      <c r="BR23" s="6">
        <v>18</v>
      </c>
      <c r="BS23" s="6">
        <v>18</v>
      </c>
      <c r="BT23" s="6">
        <v>18</v>
      </c>
      <c r="BU23" s="6">
        <v>18</v>
      </c>
      <c r="BV23" s="6">
        <v>18</v>
      </c>
      <c r="BW23" s="6">
        <v>18</v>
      </c>
      <c r="BX23" s="6">
        <v>18</v>
      </c>
      <c r="BY23" s="6">
        <v>18</v>
      </c>
      <c r="BZ23" s="6">
        <v>18</v>
      </c>
      <c r="CA23" s="6">
        <v>18</v>
      </c>
      <c r="CB23" s="6">
        <v>18</v>
      </c>
      <c r="CC23" s="6">
        <v>18</v>
      </c>
      <c r="CD23" s="6">
        <v>18</v>
      </c>
      <c r="CE23" s="6">
        <v>18</v>
      </c>
      <c r="CF23" s="6">
        <v>18</v>
      </c>
      <c r="CG23" s="6">
        <v>18</v>
      </c>
      <c r="CH23" s="6">
        <v>18</v>
      </c>
      <c r="CI23" s="6">
        <v>18</v>
      </c>
      <c r="CJ23" s="6">
        <v>18</v>
      </c>
      <c r="CK23" s="6">
        <v>18</v>
      </c>
      <c r="CL23" s="6">
        <v>18</v>
      </c>
      <c r="CM23" s="6">
        <v>18</v>
      </c>
      <c r="CN23" s="6">
        <v>18</v>
      </c>
      <c r="CO23" s="6">
        <v>18</v>
      </c>
      <c r="CP23" s="6">
        <v>18</v>
      </c>
      <c r="CQ23" s="6">
        <v>18</v>
      </c>
      <c r="CR23" s="6">
        <v>18</v>
      </c>
      <c r="CS23" s="6">
        <v>18</v>
      </c>
      <c r="CT23" s="6">
        <v>18</v>
      </c>
      <c r="CU23" s="6">
        <v>18</v>
      </c>
      <c r="CV23" s="6">
        <v>18</v>
      </c>
      <c r="CW23" s="6">
        <v>18</v>
      </c>
      <c r="CX23" s="6">
        <v>18</v>
      </c>
      <c r="CY23" s="6">
        <v>18</v>
      </c>
      <c r="CZ23" s="6">
        <v>18</v>
      </c>
      <c r="DA23" s="6">
        <v>18</v>
      </c>
      <c r="DB23" s="6">
        <v>18</v>
      </c>
      <c r="DC23" s="6">
        <v>18</v>
      </c>
      <c r="DD23" s="6">
        <v>18</v>
      </c>
      <c r="DE23" s="6">
        <v>18</v>
      </c>
      <c r="DF23" s="6">
        <v>18</v>
      </c>
      <c r="DG23" s="6">
        <v>18</v>
      </c>
      <c r="DH23" s="6">
        <v>18</v>
      </c>
      <c r="DI23" s="6">
        <v>18</v>
      </c>
      <c r="DJ23" s="6">
        <v>18</v>
      </c>
      <c r="DK23" s="6">
        <v>18</v>
      </c>
      <c r="DL23" s="6">
        <v>18</v>
      </c>
      <c r="DM23" s="6">
        <v>18</v>
      </c>
      <c r="DN23" s="6">
        <v>18</v>
      </c>
      <c r="DO23" s="6">
        <v>18</v>
      </c>
      <c r="DP23" s="6">
        <v>18</v>
      </c>
      <c r="DQ23" s="6">
        <v>18</v>
      </c>
      <c r="DR23" s="6">
        <v>18</v>
      </c>
      <c r="DS23" s="6">
        <v>18</v>
      </c>
    </row>
    <row r="24" spans="1:123" x14ac:dyDescent="0.2">
      <c r="B24" t="s">
        <v>1403</v>
      </c>
      <c r="C24" t="s">
        <v>1404</v>
      </c>
      <c r="D24" s="13">
        <f>_xll.EditDistance($C$3,C24,2)</f>
        <v>20</v>
      </c>
      <c r="E24" s="13"/>
      <c r="G24" s="6">
        <v>18</v>
      </c>
      <c r="H24" s="6">
        <v>18</v>
      </c>
      <c r="I24" s="6">
        <v>18</v>
      </c>
      <c r="J24" s="6">
        <v>18</v>
      </c>
      <c r="K24" s="6">
        <v>18</v>
      </c>
      <c r="L24" s="6">
        <v>18</v>
      </c>
      <c r="M24" s="6">
        <v>18</v>
      </c>
      <c r="N24" s="6">
        <v>18</v>
      </c>
      <c r="O24" s="6">
        <v>18</v>
      </c>
      <c r="P24" s="6">
        <v>18</v>
      </c>
      <c r="Q24" s="6">
        <v>18</v>
      </c>
      <c r="R24" s="6">
        <v>18</v>
      </c>
      <c r="S24" s="6">
        <v>18</v>
      </c>
      <c r="T24" s="6">
        <v>18</v>
      </c>
      <c r="U24" s="6">
        <v>18</v>
      </c>
      <c r="V24" s="6">
        <v>18</v>
      </c>
      <c r="W24" s="6">
        <v>18</v>
      </c>
      <c r="X24" s="6">
        <v>18</v>
      </c>
      <c r="Y24" s="6">
        <v>18</v>
      </c>
      <c r="Z24" s="6">
        <v>18</v>
      </c>
      <c r="AA24" s="6">
        <v>18</v>
      </c>
      <c r="AB24" s="6">
        <v>18</v>
      </c>
      <c r="AC24" s="6">
        <v>18</v>
      </c>
      <c r="AD24" s="6">
        <v>18</v>
      </c>
      <c r="AE24" s="6">
        <v>18</v>
      </c>
      <c r="AF24" s="6">
        <v>18</v>
      </c>
      <c r="AG24" s="6">
        <v>18</v>
      </c>
      <c r="AH24" s="6">
        <v>18</v>
      </c>
      <c r="AI24" s="6">
        <v>18</v>
      </c>
      <c r="AJ24" s="6">
        <v>18</v>
      </c>
      <c r="AK24" s="6">
        <v>18</v>
      </c>
      <c r="AL24" s="6">
        <v>18</v>
      </c>
      <c r="AM24" s="6">
        <v>18</v>
      </c>
      <c r="AN24" s="6">
        <v>18</v>
      </c>
      <c r="AO24" s="6">
        <v>18</v>
      </c>
      <c r="AP24" s="6">
        <v>18</v>
      </c>
      <c r="AQ24" s="6">
        <v>18</v>
      </c>
      <c r="AR24" s="6">
        <v>18</v>
      </c>
      <c r="AS24" s="6">
        <v>18</v>
      </c>
      <c r="AT24" s="6">
        <v>18</v>
      </c>
      <c r="AU24" s="6">
        <v>18</v>
      </c>
      <c r="AV24" s="6">
        <v>18</v>
      </c>
      <c r="AW24" s="6">
        <v>18</v>
      </c>
      <c r="AX24" s="6">
        <v>18</v>
      </c>
      <c r="AY24" s="6">
        <v>18</v>
      </c>
      <c r="AZ24" s="6">
        <v>18</v>
      </c>
      <c r="BA24" s="6">
        <v>18</v>
      </c>
      <c r="BB24" s="6">
        <v>18</v>
      </c>
      <c r="BC24" s="6">
        <v>18</v>
      </c>
      <c r="BD24" s="6">
        <v>18</v>
      </c>
      <c r="BE24" s="6">
        <v>18</v>
      </c>
      <c r="BF24" s="6">
        <v>18</v>
      </c>
      <c r="BG24" s="6">
        <v>18</v>
      </c>
      <c r="BH24" s="6">
        <v>18</v>
      </c>
      <c r="BI24" s="6">
        <v>18</v>
      </c>
      <c r="BJ24" s="6">
        <v>18</v>
      </c>
      <c r="BK24" s="6">
        <v>18</v>
      </c>
      <c r="BL24" s="6">
        <v>18</v>
      </c>
      <c r="BM24" s="6">
        <v>18</v>
      </c>
      <c r="BN24" s="6">
        <v>18</v>
      </c>
      <c r="BO24" s="6">
        <v>18</v>
      </c>
      <c r="BP24" s="6">
        <v>18</v>
      </c>
      <c r="BQ24" s="6">
        <v>18</v>
      </c>
      <c r="BR24" s="6">
        <v>18</v>
      </c>
      <c r="BS24" s="6">
        <v>18</v>
      </c>
      <c r="BT24" s="6">
        <v>18</v>
      </c>
      <c r="BU24" s="6">
        <v>18</v>
      </c>
      <c r="BV24" s="6">
        <v>18</v>
      </c>
      <c r="BW24" s="6">
        <v>18</v>
      </c>
      <c r="BX24" s="6">
        <v>18</v>
      </c>
      <c r="BY24" s="6">
        <v>18</v>
      </c>
      <c r="BZ24" s="6">
        <v>18</v>
      </c>
      <c r="CA24" s="6">
        <v>18</v>
      </c>
      <c r="CB24" s="6">
        <v>18</v>
      </c>
      <c r="CC24" s="6">
        <v>18</v>
      </c>
      <c r="CD24" s="6">
        <v>18</v>
      </c>
      <c r="CE24" s="6">
        <v>18</v>
      </c>
      <c r="CF24" s="6">
        <v>18</v>
      </c>
      <c r="CG24" s="6">
        <v>18</v>
      </c>
      <c r="CH24" s="6">
        <v>18</v>
      </c>
      <c r="CI24" s="6">
        <v>18</v>
      </c>
      <c r="CJ24" s="6">
        <v>18</v>
      </c>
      <c r="CK24" s="6">
        <v>18</v>
      </c>
      <c r="CL24" s="6">
        <v>18</v>
      </c>
      <c r="CM24" s="6">
        <v>18</v>
      </c>
      <c r="CN24" s="6">
        <v>18</v>
      </c>
      <c r="CO24" s="6">
        <v>18</v>
      </c>
      <c r="CP24" s="6">
        <v>18</v>
      </c>
      <c r="CQ24" s="6">
        <v>18</v>
      </c>
      <c r="CR24" s="6">
        <v>18</v>
      </c>
      <c r="CS24" s="6">
        <v>18</v>
      </c>
      <c r="CT24" s="6">
        <v>18</v>
      </c>
      <c r="CU24" s="6">
        <v>18</v>
      </c>
      <c r="CV24" s="6">
        <v>18</v>
      </c>
      <c r="CW24" s="6">
        <v>18</v>
      </c>
      <c r="CX24" s="6">
        <v>18</v>
      </c>
      <c r="CY24" s="6">
        <v>18</v>
      </c>
      <c r="CZ24" s="6">
        <v>18</v>
      </c>
      <c r="DA24" s="6">
        <v>18</v>
      </c>
      <c r="DB24" s="6">
        <v>18</v>
      </c>
      <c r="DC24" s="6">
        <v>18</v>
      </c>
      <c r="DD24" s="6">
        <v>18</v>
      </c>
      <c r="DE24" s="6">
        <v>18</v>
      </c>
      <c r="DF24" s="6">
        <v>18</v>
      </c>
      <c r="DG24" s="6">
        <v>18</v>
      </c>
      <c r="DH24" s="6">
        <v>18</v>
      </c>
      <c r="DI24" s="6">
        <v>18</v>
      </c>
      <c r="DJ24" s="6">
        <v>18</v>
      </c>
      <c r="DK24" s="6">
        <v>18</v>
      </c>
      <c r="DL24" s="6">
        <v>18</v>
      </c>
      <c r="DM24" s="6">
        <v>18</v>
      </c>
      <c r="DN24" s="6">
        <v>18</v>
      </c>
      <c r="DO24" s="6">
        <v>18</v>
      </c>
      <c r="DP24" s="6">
        <v>18</v>
      </c>
      <c r="DQ24" s="6">
        <v>18</v>
      </c>
      <c r="DR24" s="6">
        <v>18</v>
      </c>
      <c r="DS24" s="6">
        <v>18</v>
      </c>
    </row>
    <row r="25" spans="1:123" x14ac:dyDescent="0.2">
      <c r="B25" t="s">
        <v>1846</v>
      </c>
      <c r="C25" t="s">
        <v>1847</v>
      </c>
      <c r="D25" s="13">
        <f>_xll.EditDistance($C$3,C25,2)</f>
        <v>20</v>
      </c>
      <c r="E25" s="13"/>
      <c r="G25" s="6">
        <v>18</v>
      </c>
      <c r="H25" s="6">
        <v>18</v>
      </c>
      <c r="I25" s="6">
        <v>18</v>
      </c>
      <c r="J25" s="6">
        <v>18</v>
      </c>
      <c r="K25" s="6">
        <v>18</v>
      </c>
      <c r="L25" s="6">
        <v>18</v>
      </c>
      <c r="M25" s="6">
        <v>18</v>
      </c>
      <c r="N25" s="6">
        <v>18</v>
      </c>
      <c r="O25" s="6">
        <v>18</v>
      </c>
      <c r="P25" s="6">
        <v>18</v>
      </c>
      <c r="Q25" s="6">
        <v>18</v>
      </c>
      <c r="R25" s="6">
        <v>18</v>
      </c>
      <c r="S25" s="6">
        <v>18</v>
      </c>
      <c r="T25" s="6">
        <v>18</v>
      </c>
      <c r="U25" s="6">
        <v>18</v>
      </c>
      <c r="V25" s="6">
        <v>18</v>
      </c>
      <c r="W25" s="6">
        <v>18</v>
      </c>
      <c r="X25" s="6">
        <v>18</v>
      </c>
      <c r="Y25" s="6">
        <v>18</v>
      </c>
      <c r="Z25" s="6">
        <v>18</v>
      </c>
      <c r="AA25" s="6">
        <v>18</v>
      </c>
      <c r="AB25" s="6">
        <v>18</v>
      </c>
      <c r="AC25" s="6">
        <v>18</v>
      </c>
      <c r="AD25" s="6">
        <v>18</v>
      </c>
      <c r="AE25" s="6">
        <v>18</v>
      </c>
      <c r="AF25" s="6">
        <v>18</v>
      </c>
      <c r="AG25" s="6">
        <v>18</v>
      </c>
      <c r="AH25" s="6">
        <v>18</v>
      </c>
      <c r="AI25" s="6">
        <v>18</v>
      </c>
      <c r="AJ25" s="6">
        <v>18</v>
      </c>
      <c r="AK25" s="6">
        <v>18</v>
      </c>
      <c r="AL25" s="6">
        <v>18</v>
      </c>
      <c r="AM25" s="6">
        <v>18</v>
      </c>
      <c r="AN25" s="6">
        <v>18</v>
      </c>
      <c r="AO25" s="6">
        <v>18</v>
      </c>
      <c r="AP25" s="6">
        <v>18</v>
      </c>
      <c r="AQ25" s="6">
        <v>18</v>
      </c>
      <c r="AR25" s="6">
        <v>18</v>
      </c>
      <c r="AS25" s="6">
        <v>18</v>
      </c>
      <c r="AT25" s="6">
        <v>18</v>
      </c>
      <c r="AU25" s="6">
        <v>18</v>
      </c>
      <c r="AV25" s="6">
        <v>18</v>
      </c>
      <c r="AW25" s="6">
        <v>18</v>
      </c>
      <c r="AX25" s="6">
        <v>18</v>
      </c>
      <c r="AY25" s="6">
        <v>18</v>
      </c>
      <c r="AZ25" s="6">
        <v>18</v>
      </c>
      <c r="BA25" s="6">
        <v>18</v>
      </c>
      <c r="BB25" s="6">
        <v>18</v>
      </c>
      <c r="BC25" s="6">
        <v>18</v>
      </c>
      <c r="BD25" s="6">
        <v>18</v>
      </c>
      <c r="BE25" s="6">
        <v>18</v>
      </c>
      <c r="BF25" s="6">
        <v>18</v>
      </c>
      <c r="BG25" s="6">
        <v>18</v>
      </c>
      <c r="BH25" s="6">
        <v>18</v>
      </c>
      <c r="BI25" s="6">
        <v>18</v>
      </c>
      <c r="BJ25" s="6">
        <v>18</v>
      </c>
      <c r="BK25" s="6">
        <v>18</v>
      </c>
      <c r="BL25" s="6">
        <v>18</v>
      </c>
      <c r="BM25" s="6">
        <v>18</v>
      </c>
      <c r="BN25" s="6">
        <v>18</v>
      </c>
      <c r="BO25" s="6">
        <v>18</v>
      </c>
      <c r="BP25" s="6">
        <v>18</v>
      </c>
      <c r="BQ25" s="6">
        <v>18</v>
      </c>
      <c r="BR25" s="6">
        <v>18</v>
      </c>
      <c r="BS25" s="6">
        <v>18</v>
      </c>
      <c r="BT25" s="6">
        <v>18</v>
      </c>
      <c r="BU25" s="6">
        <v>18</v>
      </c>
      <c r="BV25" s="6">
        <v>18</v>
      </c>
      <c r="BW25" s="6">
        <v>18</v>
      </c>
      <c r="BX25" s="6">
        <v>18</v>
      </c>
      <c r="BY25" s="6">
        <v>18</v>
      </c>
      <c r="BZ25" s="6">
        <v>18</v>
      </c>
      <c r="CA25" s="6">
        <v>18</v>
      </c>
      <c r="CB25" s="6">
        <v>18</v>
      </c>
      <c r="CC25" s="6">
        <v>18</v>
      </c>
      <c r="CD25" s="6">
        <v>18</v>
      </c>
      <c r="CE25" s="6">
        <v>18</v>
      </c>
      <c r="CF25" s="6">
        <v>18</v>
      </c>
      <c r="CG25" s="6">
        <v>18</v>
      </c>
      <c r="CH25" s="6">
        <v>18</v>
      </c>
      <c r="CI25" s="6">
        <v>18</v>
      </c>
      <c r="CJ25" s="6">
        <v>18</v>
      </c>
      <c r="CK25" s="6">
        <v>18</v>
      </c>
      <c r="CL25" s="6">
        <v>18</v>
      </c>
      <c r="CM25" s="6">
        <v>18</v>
      </c>
      <c r="CN25" s="6">
        <v>18</v>
      </c>
      <c r="CO25" s="6">
        <v>18</v>
      </c>
      <c r="CP25" s="6">
        <v>18</v>
      </c>
      <c r="CQ25" s="6">
        <v>18</v>
      </c>
      <c r="CR25" s="6">
        <v>18</v>
      </c>
      <c r="CS25" s="6">
        <v>18</v>
      </c>
      <c r="CT25" s="6">
        <v>18</v>
      </c>
      <c r="CU25" s="6">
        <v>18</v>
      </c>
      <c r="CV25" s="6">
        <v>18</v>
      </c>
      <c r="CW25" s="6">
        <v>18</v>
      </c>
      <c r="CX25" s="6">
        <v>18</v>
      </c>
      <c r="CY25" s="6">
        <v>18</v>
      </c>
      <c r="CZ25" s="6">
        <v>18</v>
      </c>
      <c r="DA25" s="6">
        <v>18</v>
      </c>
      <c r="DB25" s="6">
        <v>18</v>
      </c>
      <c r="DC25" s="6">
        <v>18</v>
      </c>
      <c r="DD25" s="6">
        <v>18</v>
      </c>
      <c r="DE25" s="6">
        <v>18</v>
      </c>
      <c r="DF25" s="6">
        <v>18</v>
      </c>
      <c r="DG25" s="6">
        <v>18</v>
      </c>
      <c r="DH25" s="6">
        <v>18</v>
      </c>
      <c r="DI25" s="6">
        <v>18</v>
      </c>
      <c r="DJ25" s="6">
        <v>18</v>
      </c>
      <c r="DK25" s="6">
        <v>18</v>
      </c>
      <c r="DL25" s="6">
        <v>18</v>
      </c>
      <c r="DM25" s="6">
        <v>18</v>
      </c>
      <c r="DN25" s="6">
        <v>18</v>
      </c>
      <c r="DO25" s="6">
        <v>18</v>
      </c>
      <c r="DP25" s="6">
        <v>18</v>
      </c>
      <c r="DQ25" s="6">
        <v>18</v>
      </c>
      <c r="DR25" s="6">
        <v>18</v>
      </c>
      <c r="DS25" s="6">
        <v>18</v>
      </c>
    </row>
    <row r="26" spans="1:123" x14ac:dyDescent="0.2">
      <c r="B26" t="s">
        <v>2038</v>
      </c>
      <c r="C26" t="s">
        <v>2039</v>
      </c>
      <c r="D26" s="13">
        <f>_xll.EditDistance($C$3,C26,2)</f>
        <v>18</v>
      </c>
      <c r="E26" s="13"/>
    </row>
    <row r="27" spans="1:123" x14ac:dyDescent="0.2">
      <c r="B27" t="s">
        <v>2403</v>
      </c>
      <c r="C27" t="s">
        <v>2405</v>
      </c>
      <c r="D27" s="13">
        <f>_xll.EditDistance($C$3,C27,2)</f>
        <v>20</v>
      </c>
      <c r="E27" s="13"/>
    </row>
    <row r="28" spans="1:123" x14ac:dyDescent="0.2">
      <c r="B28" t="s">
        <v>6357</v>
      </c>
      <c r="C28" t="s">
        <v>6359</v>
      </c>
      <c r="D28" s="13">
        <f>_xll.EditDistance($C$3,C28,2)</f>
        <v>20</v>
      </c>
      <c r="E28" s="13"/>
      <c r="G28">
        <v>0</v>
      </c>
      <c r="H28">
        <f>1+G27</f>
        <v>1</v>
      </c>
      <c r="I28">
        <f t="shared" ref="I28:AB28" si="0">1+H28</f>
        <v>2</v>
      </c>
      <c r="J28">
        <f t="shared" si="0"/>
        <v>3</v>
      </c>
      <c r="K28">
        <f t="shared" si="0"/>
        <v>4</v>
      </c>
      <c r="L28">
        <f t="shared" si="0"/>
        <v>5</v>
      </c>
      <c r="M28">
        <f t="shared" si="0"/>
        <v>6</v>
      </c>
      <c r="N28">
        <f t="shared" si="0"/>
        <v>7</v>
      </c>
      <c r="O28">
        <f t="shared" si="0"/>
        <v>8</v>
      </c>
      <c r="P28">
        <f t="shared" si="0"/>
        <v>9</v>
      </c>
      <c r="Q28">
        <f t="shared" si="0"/>
        <v>10</v>
      </c>
      <c r="R28">
        <f t="shared" si="0"/>
        <v>11</v>
      </c>
      <c r="S28">
        <f t="shared" si="0"/>
        <v>12</v>
      </c>
      <c r="T28">
        <f t="shared" si="0"/>
        <v>13</v>
      </c>
      <c r="U28">
        <f t="shared" si="0"/>
        <v>14</v>
      </c>
      <c r="V28">
        <f t="shared" si="0"/>
        <v>15</v>
      </c>
      <c r="W28">
        <f t="shared" si="0"/>
        <v>16</v>
      </c>
      <c r="X28">
        <f t="shared" si="0"/>
        <v>17</v>
      </c>
      <c r="Y28">
        <f t="shared" si="0"/>
        <v>18</v>
      </c>
      <c r="Z28">
        <f t="shared" si="0"/>
        <v>19</v>
      </c>
      <c r="AA28">
        <f t="shared" si="0"/>
        <v>20</v>
      </c>
      <c r="AB28">
        <f t="shared" si="0"/>
        <v>21</v>
      </c>
    </row>
    <row r="29" spans="1:123" x14ac:dyDescent="0.2">
      <c r="B29" t="s">
        <v>6945</v>
      </c>
      <c r="C29" t="s">
        <v>6946</v>
      </c>
      <c r="D29" s="13">
        <f>_xll.EditDistance($C$3,C29,2)</f>
        <v>54</v>
      </c>
      <c r="E29" s="13"/>
      <c r="G29">
        <f>G28+1</f>
        <v>1</v>
      </c>
      <c r="H29">
        <f t="shared" ref="H29:H41" si="1">-MIN(H$28,$G29)*(H13-10)</f>
        <v>-8</v>
      </c>
      <c r="I29">
        <f t="shared" ref="I29:AB41" si="2">-MIN(I$28,$G29)*(I13-10)</f>
        <v>-8</v>
      </c>
      <c r="J29">
        <f t="shared" si="2"/>
        <v>-8</v>
      </c>
      <c r="K29">
        <f t="shared" si="2"/>
        <v>-8</v>
      </c>
      <c r="L29">
        <f t="shared" si="2"/>
        <v>-8</v>
      </c>
      <c r="M29">
        <f t="shared" si="2"/>
        <v>-8</v>
      </c>
      <c r="N29">
        <f t="shared" si="2"/>
        <v>-8</v>
      </c>
      <c r="O29">
        <f t="shared" si="2"/>
        <v>-8</v>
      </c>
      <c r="P29">
        <f t="shared" si="2"/>
        <v>-8</v>
      </c>
      <c r="Q29">
        <f t="shared" si="2"/>
        <v>-8</v>
      </c>
      <c r="R29">
        <f t="shared" si="2"/>
        <v>-8</v>
      </c>
      <c r="S29">
        <f t="shared" si="2"/>
        <v>-8</v>
      </c>
      <c r="T29">
        <f t="shared" si="2"/>
        <v>-8</v>
      </c>
      <c r="U29">
        <f t="shared" si="2"/>
        <v>-8</v>
      </c>
      <c r="V29">
        <f t="shared" si="2"/>
        <v>-8</v>
      </c>
      <c r="W29">
        <f t="shared" si="2"/>
        <v>-8</v>
      </c>
      <c r="X29">
        <f t="shared" si="2"/>
        <v>-8</v>
      </c>
      <c r="Y29">
        <f t="shared" si="2"/>
        <v>-8</v>
      </c>
      <c r="Z29">
        <f t="shared" si="2"/>
        <v>-8</v>
      </c>
      <c r="AA29">
        <f t="shared" si="2"/>
        <v>-8</v>
      </c>
      <c r="AB29">
        <f t="shared" si="2"/>
        <v>-8</v>
      </c>
    </row>
    <row r="30" spans="1:123" x14ac:dyDescent="0.2">
      <c r="B30" t="s">
        <v>7850</v>
      </c>
      <c r="C30" t="s">
        <v>7851</v>
      </c>
      <c r="D30" s="13">
        <f>_xll.EditDistance($C$3,C30,2)</f>
        <v>10</v>
      </c>
      <c r="E30" s="13"/>
      <c r="G30">
        <f t="shared" ref="G30:G41" si="3">G29+1</f>
        <v>2</v>
      </c>
      <c r="H30">
        <f t="shared" si="1"/>
        <v>-8</v>
      </c>
      <c r="I30">
        <f t="shared" ref="I30:W30" si="4">-MIN(I$28,$G30)*(I14-10)</f>
        <v>-16</v>
      </c>
      <c r="J30">
        <f t="shared" si="4"/>
        <v>-16</v>
      </c>
      <c r="K30">
        <f t="shared" si="4"/>
        <v>-16</v>
      </c>
      <c r="L30">
        <f t="shared" si="4"/>
        <v>-16</v>
      </c>
      <c r="M30">
        <f t="shared" si="4"/>
        <v>-16</v>
      </c>
      <c r="N30">
        <f t="shared" si="4"/>
        <v>-16</v>
      </c>
      <c r="O30">
        <f t="shared" si="4"/>
        <v>-16</v>
      </c>
      <c r="P30">
        <f t="shared" si="4"/>
        <v>-16</v>
      </c>
      <c r="Q30">
        <f t="shared" si="4"/>
        <v>-16</v>
      </c>
      <c r="R30">
        <f t="shared" si="4"/>
        <v>-16</v>
      </c>
      <c r="S30">
        <f t="shared" si="4"/>
        <v>-16</v>
      </c>
      <c r="T30">
        <f t="shared" si="4"/>
        <v>-16</v>
      </c>
      <c r="U30">
        <f t="shared" si="4"/>
        <v>-16</v>
      </c>
      <c r="V30">
        <f t="shared" si="4"/>
        <v>-16</v>
      </c>
      <c r="W30">
        <f t="shared" si="4"/>
        <v>-16</v>
      </c>
      <c r="X30">
        <f t="shared" si="2"/>
        <v>-16</v>
      </c>
      <c r="Y30">
        <f t="shared" si="2"/>
        <v>-16</v>
      </c>
      <c r="Z30">
        <f t="shared" si="2"/>
        <v>-16</v>
      </c>
      <c r="AA30">
        <f t="shared" si="2"/>
        <v>-16</v>
      </c>
      <c r="AB30">
        <f t="shared" si="2"/>
        <v>-16</v>
      </c>
    </row>
    <row r="31" spans="1:123" x14ac:dyDescent="0.2">
      <c r="B31" t="s">
        <v>175</v>
      </c>
      <c r="C31" t="s">
        <v>176</v>
      </c>
      <c r="D31" s="13">
        <f>_xll.EditDistance($C$3,C31,2)</f>
        <v>20</v>
      </c>
      <c r="E31" s="13"/>
      <c r="G31">
        <f t="shared" si="3"/>
        <v>3</v>
      </c>
      <c r="H31">
        <f t="shared" si="1"/>
        <v>-8</v>
      </c>
      <c r="I31">
        <f t="shared" si="2"/>
        <v>-16</v>
      </c>
      <c r="J31">
        <f t="shared" si="2"/>
        <v>-24</v>
      </c>
      <c r="K31">
        <f t="shared" si="2"/>
        <v>-24</v>
      </c>
      <c r="L31">
        <f t="shared" si="2"/>
        <v>-24</v>
      </c>
      <c r="M31">
        <f t="shared" si="2"/>
        <v>-24</v>
      </c>
      <c r="N31">
        <f t="shared" si="2"/>
        <v>-24</v>
      </c>
      <c r="O31">
        <f t="shared" si="2"/>
        <v>-24</v>
      </c>
      <c r="P31">
        <f t="shared" si="2"/>
        <v>-24</v>
      </c>
      <c r="Q31">
        <f t="shared" si="2"/>
        <v>-24</v>
      </c>
      <c r="R31">
        <f t="shared" si="2"/>
        <v>-24</v>
      </c>
      <c r="S31">
        <f t="shared" si="2"/>
        <v>-24</v>
      </c>
      <c r="T31">
        <f t="shared" si="2"/>
        <v>-24</v>
      </c>
      <c r="U31">
        <f t="shared" si="2"/>
        <v>-24</v>
      </c>
      <c r="V31">
        <f t="shared" si="2"/>
        <v>-24</v>
      </c>
      <c r="W31">
        <f t="shared" si="2"/>
        <v>-24</v>
      </c>
      <c r="X31">
        <f t="shared" si="2"/>
        <v>-24</v>
      </c>
      <c r="Y31">
        <f t="shared" si="2"/>
        <v>-24</v>
      </c>
      <c r="Z31">
        <f t="shared" si="2"/>
        <v>-24</v>
      </c>
      <c r="AA31">
        <f t="shared" si="2"/>
        <v>-24</v>
      </c>
      <c r="AB31">
        <f t="shared" si="2"/>
        <v>-24</v>
      </c>
    </row>
    <row r="32" spans="1:123" x14ac:dyDescent="0.2">
      <c r="B32" t="s">
        <v>175</v>
      </c>
      <c r="C32" t="s">
        <v>177</v>
      </c>
      <c r="D32" s="13">
        <f>_xll.EditDistance($C$3,C32,2)</f>
        <v>20</v>
      </c>
      <c r="E32" s="13"/>
      <c r="G32">
        <f t="shared" si="3"/>
        <v>4</v>
      </c>
      <c r="H32">
        <f t="shared" si="1"/>
        <v>-8</v>
      </c>
      <c r="I32">
        <f t="shared" si="2"/>
        <v>-16</v>
      </c>
      <c r="J32">
        <f t="shared" si="2"/>
        <v>-24</v>
      </c>
      <c r="K32">
        <f t="shared" si="2"/>
        <v>-32</v>
      </c>
      <c r="L32">
        <f t="shared" si="2"/>
        <v>-32</v>
      </c>
      <c r="M32">
        <f t="shared" si="2"/>
        <v>-32</v>
      </c>
      <c r="N32">
        <f t="shared" si="2"/>
        <v>-32</v>
      </c>
      <c r="O32">
        <f t="shared" si="2"/>
        <v>-32</v>
      </c>
      <c r="P32">
        <f t="shared" si="2"/>
        <v>-32</v>
      </c>
      <c r="Q32">
        <f t="shared" si="2"/>
        <v>-32</v>
      </c>
      <c r="R32">
        <f t="shared" si="2"/>
        <v>-32</v>
      </c>
      <c r="S32">
        <f t="shared" si="2"/>
        <v>-32</v>
      </c>
      <c r="T32">
        <f t="shared" si="2"/>
        <v>-32</v>
      </c>
      <c r="U32">
        <f t="shared" si="2"/>
        <v>-32</v>
      </c>
      <c r="V32">
        <f t="shared" si="2"/>
        <v>-32</v>
      </c>
      <c r="W32">
        <f t="shared" si="2"/>
        <v>-32</v>
      </c>
      <c r="X32">
        <f t="shared" si="2"/>
        <v>-32</v>
      </c>
      <c r="Y32">
        <f t="shared" si="2"/>
        <v>-32</v>
      </c>
      <c r="Z32">
        <f t="shared" si="2"/>
        <v>-32</v>
      </c>
      <c r="AA32">
        <f t="shared" si="2"/>
        <v>-32</v>
      </c>
      <c r="AB32">
        <f t="shared" si="2"/>
        <v>-32</v>
      </c>
    </row>
    <row r="33" spans="2:28" x14ac:dyDescent="0.2">
      <c r="B33" t="s">
        <v>731</v>
      </c>
      <c r="C33" t="s">
        <v>733</v>
      </c>
      <c r="D33" s="13">
        <f>_xll.EditDistance($C$3,C33,2)</f>
        <v>10</v>
      </c>
      <c r="E33" s="13"/>
      <c r="G33">
        <f t="shared" si="3"/>
        <v>5</v>
      </c>
      <c r="H33">
        <f t="shared" si="1"/>
        <v>-8</v>
      </c>
      <c r="I33">
        <f t="shared" si="2"/>
        <v>-16</v>
      </c>
      <c r="J33">
        <f t="shared" si="2"/>
        <v>-24</v>
      </c>
      <c r="K33">
        <f t="shared" si="2"/>
        <v>-32</v>
      </c>
      <c r="L33">
        <f t="shared" si="2"/>
        <v>-40</v>
      </c>
      <c r="M33">
        <f t="shared" si="2"/>
        <v>-40</v>
      </c>
      <c r="N33">
        <f t="shared" si="2"/>
        <v>-40</v>
      </c>
      <c r="O33">
        <f t="shared" si="2"/>
        <v>-40</v>
      </c>
      <c r="P33">
        <f t="shared" si="2"/>
        <v>-40</v>
      </c>
      <c r="Q33">
        <f t="shared" si="2"/>
        <v>-40</v>
      </c>
      <c r="R33">
        <f t="shared" si="2"/>
        <v>-40</v>
      </c>
      <c r="S33">
        <f t="shared" si="2"/>
        <v>-40</v>
      </c>
      <c r="T33">
        <f t="shared" si="2"/>
        <v>-40</v>
      </c>
      <c r="U33">
        <f t="shared" si="2"/>
        <v>-40</v>
      </c>
      <c r="V33">
        <f t="shared" si="2"/>
        <v>-40</v>
      </c>
      <c r="W33">
        <f t="shared" si="2"/>
        <v>-40</v>
      </c>
      <c r="X33">
        <f t="shared" si="2"/>
        <v>-40</v>
      </c>
      <c r="Y33">
        <f t="shared" si="2"/>
        <v>-40</v>
      </c>
      <c r="Z33">
        <f t="shared" si="2"/>
        <v>-40</v>
      </c>
      <c r="AA33">
        <f t="shared" si="2"/>
        <v>-40</v>
      </c>
      <c r="AB33">
        <f t="shared" si="2"/>
        <v>-40</v>
      </c>
    </row>
    <row r="34" spans="2:28" x14ac:dyDescent="0.2">
      <c r="B34" t="s">
        <v>3432</v>
      </c>
      <c r="C34" t="s">
        <v>3433</v>
      </c>
      <c r="D34" s="13">
        <f>_xll.EditDistance($C$3,C34,2)</f>
        <v>10</v>
      </c>
      <c r="E34" s="13"/>
      <c r="G34">
        <f t="shared" si="3"/>
        <v>6</v>
      </c>
      <c r="H34">
        <f t="shared" si="1"/>
        <v>-8</v>
      </c>
      <c r="I34">
        <f t="shared" si="2"/>
        <v>-16</v>
      </c>
      <c r="J34">
        <f t="shared" si="2"/>
        <v>-24</v>
      </c>
      <c r="K34">
        <f t="shared" si="2"/>
        <v>-32</v>
      </c>
      <c r="L34">
        <f t="shared" si="2"/>
        <v>-40</v>
      </c>
      <c r="M34">
        <f t="shared" si="2"/>
        <v>-48</v>
      </c>
      <c r="N34">
        <f t="shared" si="2"/>
        <v>-48</v>
      </c>
      <c r="O34">
        <f t="shared" si="2"/>
        <v>-48</v>
      </c>
      <c r="P34">
        <f t="shared" si="2"/>
        <v>-48</v>
      </c>
      <c r="Q34">
        <f t="shared" si="2"/>
        <v>-48</v>
      </c>
      <c r="R34">
        <f t="shared" si="2"/>
        <v>-48</v>
      </c>
      <c r="S34">
        <f t="shared" si="2"/>
        <v>-48</v>
      </c>
      <c r="T34">
        <f t="shared" si="2"/>
        <v>-48</v>
      </c>
      <c r="U34">
        <f t="shared" si="2"/>
        <v>-48</v>
      </c>
      <c r="V34" s="23">
        <f t="shared" si="2"/>
        <v>-48</v>
      </c>
      <c r="W34">
        <f t="shared" si="2"/>
        <v>-48</v>
      </c>
      <c r="X34">
        <f t="shared" si="2"/>
        <v>-48</v>
      </c>
      <c r="Y34">
        <f t="shared" si="2"/>
        <v>-48</v>
      </c>
      <c r="Z34">
        <f t="shared" si="2"/>
        <v>-48</v>
      </c>
      <c r="AA34">
        <f t="shared" si="2"/>
        <v>-48</v>
      </c>
      <c r="AB34">
        <f t="shared" si="2"/>
        <v>-48</v>
      </c>
    </row>
    <row r="35" spans="2:28" x14ac:dyDescent="0.2">
      <c r="B35" t="s">
        <v>5140</v>
      </c>
      <c r="C35" t="s">
        <v>5141</v>
      </c>
      <c r="D35" s="13">
        <f>_xll.EditDistance($C$3,C35,2)</f>
        <v>10</v>
      </c>
      <c r="E35" s="13"/>
      <c r="G35">
        <f t="shared" si="3"/>
        <v>7</v>
      </c>
      <c r="H35">
        <f t="shared" si="1"/>
        <v>-8</v>
      </c>
      <c r="I35">
        <f t="shared" si="2"/>
        <v>-16</v>
      </c>
      <c r="J35">
        <f t="shared" si="2"/>
        <v>-24</v>
      </c>
      <c r="K35">
        <f t="shared" si="2"/>
        <v>-32</v>
      </c>
      <c r="L35">
        <f t="shared" si="2"/>
        <v>-40</v>
      </c>
      <c r="M35">
        <f t="shared" si="2"/>
        <v>-48</v>
      </c>
      <c r="N35">
        <f t="shared" si="2"/>
        <v>-56</v>
      </c>
      <c r="O35">
        <f t="shared" si="2"/>
        <v>-56</v>
      </c>
      <c r="P35">
        <f t="shared" si="2"/>
        <v>-56</v>
      </c>
      <c r="Q35">
        <f t="shared" si="2"/>
        <v>-56</v>
      </c>
      <c r="R35">
        <f t="shared" si="2"/>
        <v>-56</v>
      </c>
      <c r="S35">
        <f t="shared" si="2"/>
        <v>-56</v>
      </c>
      <c r="T35">
        <f t="shared" si="2"/>
        <v>-56</v>
      </c>
      <c r="U35">
        <f t="shared" si="2"/>
        <v>-56</v>
      </c>
      <c r="V35">
        <f t="shared" si="2"/>
        <v>-56</v>
      </c>
      <c r="W35">
        <f t="shared" si="2"/>
        <v>-56</v>
      </c>
      <c r="X35">
        <f t="shared" si="2"/>
        <v>-56</v>
      </c>
      <c r="Y35">
        <f t="shared" si="2"/>
        <v>-56</v>
      </c>
      <c r="Z35">
        <f t="shared" si="2"/>
        <v>-56</v>
      </c>
      <c r="AA35">
        <f t="shared" si="2"/>
        <v>-56</v>
      </c>
      <c r="AB35">
        <f t="shared" si="2"/>
        <v>-56</v>
      </c>
    </row>
    <row r="36" spans="2:28" x14ac:dyDescent="0.2">
      <c r="B36" t="s">
        <v>516</v>
      </c>
      <c r="C36" t="s">
        <v>519</v>
      </c>
      <c r="D36" s="13">
        <f>_xll.EditDistance($C$3,C36,2)</f>
        <v>10</v>
      </c>
      <c r="E36" s="13"/>
      <c r="G36">
        <f t="shared" si="3"/>
        <v>8</v>
      </c>
      <c r="H36">
        <f t="shared" si="1"/>
        <v>-8</v>
      </c>
      <c r="I36">
        <f t="shared" si="2"/>
        <v>-16</v>
      </c>
      <c r="J36">
        <f t="shared" si="2"/>
        <v>-24</v>
      </c>
      <c r="K36">
        <f t="shared" si="2"/>
        <v>-32</v>
      </c>
      <c r="L36">
        <f t="shared" si="2"/>
        <v>-40</v>
      </c>
      <c r="M36">
        <f t="shared" si="2"/>
        <v>-48</v>
      </c>
      <c r="N36">
        <f t="shared" si="2"/>
        <v>-56</v>
      </c>
      <c r="O36">
        <f t="shared" si="2"/>
        <v>-64</v>
      </c>
      <c r="P36">
        <f t="shared" si="2"/>
        <v>-64</v>
      </c>
      <c r="Q36">
        <f t="shared" si="2"/>
        <v>-64</v>
      </c>
      <c r="R36">
        <f t="shared" si="2"/>
        <v>-64</v>
      </c>
      <c r="S36">
        <f t="shared" si="2"/>
        <v>-64</v>
      </c>
      <c r="T36">
        <f t="shared" si="2"/>
        <v>-64</v>
      </c>
      <c r="U36">
        <f t="shared" si="2"/>
        <v>-64</v>
      </c>
      <c r="V36">
        <f t="shared" si="2"/>
        <v>-64</v>
      </c>
      <c r="W36">
        <f t="shared" si="2"/>
        <v>-64</v>
      </c>
      <c r="X36">
        <f t="shared" si="2"/>
        <v>-64</v>
      </c>
      <c r="Y36">
        <f t="shared" si="2"/>
        <v>-64</v>
      </c>
      <c r="Z36">
        <f t="shared" si="2"/>
        <v>-64</v>
      </c>
      <c r="AA36">
        <f t="shared" si="2"/>
        <v>-64</v>
      </c>
      <c r="AB36">
        <f t="shared" si="2"/>
        <v>-64</v>
      </c>
    </row>
    <row r="37" spans="2:28" x14ac:dyDescent="0.2">
      <c r="B37" t="s">
        <v>1198</v>
      </c>
      <c r="C37" t="s">
        <v>1199</v>
      </c>
      <c r="D37" s="13">
        <f>_xll.EditDistance($C$3,C37,2)</f>
        <v>48</v>
      </c>
      <c r="E37" s="13"/>
      <c r="G37">
        <f t="shared" si="3"/>
        <v>9</v>
      </c>
      <c r="H37">
        <f t="shared" si="1"/>
        <v>-8</v>
      </c>
      <c r="I37">
        <f t="shared" si="2"/>
        <v>-16</v>
      </c>
      <c r="J37">
        <f t="shared" si="2"/>
        <v>-24</v>
      </c>
      <c r="K37">
        <f t="shared" si="2"/>
        <v>-32</v>
      </c>
      <c r="L37">
        <f t="shared" si="2"/>
        <v>-40</v>
      </c>
      <c r="M37">
        <f t="shared" si="2"/>
        <v>-48</v>
      </c>
      <c r="N37">
        <f t="shared" si="2"/>
        <v>-56</v>
      </c>
      <c r="O37">
        <f t="shared" si="2"/>
        <v>-64</v>
      </c>
      <c r="P37">
        <f t="shared" si="2"/>
        <v>-72</v>
      </c>
      <c r="Q37">
        <f t="shared" si="2"/>
        <v>-72</v>
      </c>
      <c r="R37">
        <f t="shared" si="2"/>
        <v>-72</v>
      </c>
      <c r="S37">
        <f t="shared" si="2"/>
        <v>-72</v>
      </c>
      <c r="T37">
        <f t="shared" si="2"/>
        <v>-72</v>
      </c>
      <c r="U37">
        <f t="shared" si="2"/>
        <v>-72</v>
      </c>
      <c r="V37">
        <f t="shared" si="2"/>
        <v>-72</v>
      </c>
      <c r="W37">
        <f t="shared" si="2"/>
        <v>-72</v>
      </c>
      <c r="X37">
        <f t="shared" si="2"/>
        <v>-72</v>
      </c>
      <c r="Y37">
        <f t="shared" si="2"/>
        <v>-72</v>
      </c>
      <c r="Z37">
        <f t="shared" si="2"/>
        <v>-72</v>
      </c>
      <c r="AA37">
        <f t="shared" si="2"/>
        <v>-72</v>
      </c>
      <c r="AB37">
        <f t="shared" si="2"/>
        <v>-72</v>
      </c>
    </row>
    <row r="38" spans="2:28" x14ac:dyDescent="0.2">
      <c r="B38" t="s">
        <v>3626</v>
      </c>
      <c r="C38" t="s">
        <v>3627</v>
      </c>
      <c r="D38" s="13">
        <f>_xll.EditDistance($C$3,C38,2)</f>
        <v>10</v>
      </c>
      <c r="E38" s="13"/>
      <c r="G38">
        <f t="shared" si="3"/>
        <v>10</v>
      </c>
      <c r="H38">
        <f t="shared" si="1"/>
        <v>-8</v>
      </c>
      <c r="I38">
        <f t="shared" si="2"/>
        <v>-16</v>
      </c>
      <c r="J38">
        <f t="shared" si="2"/>
        <v>-24</v>
      </c>
      <c r="K38">
        <f t="shared" si="2"/>
        <v>-32</v>
      </c>
      <c r="L38">
        <f t="shared" si="2"/>
        <v>-40</v>
      </c>
      <c r="M38">
        <f t="shared" si="2"/>
        <v>-48</v>
      </c>
      <c r="N38">
        <f t="shared" si="2"/>
        <v>-56</v>
      </c>
      <c r="O38">
        <f t="shared" si="2"/>
        <v>-64</v>
      </c>
      <c r="P38">
        <f t="shared" si="2"/>
        <v>-72</v>
      </c>
      <c r="Q38">
        <f t="shared" si="2"/>
        <v>-80</v>
      </c>
      <c r="R38">
        <f t="shared" si="2"/>
        <v>-80</v>
      </c>
      <c r="S38">
        <f t="shared" si="2"/>
        <v>-80</v>
      </c>
      <c r="T38">
        <f t="shared" si="2"/>
        <v>-80</v>
      </c>
      <c r="U38">
        <f t="shared" si="2"/>
        <v>-80</v>
      </c>
      <c r="V38">
        <f t="shared" si="2"/>
        <v>-80</v>
      </c>
      <c r="W38">
        <f t="shared" si="2"/>
        <v>-80</v>
      </c>
      <c r="X38">
        <f t="shared" si="2"/>
        <v>-80</v>
      </c>
      <c r="Y38">
        <f t="shared" si="2"/>
        <v>-80</v>
      </c>
      <c r="Z38">
        <f t="shared" si="2"/>
        <v>-80</v>
      </c>
      <c r="AA38">
        <f t="shared" si="2"/>
        <v>-80</v>
      </c>
      <c r="AB38">
        <f t="shared" si="2"/>
        <v>-80</v>
      </c>
    </row>
    <row r="39" spans="2:28" x14ac:dyDescent="0.2">
      <c r="B39" t="s">
        <v>3704</v>
      </c>
      <c r="C39" t="s">
        <v>3705</v>
      </c>
      <c r="D39" s="13">
        <f>_xll.EditDistance($C$3,C39,2)</f>
        <v>10</v>
      </c>
      <c r="E39" s="13"/>
      <c r="G39">
        <f t="shared" si="3"/>
        <v>11</v>
      </c>
      <c r="H39">
        <f t="shared" si="1"/>
        <v>-8</v>
      </c>
      <c r="I39">
        <f t="shared" si="2"/>
        <v>-16</v>
      </c>
      <c r="J39">
        <f t="shared" si="2"/>
        <v>-24</v>
      </c>
      <c r="K39">
        <f t="shared" si="2"/>
        <v>-32</v>
      </c>
      <c r="L39">
        <f t="shared" si="2"/>
        <v>-40</v>
      </c>
      <c r="M39">
        <f t="shared" si="2"/>
        <v>-48</v>
      </c>
      <c r="N39">
        <f t="shared" si="2"/>
        <v>-56</v>
      </c>
      <c r="O39">
        <f t="shared" si="2"/>
        <v>-64</v>
      </c>
      <c r="P39">
        <f t="shared" si="2"/>
        <v>-72</v>
      </c>
      <c r="Q39">
        <f t="shared" si="2"/>
        <v>-80</v>
      </c>
      <c r="R39">
        <f t="shared" si="2"/>
        <v>-88</v>
      </c>
      <c r="S39">
        <f t="shared" si="2"/>
        <v>-88</v>
      </c>
      <c r="T39">
        <f t="shared" si="2"/>
        <v>-88</v>
      </c>
      <c r="U39">
        <f t="shared" si="2"/>
        <v>-88</v>
      </c>
      <c r="V39">
        <f t="shared" si="2"/>
        <v>-88</v>
      </c>
      <c r="W39">
        <f t="shared" si="2"/>
        <v>-88</v>
      </c>
      <c r="X39">
        <f t="shared" si="2"/>
        <v>-88</v>
      </c>
      <c r="Y39">
        <f t="shared" si="2"/>
        <v>-88</v>
      </c>
      <c r="Z39">
        <f t="shared" si="2"/>
        <v>-88</v>
      </c>
      <c r="AA39">
        <f t="shared" si="2"/>
        <v>-88</v>
      </c>
      <c r="AB39">
        <f t="shared" si="2"/>
        <v>-88</v>
      </c>
    </row>
    <row r="40" spans="2:28" x14ac:dyDescent="0.2">
      <c r="B40" t="s">
        <v>6550</v>
      </c>
      <c r="C40" t="s">
        <v>6551</v>
      </c>
      <c r="D40" s="13">
        <f>_xll.EditDistance($C$3,C40,2)</f>
        <v>10</v>
      </c>
      <c r="E40" s="13"/>
      <c r="G40">
        <f t="shared" si="3"/>
        <v>12</v>
      </c>
      <c r="H40">
        <f t="shared" si="1"/>
        <v>-8</v>
      </c>
      <c r="I40">
        <f t="shared" si="2"/>
        <v>-16</v>
      </c>
      <c r="J40">
        <f t="shared" si="2"/>
        <v>-24</v>
      </c>
      <c r="K40">
        <f t="shared" si="2"/>
        <v>-32</v>
      </c>
      <c r="L40">
        <f t="shared" si="2"/>
        <v>-40</v>
      </c>
      <c r="M40">
        <f t="shared" si="2"/>
        <v>-48</v>
      </c>
      <c r="N40">
        <f t="shared" si="2"/>
        <v>-56</v>
      </c>
      <c r="O40">
        <f t="shared" si="2"/>
        <v>-64</v>
      </c>
      <c r="P40">
        <f t="shared" si="2"/>
        <v>-72</v>
      </c>
      <c r="Q40">
        <f t="shared" si="2"/>
        <v>-80</v>
      </c>
      <c r="R40">
        <f t="shared" si="2"/>
        <v>-88</v>
      </c>
      <c r="S40">
        <f t="shared" si="2"/>
        <v>-96</v>
      </c>
      <c r="T40">
        <f t="shared" si="2"/>
        <v>-96</v>
      </c>
      <c r="U40">
        <f t="shared" si="2"/>
        <v>-96</v>
      </c>
      <c r="V40">
        <f t="shared" si="2"/>
        <v>-96</v>
      </c>
      <c r="W40">
        <f t="shared" si="2"/>
        <v>-96</v>
      </c>
      <c r="X40">
        <f t="shared" si="2"/>
        <v>-96</v>
      </c>
      <c r="Y40">
        <f t="shared" si="2"/>
        <v>-96</v>
      </c>
      <c r="Z40">
        <f t="shared" si="2"/>
        <v>-96</v>
      </c>
      <c r="AA40">
        <f t="shared" si="2"/>
        <v>-96</v>
      </c>
      <c r="AB40">
        <f t="shared" si="2"/>
        <v>-96</v>
      </c>
    </row>
    <row r="41" spans="2:28" x14ac:dyDescent="0.2">
      <c r="B41" t="s">
        <v>6901</v>
      </c>
      <c r="C41" t="s">
        <v>6902</v>
      </c>
      <c r="D41" s="13">
        <f>_xll.EditDistance($C$3,C41,2)</f>
        <v>30</v>
      </c>
      <c r="E41" s="13"/>
      <c r="G41">
        <f t="shared" si="3"/>
        <v>13</v>
      </c>
      <c r="H41">
        <f t="shared" si="1"/>
        <v>-8</v>
      </c>
      <c r="I41">
        <f t="shared" si="2"/>
        <v>-16</v>
      </c>
      <c r="J41">
        <f t="shared" si="2"/>
        <v>-24</v>
      </c>
      <c r="K41">
        <f t="shared" si="2"/>
        <v>-32</v>
      </c>
      <c r="L41">
        <f t="shared" si="2"/>
        <v>-40</v>
      </c>
      <c r="M41">
        <f t="shared" si="2"/>
        <v>-48</v>
      </c>
      <c r="N41">
        <f t="shared" si="2"/>
        <v>-56</v>
      </c>
      <c r="O41">
        <f t="shared" si="2"/>
        <v>-64</v>
      </c>
      <c r="P41">
        <f t="shared" si="2"/>
        <v>-72</v>
      </c>
      <c r="Q41">
        <f t="shared" si="2"/>
        <v>-80</v>
      </c>
      <c r="R41">
        <f t="shared" si="2"/>
        <v>-88</v>
      </c>
      <c r="S41">
        <f t="shared" si="2"/>
        <v>-96</v>
      </c>
      <c r="T41">
        <f t="shared" si="2"/>
        <v>-104</v>
      </c>
      <c r="U41">
        <f t="shared" si="2"/>
        <v>-104</v>
      </c>
      <c r="V41">
        <f t="shared" si="2"/>
        <v>-104</v>
      </c>
      <c r="W41">
        <f t="shared" si="2"/>
        <v>-104</v>
      </c>
      <c r="X41">
        <f t="shared" si="2"/>
        <v>-104</v>
      </c>
      <c r="Y41">
        <f t="shared" si="2"/>
        <v>-104</v>
      </c>
      <c r="Z41">
        <f t="shared" si="2"/>
        <v>-104</v>
      </c>
      <c r="AA41">
        <f t="shared" si="2"/>
        <v>-104</v>
      </c>
      <c r="AB41">
        <f t="shared" si="2"/>
        <v>-104</v>
      </c>
    </row>
    <row r="42" spans="2:28" x14ac:dyDescent="0.2">
      <c r="B42" t="s">
        <v>7400</v>
      </c>
      <c r="C42" t="s">
        <v>7401</v>
      </c>
      <c r="D42" s="13">
        <f>_xll.EditDistance($C$3,C42,2)</f>
        <v>72</v>
      </c>
      <c r="E42" s="13"/>
    </row>
    <row r="43" spans="2:28" x14ac:dyDescent="0.2">
      <c r="B43" t="s">
        <v>317</v>
      </c>
      <c r="C43" t="s">
        <v>318</v>
      </c>
      <c r="D43" s="13">
        <f>_xll.EditDistance($C$3,C43,2)</f>
        <v>10</v>
      </c>
      <c r="E43" s="13"/>
      <c r="G43">
        <v>0</v>
      </c>
      <c r="H43">
        <f>1+G42</f>
        <v>1</v>
      </c>
      <c r="I43">
        <f t="shared" ref="I43:AB43" si="5">1+H43</f>
        <v>2</v>
      </c>
      <c r="J43">
        <f t="shared" si="5"/>
        <v>3</v>
      </c>
      <c r="K43">
        <f t="shared" si="5"/>
        <v>4</v>
      </c>
      <c r="L43">
        <f t="shared" si="5"/>
        <v>5</v>
      </c>
      <c r="M43">
        <f t="shared" si="5"/>
        <v>6</v>
      </c>
      <c r="N43">
        <f t="shared" si="5"/>
        <v>7</v>
      </c>
      <c r="O43">
        <f t="shared" si="5"/>
        <v>8</v>
      </c>
      <c r="P43">
        <f t="shared" si="5"/>
        <v>9</v>
      </c>
      <c r="Q43">
        <f t="shared" si="5"/>
        <v>10</v>
      </c>
      <c r="R43">
        <f t="shared" si="5"/>
        <v>11</v>
      </c>
      <c r="S43">
        <f t="shared" si="5"/>
        <v>12</v>
      </c>
      <c r="T43">
        <f t="shared" si="5"/>
        <v>13</v>
      </c>
      <c r="U43">
        <f t="shared" si="5"/>
        <v>14</v>
      </c>
      <c r="V43">
        <f t="shared" si="5"/>
        <v>15</v>
      </c>
      <c r="W43">
        <f t="shared" si="5"/>
        <v>16</v>
      </c>
      <c r="X43">
        <f t="shared" si="5"/>
        <v>17</v>
      </c>
      <c r="Y43">
        <f t="shared" si="5"/>
        <v>18</v>
      </c>
      <c r="Z43">
        <f t="shared" si="5"/>
        <v>19</v>
      </c>
      <c r="AA43">
        <f t="shared" si="5"/>
        <v>20</v>
      </c>
      <c r="AB43">
        <f t="shared" si="5"/>
        <v>21</v>
      </c>
    </row>
    <row r="44" spans="2:28" x14ac:dyDescent="0.2">
      <c r="B44" t="s">
        <v>585</v>
      </c>
      <c r="C44" t="s">
        <v>586</v>
      </c>
      <c r="D44" s="13">
        <f>_xll.EditDistance($C$3,C44,2)</f>
        <v>10</v>
      </c>
      <c r="E44" s="13"/>
      <c r="G44">
        <f>G43+1</f>
        <v>1</v>
      </c>
      <c r="H44">
        <f t="shared" ref="H44:H56" si="6">MIN(H$43,$G44)*(H13-10)</f>
        <v>8</v>
      </c>
      <c r="I44">
        <f t="shared" ref="I44:AB56" si="7">MIN(I$43,$G44)*(I13-10)</f>
        <v>8</v>
      </c>
      <c r="J44">
        <f t="shared" si="7"/>
        <v>8</v>
      </c>
      <c r="K44">
        <f t="shared" si="7"/>
        <v>8</v>
      </c>
      <c r="L44">
        <f t="shared" si="7"/>
        <v>8</v>
      </c>
      <c r="M44">
        <f t="shared" si="7"/>
        <v>8</v>
      </c>
      <c r="N44">
        <f t="shared" si="7"/>
        <v>8</v>
      </c>
      <c r="O44">
        <f t="shared" si="7"/>
        <v>8</v>
      </c>
      <c r="P44">
        <f t="shared" si="7"/>
        <v>8</v>
      </c>
      <c r="Q44">
        <f t="shared" si="7"/>
        <v>8</v>
      </c>
      <c r="R44">
        <f t="shared" si="7"/>
        <v>8</v>
      </c>
      <c r="S44">
        <f t="shared" si="7"/>
        <v>8</v>
      </c>
      <c r="T44">
        <f t="shared" si="7"/>
        <v>8</v>
      </c>
      <c r="U44">
        <f t="shared" si="7"/>
        <v>8</v>
      </c>
      <c r="V44">
        <f t="shared" si="7"/>
        <v>8</v>
      </c>
      <c r="W44">
        <f t="shared" si="7"/>
        <v>8</v>
      </c>
      <c r="X44">
        <f t="shared" si="7"/>
        <v>8</v>
      </c>
      <c r="Y44">
        <f t="shared" si="7"/>
        <v>8</v>
      </c>
      <c r="Z44">
        <f t="shared" si="7"/>
        <v>8</v>
      </c>
      <c r="AA44">
        <f t="shared" si="7"/>
        <v>8</v>
      </c>
      <c r="AB44">
        <f t="shared" si="7"/>
        <v>8</v>
      </c>
    </row>
    <row r="45" spans="2:28" x14ac:dyDescent="0.2">
      <c r="B45" t="s">
        <v>2448</v>
      </c>
      <c r="C45" t="s">
        <v>2449</v>
      </c>
      <c r="D45" s="13">
        <f>_xll.EditDistance($C$3,C45,2)</f>
        <v>10</v>
      </c>
      <c r="E45" s="13"/>
      <c r="G45">
        <f t="shared" ref="G45:G56" si="8">G44+1</f>
        <v>2</v>
      </c>
      <c r="H45">
        <f t="shared" si="6"/>
        <v>8</v>
      </c>
      <c r="I45">
        <f t="shared" ref="I45:W45" si="9">MIN(I$43,$G45)*(I14-10)</f>
        <v>16</v>
      </c>
      <c r="J45">
        <f t="shared" si="9"/>
        <v>16</v>
      </c>
      <c r="K45">
        <f t="shared" si="9"/>
        <v>16</v>
      </c>
      <c r="L45">
        <f t="shared" si="9"/>
        <v>16</v>
      </c>
      <c r="M45">
        <f t="shared" si="9"/>
        <v>16</v>
      </c>
      <c r="N45">
        <f t="shared" si="9"/>
        <v>16</v>
      </c>
      <c r="O45">
        <f t="shared" si="9"/>
        <v>16</v>
      </c>
      <c r="P45">
        <f t="shared" si="9"/>
        <v>16</v>
      </c>
      <c r="Q45">
        <f t="shared" si="9"/>
        <v>16</v>
      </c>
      <c r="R45">
        <f t="shared" si="9"/>
        <v>16</v>
      </c>
      <c r="S45">
        <f t="shared" si="9"/>
        <v>16</v>
      </c>
      <c r="T45">
        <f t="shared" si="9"/>
        <v>16</v>
      </c>
      <c r="U45">
        <f t="shared" si="9"/>
        <v>16</v>
      </c>
      <c r="V45">
        <f t="shared" si="9"/>
        <v>16</v>
      </c>
      <c r="W45">
        <f t="shared" si="9"/>
        <v>16</v>
      </c>
      <c r="X45">
        <f t="shared" si="7"/>
        <v>16</v>
      </c>
      <c r="Y45">
        <f t="shared" si="7"/>
        <v>16</v>
      </c>
      <c r="Z45">
        <f t="shared" si="7"/>
        <v>16</v>
      </c>
      <c r="AA45">
        <f t="shared" si="7"/>
        <v>16</v>
      </c>
      <c r="AB45">
        <f t="shared" si="7"/>
        <v>16</v>
      </c>
    </row>
    <row r="46" spans="2:28" x14ac:dyDescent="0.2">
      <c r="B46" t="s">
        <v>3089</v>
      </c>
      <c r="C46" t="s">
        <v>3091</v>
      </c>
      <c r="D46" s="13">
        <f>_xll.EditDistance($C$3,C46,2)</f>
        <v>18</v>
      </c>
      <c r="E46" s="13"/>
      <c r="G46">
        <f t="shared" si="8"/>
        <v>3</v>
      </c>
      <c r="H46">
        <f t="shared" si="6"/>
        <v>8</v>
      </c>
      <c r="I46">
        <f t="shared" si="7"/>
        <v>16</v>
      </c>
      <c r="J46">
        <f t="shared" si="7"/>
        <v>24</v>
      </c>
      <c r="K46">
        <f t="shared" si="7"/>
        <v>24</v>
      </c>
      <c r="L46">
        <f t="shared" si="7"/>
        <v>24</v>
      </c>
      <c r="M46">
        <f t="shared" si="7"/>
        <v>24</v>
      </c>
      <c r="N46">
        <f t="shared" si="7"/>
        <v>24</v>
      </c>
      <c r="O46">
        <f t="shared" si="7"/>
        <v>24</v>
      </c>
      <c r="P46">
        <f t="shared" si="7"/>
        <v>24</v>
      </c>
      <c r="Q46">
        <f t="shared" si="7"/>
        <v>24</v>
      </c>
      <c r="R46">
        <f t="shared" si="7"/>
        <v>24</v>
      </c>
      <c r="S46">
        <f t="shared" si="7"/>
        <v>24</v>
      </c>
      <c r="T46">
        <f t="shared" si="7"/>
        <v>24</v>
      </c>
      <c r="U46">
        <f t="shared" si="7"/>
        <v>24</v>
      </c>
      <c r="V46">
        <f t="shared" si="7"/>
        <v>24</v>
      </c>
      <c r="W46">
        <f t="shared" si="7"/>
        <v>24</v>
      </c>
      <c r="X46">
        <f t="shared" si="7"/>
        <v>24</v>
      </c>
      <c r="Y46">
        <f t="shared" si="7"/>
        <v>24</v>
      </c>
      <c r="Z46">
        <f t="shared" si="7"/>
        <v>24</v>
      </c>
      <c r="AA46">
        <f t="shared" si="7"/>
        <v>24</v>
      </c>
      <c r="AB46">
        <f t="shared" si="7"/>
        <v>24</v>
      </c>
    </row>
    <row r="47" spans="2:28" x14ac:dyDescent="0.2">
      <c r="B47" t="s">
        <v>4024</v>
      </c>
      <c r="C47" t="s">
        <v>4025</v>
      </c>
      <c r="D47" s="13">
        <f>_xll.EditDistance($C$3,C47,2)</f>
        <v>10</v>
      </c>
      <c r="E47" s="13"/>
      <c r="G47">
        <f t="shared" si="8"/>
        <v>4</v>
      </c>
      <c r="H47">
        <f t="shared" si="6"/>
        <v>8</v>
      </c>
      <c r="I47">
        <f t="shared" si="7"/>
        <v>16</v>
      </c>
      <c r="J47">
        <f t="shared" si="7"/>
        <v>24</v>
      </c>
      <c r="K47">
        <f t="shared" si="7"/>
        <v>32</v>
      </c>
      <c r="L47">
        <f t="shared" si="7"/>
        <v>32</v>
      </c>
      <c r="M47">
        <f t="shared" si="7"/>
        <v>32</v>
      </c>
      <c r="N47">
        <f t="shared" si="7"/>
        <v>32</v>
      </c>
      <c r="O47">
        <f t="shared" si="7"/>
        <v>32</v>
      </c>
      <c r="P47">
        <f t="shared" si="7"/>
        <v>32</v>
      </c>
      <c r="Q47">
        <f t="shared" si="7"/>
        <v>32</v>
      </c>
      <c r="R47">
        <f t="shared" si="7"/>
        <v>32</v>
      </c>
      <c r="S47">
        <f t="shared" si="7"/>
        <v>32</v>
      </c>
      <c r="T47">
        <f t="shared" si="7"/>
        <v>32</v>
      </c>
      <c r="U47">
        <f t="shared" si="7"/>
        <v>32</v>
      </c>
      <c r="V47">
        <f t="shared" si="7"/>
        <v>32</v>
      </c>
      <c r="W47">
        <f t="shared" si="7"/>
        <v>32</v>
      </c>
      <c r="X47">
        <f t="shared" si="7"/>
        <v>32</v>
      </c>
      <c r="Y47">
        <f t="shared" si="7"/>
        <v>32</v>
      </c>
      <c r="Z47">
        <f t="shared" si="7"/>
        <v>32</v>
      </c>
      <c r="AA47">
        <f t="shared" si="7"/>
        <v>32</v>
      </c>
      <c r="AB47">
        <f t="shared" si="7"/>
        <v>32</v>
      </c>
    </row>
    <row r="48" spans="2:28" x14ac:dyDescent="0.2">
      <c r="B48" t="s">
        <v>5059</v>
      </c>
      <c r="C48" t="s">
        <v>5060</v>
      </c>
      <c r="D48" s="13">
        <f>_xll.EditDistance($C$3,C48,2)</f>
        <v>10</v>
      </c>
      <c r="E48" s="13"/>
      <c r="G48">
        <f t="shared" si="8"/>
        <v>5</v>
      </c>
      <c r="H48">
        <f t="shared" si="6"/>
        <v>8</v>
      </c>
      <c r="I48">
        <f t="shared" si="7"/>
        <v>16</v>
      </c>
      <c r="J48">
        <f t="shared" si="7"/>
        <v>24</v>
      </c>
      <c r="K48">
        <f t="shared" si="7"/>
        <v>32</v>
      </c>
      <c r="L48">
        <f t="shared" si="7"/>
        <v>40</v>
      </c>
      <c r="M48">
        <f t="shared" si="7"/>
        <v>40</v>
      </c>
      <c r="N48">
        <f t="shared" si="7"/>
        <v>40</v>
      </c>
      <c r="O48">
        <f t="shared" si="7"/>
        <v>40</v>
      </c>
      <c r="P48">
        <f t="shared" si="7"/>
        <v>40</v>
      </c>
      <c r="Q48">
        <f t="shared" si="7"/>
        <v>40</v>
      </c>
      <c r="R48">
        <f t="shared" si="7"/>
        <v>40</v>
      </c>
      <c r="S48">
        <f t="shared" si="7"/>
        <v>40</v>
      </c>
      <c r="T48">
        <f t="shared" si="7"/>
        <v>40</v>
      </c>
      <c r="U48">
        <f t="shared" si="7"/>
        <v>40</v>
      </c>
      <c r="V48">
        <f t="shared" si="7"/>
        <v>40</v>
      </c>
      <c r="W48">
        <f t="shared" si="7"/>
        <v>40</v>
      </c>
      <c r="X48">
        <f t="shared" si="7"/>
        <v>40</v>
      </c>
      <c r="Y48">
        <f t="shared" si="7"/>
        <v>40</v>
      </c>
      <c r="Z48">
        <f t="shared" si="7"/>
        <v>40</v>
      </c>
      <c r="AA48">
        <f t="shared" si="7"/>
        <v>40</v>
      </c>
      <c r="AB48">
        <f t="shared" si="7"/>
        <v>40</v>
      </c>
    </row>
    <row r="49" spans="2:28" x14ac:dyDescent="0.2">
      <c r="B49" t="s">
        <v>5059</v>
      </c>
      <c r="C49" t="s">
        <v>5061</v>
      </c>
      <c r="D49" s="13">
        <f>_xll.EditDistance($C$3,C49,2)</f>
        <v>10</v>
      </c>
      <c r="E49" s="13"/>
      <c r="G49">
        <f t="shared" si="8"/>
        <v>6</v>
      </c>
      <c r="H49">
        <f t="shared" si="6"/>
        <v>8</v>
      </c>
      <c r="I49">
        <f t="shared" si="7"/>
        <v>16</v>
      </c>
      <c r="J49">
        <f t="shared" si="7"/>
        <v>24</v>
      </c>
      <c r="K49">
        <f t="shared" si="7"/>
        <v>32</v>
      </c>
      <c r="L49">
        <f t="shared" si="7"/>
        <v>40</v>
      </c>
      <c r="M49">
        <f t="shared" si="7"/>
        <v>48</v>
      </c>
      <c r="N49">
        <f t="shared" si="7"/>
        <v>48</v>
      </c>
      <c r="O49">
        <f t="shared" si="7"/>
        <v>48</v>
      </c>
      <c r="P49">
        <f t="shared" si="7"/>
        <v>48</v>
      </c>
      <c r="Q49">
        <f t="shared" si="7"/>
        <v>48</v>
      </c>
      <c r="R49">
        <f t="shared" si="7"/>
        <v>48</v>
      </c>
      <c r="S49">
        <f t="shared" si="7"/>
        <v>48</v>
      </c>
      <c r="T49">
        <f t="shared" si="7"/>
        <v>48</v>
      </c>
      <c r="U49">
        <f t="shared" si="7"/>
        <v>48</v>
      </c>
      <c r="V49" s="23">
        <f t="shared" si="7"/>
        <v>48</v>
      </c>
      <c r="W49">
        <f t="shared" si="7"/>
        <v>48</v>
      </c>
      <c r="X49">
        <f t="shared" si="7"/>
        <v>48</v>
      </c>
      <c r="Y49">
        <f t="shared" si="7"/>
        <v>48</v>
      </c>
      <c r="Z49">
        <f t="shared" si="7"/>
        <v>48</v>
      </c>
      <c r="AA49">
        <f t="shared" si="7"/>
        <v>48</v>
      </c>
      <c r="AB49">
        <f t="shared" si="7"/>
        <v>48</v>
      </c>
    </row>
    <row r="50" spans="2:28" x14ac:dyDescent="0.2">
      <c r="B50" t="s">
        <v>5900</v>
      </c>
      <c r="C50" t="s">
        <v>5901</v>
      </c>
      <c r="D50" s="13">
        <f>_xll.EditDistance($C$3,C50,2)</f>
        <v>10</v>
      </c>
      <c r="E50" s="13"/>
      <c r="G50">
        <f t="shared" si="8"/>
        <v>7</v>
      </c>
      <c r="H50">
        <f t="shared" si="6"/>
        <v>8</v>
      </c>
      <c r="I50">
        <f t="shared" si="7"/>
        <v>16</v>
      </c>
      <c r="J50">
        <f t="shared" si="7"/>
        <v>24</v>
      </c>
      <c r="K50">
        <f t="shared" si="7"/>
        <v>32</v>
      </c>
      <c r="L50">
        <f t="shared" si="7"/>
        <v>40</v>
      </c>
      <c r="M50">
        <f t="shared" si="7"/>
        <v>48</v>
      </c>
      <c r="N50">
        <f t="shared" si="7"/>
        <v>56</v>
      </c>
      <c r="O50">
        <f t="shared" si="7"/>
        <v>56</v>
      </c>
      <c r="P50">
        <f t="shared" si="7"/>
        <v>56</v>
      </c>
      <c r="Q50">
        <f t="shared" si="7"/>
        <v>56</v>
      </c>
      <c r="R50">
        <f t="shared" si="7"/>
        <v>56</v>
      </c>
      <c r="S50">
        <f t="shared" si="7"/>
        <v>56</v>
      </c>
      <c r="T50">
        <f t="shared" si="7"/>
        <v>56</v>
      </c>
      <c r="U50">
        <f t="shared" si="7"/>
        <v>56</v>
      </c>
      <c r="V50">
        <f t="shared" si="7"/>
        <v>56</v>
      </c>
      <c r="W50">
        <f t="shared" si="7"/>
        <v>56</v>
      </c>
      <c r="X50">
        <f t="shared" si="7"/>
        <v>56</v>
      </c>
      <c r="Y50">
        <f t="shared" si="7"/>
        <v>56</v>
      </c>
      <c r="Z50">
        <f t="shared" si="7"/>
        <v>56</v>
      </c>
      <c r="AA50">
        <f t="shared" si="7"/>
        <v>56</v>
      </c>
      <c r="AB50">
        <f t="shared" si="7"/>
        <v>56</v>
      </c>
    </row>
    <row r="51" spans="2:28" x14ac:dyDescent="0.2">
      <c r="B51" t="s">
        <v>5948</v>
      </c>
      <c r="C51" t="s">
        <v>5949</v>
      </c>
      <c r="D51" s="13">
        <f>_xll.EditDistance($C$3,C51,2)</f>
        <v>10</v>
      </c>
      <c r="E51" s="13"/>
      <c r="G51">
        <f t="shared" si="8"/>
        <v>8</v>
      </c>
      <c r="H51">
        <f t="shared" si="6"/>
        <v>8</v>
      </c>
      <c r="I51">
        <f t="shared" si="7"/>
        <v>16</v>
      </c>
      <c r="J51">
        <f t="shared" si="7"/>
        <v>24</v>
      </c>
      <c r="K51">
        <f t="shared" si="7"/>
        <v>32</v>
      </c>
      <c r="L51">
        <f t="shared" si="7"/>
        <v>40</v>
      </c>
      <c r="M51">
        <f t="shared" si="7"/>
        <v>48</v>
      </c>
      <c r="N51">
        <f t="shared" si="7"/>
        <v>56</v>
      </c>
      <c r="O51">
        <f t="shared" si="7"/>
        <v>64</v>
      </c>
      <c r="P51">
        <f t="shared" si="7"/>
        <v>64</v>
      </c>
      <c r="Q51">
        <f t="shared" si="7"/>
        <v>64</v>
      </c>
      <c r="R51">
        <f t="shared" si="7"/>
        <v>64</v>
      </c>
      <c r="S51">
        <f t="shared" si="7"/>
        <v>64</v>
      </c>
      <c r="T51">
        <f t="shared" si="7"/>
        <v>64</v>
      </c>
      <c r="U51">
        <f t="shared" si="7"/>
        <v>64</v>
      </c>
      <c r="V51">
        <f t="shared" si="7"/>
        <v>64</v>
      </c>
      <c r="W51">
        <f t="shared" si="7"/>
        <v>64</v>
      </c>
      <c r="X51">
        <f t="shared" si="7"/>
        <v>64</v>
      </c>
      <c r="Y51">
        <f t="shared" si="7"/>
        <v>64</v>
      </c>
      <c r="Z51">
        <f t="shared" si="7"/>
        <v>64</v>
      </c>
      <c r="AA51">
        <f t="shared" si="7"/>
        <v>64</v>
      </c>
      <c r="AB51">
        <f t="shared" si="7"/>
        <v>64</v>
      </c>
    </row>
    <row r="52" spans="2:28" x14ac:dyDescent="0.2">
      <c r="B52" t="s">
        <v>6869</v>
      </c>
      <c r="C52" t="s">
        <v>6870</v>
      </c>
      <c r="D52" s="13">
        <f>_xll.EditDistance($C$3,C52,2)</f>
        <v>10</v>
      </c>
      <c r="E52" s="13"/>
      <c r="G52">
        <f t="shared" si="8"/>
        <v>9</v>
      </c>
      <c r="H52">
        <f t="shared" si="6"/>
        <v>8</v>
      </c>
      <c r="I52">
        <f t="shared" si="7"/>
        <v>16</v>
      </c>
      <c r="J52">
        <f t="shared" si="7"/>
        <v>24</v>
      </c>
      <c r="K52">
        <f t="shared" si="7"/>
        <v>32</v>
      </c>
      <c r="L52">
        <f t="shared" si="7"/>
        <v>40</v>
      </c>
      <c r="M52">
        <f t="shared" si="7"/>
        <v>48</v>
      </c>
      <c r="N52">
        <f t="shared" si="7"/>
        <v>56</v>
      </c>
      <c r="O52">
        <f t="shared" si="7"/>
        <v>64</v>
      </c>
      <c r="P52">
        <f t="shared" si="7"/>
        <v>72</v>
      </c>
      <c r="Q52">
        <f t="shared" si="7"/>
        <v>72</v>
      </c>
      <c r="R52">
        <f t="shared" si="7"/>
        <v>72</v>
      </c>
      <c r="S52">
        <f t="shared" si="7"/>
        <v>72</v>
      </c>
      <c r="T52">
        <f t="shared" si="7"/>
        <v>72</v>
      </c>
      <c r="U52">
        <f t="shared" si="7"/>
        <v>72</v>
      </c>
      <c r="V52">
        <f t="shared" si="7"/>
        <v>72</v>
      </c>
      <c r="W52">
        <f t="shared" si="7"/>
        <v>72</v>
      </c>
      <c r="X52">
        <f t="shared" si="7"/>
        <v>72</v>
      </c>
      <c r="Y52">
        <f t="shared" si="7"/>
        <v>72</v>
      </c>
      <c r="Z52">
        <f t="shared" si="7"/>
        <v>72</v>
      </c>
      <c r="AA52">
        <f t="shared" si="7"/>
        <v>72</v>
      </c>
      <c r="AB52">
        <f t="shared" si="7"/>
        <v>72</v>
      </c>
    </row>
    <row r="53" spans="2:28" x14ac:dyDescent="0.2">
      <c r="B53" t="s">
        <v>7060</v>
      </c>
      <c r="C53" t="s">
        <v>7061</v>
      </c>
      <c r="D53" s="13">
        <f>_xll.EditDistance($C$3,C53,2)</f>
        <v>10</v>
      </c>
      <c r="E53" s="13"/>
      <c r="G53">
        <f t="shared" si="8"/>
        <v>10</v>
      </c>
      <c r="H53">
        <f t="shared" si="6"/>
        <v>8</v>
      </c>
      <c r="I53">
        <f t="shared" si="7"/>
        <v>16</v>
      </c>
      <c r="J53">
        <f t="shared" si="7"/>
        <v>24</v>
      </c>
      <c r="K53">
        <f t="shared" si="7"/>
        <v>32</v>
      </c>
      <c r="L53">
        <f t="shared" si="7"/>
        <v>40</v>
      </c>
      <c r="M53">
        <f t="shared" si="7"/>
        <v>48</v>
      </c>
      <c r="N53">
        <f t="shared" si="7"/>
        <v>56</v>
      </c>
      <c r="O53">
        <f t="shared" si="7"/>
        <v>64</v>
      </c>
      <c r="P53">
        <f t="shared" si="7"/>
        <v>72</v>
      </c>
      <c r="Q53">
        <f t="shared" si="7"/>
        <v>80</v>
      </c>
      <c r="R53">
        <f t="shared" si="7"/>
        <v>80</v>
      </c>
      <c r="S53">
        <f t="shared" si="7"/>
        <v>80</v>
      </c>
      <c r="T53">
        <f t="shared" si="7"/>
        <v>80</v>
      </c>
      <c r="U53">
        <f t="shared" si="7"/>
        <v>80</v>
      </c>
      <c r="V53">
        <f t="shared" si="7"/>
        <v>80</v>
      </c>
      <c r="W53">
        <f t="shared" si="7"/>
        <v>80</v>
      </c>
      <c r="X53">
        <f t="shared" si="7"/>
        <v>80</v>
      </c>
      <c r="Y53">
        <f t="shared" si="7"/>
        <v>80</v>
      </c>
      <c r="Z53">
        <f t="shared" si="7"/>
        <v>80</v>
      </c>
      <c r="AA53">
        <f t="shared" si="7"/>
        <v>80</v>
      </c>
      <c r="AB53">
        <f t="shared" si="7"/>
        <v>80</v>
      </c>
    </row>
    <row r="54" spans="2:28" x14ac:dyDescent="0.2">
      <c r="B54" t="s">
        <v>7102</v>
      </c>
      <c r="C54" t="s">
        <v>7104</v>
      </c>
      <c r="D54" s="13">
        <f>_xll.EditDistance($C$3,C54,2)</f>
        <v>20</v>
      </c>
      <c r="E54" s="13"/>
      <c r="G54">
        <f t="shared" si="8"/>
        <v>11</v>
      </c>
      <c r="H54">
        <f t="shared" si="6"/>
        <v>8</v>
      </c>
      <c r="I54">
        <f t="shared" si="7"/>
        <v>16</v>
      </c>
      <c r="J54">
        <f t="shared" si="7"/>
        <v>24</v>
      </c>
      <c r="K54">
        <f t="shared" si="7"/>
        <v>32</v>
      </c>
      <c r="L54">
        <f t="shared" si="7"/>
        <v>40</v>
      </c>
      <c r="M54">
        <f t="shared" si="7"/>
        <v>48</v>
      </c>
      <c r="N54">
        <f t="shared" si="7"/>
        <v>56</v>
      </c>
      <c r="O54">
        <f t="shared" si="7"/>
        <v>64</v>
      </c>
      <c r="P54">
        <f t="shared" si="7"/>
        <v>72</v>
      </c>
      <c r="Q54">
        <f t="shared" si="7"/>
        <v>80</v>
      </c>
      <c r="R54">
        <f t="shared" si="7"/>
        <v>88</v>
      </c>
      <c r="S54">
        <f t="shared" si="7"/>
        <v>88</v>
      </c>
      <c r="T54">
        <f t="shared" si="7"/>
        <v>88</v>
      </c>
      <c r="U54">
        <f t="shared" si="7"/>
        <v>88</v>
      </c>
      <c r="V54">
        <f t="shared" si="7"/>
        <v>88</v>
      </c>
      <c r="W54">
        <f t="shared" si="7"/>
        <v>88</v>
      </c>
      <c r="X54">
        <f t="shared" si="7"/>
        <v>88</v>
      </c>
      <c r="Y54">
        <f t="shared" si="7"/>
        <v>88</v>
      </c>
      <c r="Z54">
        <f t="shared" si="7"/>
        <v>88</v>
      </c>
      <c r="AA54">
        <f t="shared" si="7"/>
        <v>88</v>
      </c>
      <c r="AB54">
        <f t="shared" si="7"/>
        <v>88</v>
      </c>
    </row>
    <row r="55" spans="2:28" x14ac:dyDescent="0.2">
      <c r="B55" t="s">
        <v>8238</v>
      </c>
      <c r="C55" t="s">
        <v>8239</v>
      </c>
      <c r="D55" s="13">
        <f>_xll.EditDistance($C$3,C55,2)</f>
        <v>20</v>
      </c>
      <c r="E55" s="13"/>
      <c r="G55">
        <f t="shared" si="8"/>
        <v>12</v>
      </c>
      <c r="H55">
        <f t="shared" si="6"/>
        <v>8</v>
      </c>
      <c r="I55">
        <f t="shared" si="7"/>
        <v>16</v>
      </c>
      <c r="J55">
        <f t="shared" si="7"/>
        <v>24</v>
      </c>
      <c r="K55">
        <f t="shared" si="7"/>
        <v>32</v>
      </c>
      <c r="L55">
        <f t="shared" si="7"/>
        <v>40</v>
      </c>
      <c r="M55">
        <f t="shared" si="7"/>
        <v>48</v>
      </c>
      <c r="N55">
        <f t="shared" si="7"/>
        <v>56</v>
      </c>
      <c r="O55">
        <f t="shared" si="7"/>
        <v>64</v>
      </c>
      <c r="P55">
        <f t="shared" si="7"/>
        <v>72</v>
      </c>
      <c r="Q55">
        <f t="shared" si="7"/>
        <v>80</v>
      </c>
      <c r="R55">
        <f t="shared" si="7"/>
        <v>88</v>
      </c>
      <c r="S55">
        <f t="shared" si="7"/>
        <v>96</v>
      </c>
      <c r="T55">
        <f t="shared" si="7"/>
        <v>96</v>
      </c>
      <c r="U55">
        <f t="shared" si="7"/>
        <v>96</v>
      </c>
      <c r="V55">
        <f t="shared" si="7"/>
        <v>96</v>
      </c>
      <c r="W55">
        <f t="shared" si="7"/>
        <v>96</v>
      </c>
      <c r="X55">
        <f t="shared" si="7"/>
        <v>96</v>
      </c>
      <c r="Y55">
        <f t="shared" si="7"/>
        <v>96</v>
      </c>
      <c r="Z55">
        <f t="shared" si="7"/>
        <v>96</v>
      </c>
      <c r="AA55">
        <f t="shared" si="7"/>
        <v>96</v>
      </c>
      <c r="AB55">
        <f t="shared" si="7"/>
        <v>96</v>
      </c>
    </row>
    <row r="56" spans="2:28" x14ac:dyDescent="0.2">
      <c r="B56" t="s">
        <v>8498</v>
      </c>
      <c r="C56" t="s">
        <v>8499</v>
      </c>
      <c r="D56" s="13">
        <f>_xll.EditDistance($C$3,C56,2)</f>
        <v>10</v>
      </c>
      <c r="E56" s="13"/>
      <c r="G56">
        <f t="shared" si="8"/>
        <v>13</v>
      </c>
      <c r="H56">
        <f t="shared" si="6"/>
        <v>8</v>
      </c>
      <c r="I56">
        <f t="shared" si="7"/>
        <v>16</v>
      </c>
      <c r="J56">
        <f t="shared" si="7"/>
        <v>24</v>
      </c>
      <c r="K56">
        <f t="shared" si="7"/>
        <v>32</v>
      </c>
      <c r="L56">
        <f t="shared" si="7"/>
        <v>40</v>
      </c>
      <c r="M56">
        <f t="shared" si="7"/>
        <v>48</v>
      </c>
      <c r="N56">
        <f t="shared" si="7"/>
        <v>56</v>
      </c>
      <c r="O56">
        <f t="shared" si="7"/>
        <v>64</v>
      </c>
      <c r="P56">
        <f t="shared" si="7"/>
        <v>72</v>
      </c>
      <c r="Q56">
        <f t="shared" si="7"/>
        <v>80</v>
      </c>
      <c r="R56">
        <f t="shared" si="7"/>
        <v>88</v>
      </c>
      <c r="S56">
        <f t="shared" si="7"/>
        <v>96</v>
      </c>
      <c r="T56">
        <f t="shared" si="7"/>
        <v>104</v>
      </c>
      <c r="U56">
        <f t="shared" si="7"/>
        <v>104</v>
      </c>
      <c r="V56">
        <f t="shared" si="7"/>
        <v>104</v>
      </c>
      <c r="W56">
        <f t="shared" si="7"/>
        <v>104</v>
      </c>
      <c r="X56">
        <f t="shared" si="7"/>
        <v>104</v>
      </c>
      <c r="Y56">
        <f t="shared" si="7"/>
        <v>104</v>
      </c>
      <c r="Z56">
        <f t="shared" si="7"/>
        <v>104</v>
      </c>
      <c r="AA56">
        <f t="shared" si="7"/>
        <v>104</v>
      </c>
      <c r="AB56">
        <f t="shared" si="7"/>
        <v>104</v>
      </c>
    </row>
    <row r="57" spans="2:28" x14ac:dyDescent="0.2">
      <c r="B57" t="s">
        <v>1190</v>
      </c>
      <c r="C57" t="s">
        <v>1191</v>
      </c>
      <c r="D57" s="13">
        <f>_xll.EditDistance($C$3,C57,2)</f>
        <v>10</v>
      </c>
      <c r="E57" s="13"/>
    </row>
    <row r="58" spans="2:28" x14ac:dyDescent="0.2">
      <c r="B58" t="s">
        <v>1562</v>
      </c>
      <c r="C58" t="s">
        <v>1563</v>
      </c>
      <c r="D58" s="13">
        <f>_xll.EditDistance($C$3,C58,2)</f>
        <v>10</v>
      </c>
      <c r="E58" s="13"/>
    </row>
    <row r="59" spans="2:28" x14ac:dyDescent="0.2">
      <c r="B59" t="s">
        <v>3163</v>
      </c>
      <c r="C59" t="s">
        <v>3164</v>
      </c>
      <c r="D59" s="13">
        <f>_xll.EditDistance($C$3,C59,2)</f>
        <v>10</v>
      </c>
      <c r="E59" s="13"/>
      <c r="M59" s="13" t="s">
        <v>8730</v>
      </c>
    </row>
    <row r="60" spans="2:28" x14ac:dyDescent="0.2">
      <c r="B60" t="s">
        <v>3366</v>
      </c>
      <c r="C60" t="s">
        <v>3367</v>
      </c>
      <c r="D60" s="13">
        <f>_xll.EditDistance($C$3,C60,2)</f>
        <v>30</v>
      </c>
      <c r="E60" s="13"/>
      <c r="N60" s="13" t="s">
        <v>8731</v>
      </c>
    </row>
    <row r="61" spans="2:28" x14ac:dyDescent="0.2">
      <c r="B61" t="s">
        <v>3401</v>
      </c>
      <c r="C61" t="s">
        <v>3402</v>
      </c>
      <c r="D61" s="13">
        <f>_xll.EditDistance($C$3,C61,2)</f>
        <v>10</v>
      </c>
      <c r="E61" s="13"/>
      <c r="N61" s="13" t="s">
        <v>8732</v>
      </c>
    </row>
    <row r="62" spans="2:28" x14ac:dyDescent="0.2">
      <c r="B62" t="s">
        <v>3971</v>
      </c>
      <c r="C62" t="s">
        <v>3972</v>
      </c>
      <c r="D62" s="13">
        <f>_xll.EditDistance($C$3,C62,2)</f>
        <v>10</v>
      </c>
      <c r="E62" s="13"/>
    </row>
    <row r="63" spans="2:28" x14ac:dyDescent="0.2">
      <c r="B63" t="s">
        <v>5377</v>
      </c>
      <c r="C63" t="s">
        <v>5378</v>
      </c>
      <c r="D63" s="13">
        <f>_xll.EditDistance($C$3,C63,2)</f>
        <v>20</v>
      </c>
      <c r="E63" s="13"/>
    </row>
    <row r="64" spans="2:28" x14ac:dyDescent="0.2">
      <c r="B64" t="s">
        <v>6293</v>
      </c>
      <c r="C64" t="s">
        <v>6294</v>
      </c>
      <c r="D64" s="13">
        <f>_xll.EditDistance($C$3,C64,2)</f>
        <v>20</v>
      </c>
      <c r="E64" s="13"/>
    </row>
    <row r="65" spans="2:5" x14ac:dyDescent="0.2">
      <c r="B65" t="s">
        <v>6301</v>
      </c>
      <c r="C65" t="s">
        <v>6302</v>
      </c>
      <c r="D65" s="13">
        <f>_xll.EditDistance($C$3,C65,2)</f>
        <v>25</v>
      </c>
      <c r="E65" s="13"/>
    </row>
    <row r="66" spans="2:5" x14ac:dyDescent="0.2">
      <c r="B66" t="s">
        <v>6982</v>
      </c>
      <c r="C66" t="s">
        <v>6983</v>
      </c>
      <c r="D66" s="13">
        <f>_xll.EditDistance($C$3,C66,2)</f>
        <v>10</v>
      </c>
      <c r="E66" s="13"/>
    </row>
    <row r="67" spans="2:5" x14ac:dyDescent="0.2">
      <c r="B67" t="s">
        <v>8090</v>
      </c>
      <c r="C67" t="s">
        <v>8091</v>
      </c>
      <c r="D67" s="13">
        <f>_xll.EditDistance($C$3,C67,2)</f>
        <v>18</v>
      </c>
      <c r="E67" s="13"/>
    </row>
    <row r="68" spans="2:5" x14ac:dyDescent="0.2">
      <c r="B68" t="s">
        <v>2537</v>
      </c>
      <c r="C68" t="s">
        <v>2538</v>
      </c>
      <c r="D68" s="13">
        <f>_xll.EditDistance($C$3,C68,2)</f>
        <v>48</v>
      </c>
      <c r="E68" s="13"/>
    </row>
    <row r="69" spans="2:5" x14ac:dyDescent="0.2">
      <c r="B69" t="s">
        <v>2688</v>
      </c>
      <c r="C69" t="s">
        <v>2689</v>
      </c>
      <c r="D69" s="13">
        <f>_xll.EditDistance($C$3,C69,2)</f>
        <v>10</v>
      </c>
      <c r="E69" s="13"/>
    </row>
    <row r="70" spans="2:5" x14ac:dyDescent="0.2">
      <c r="B70" t="s">
        <v>5563</v>
      </c>
      <c r="C70" t="s">
        <v>5564</v>
      </c>
      <c r="D70" s="13">
        <f>_xll.EditDistance($C$3,C70,2)</f>
        <v>10</v>
      </c>
      <c r="E70" s="13"/>
    </row>
    <row r="71" spans="2:5" x14ac:dyDescent="0.2">
      <c r="B71" t="s">
        <v>6866</v>
      </c>
      <c r="C71" t="s">
        <v>6867</v>
      </c>
      <c r="D71" s="13">
        <f>_xll.EditDistance($C$3,C71,2)</f>
        <v>20</v>
      </c>
      <c r="E71" s="13"/>
    </row>
    <row r="72" spans="2:5" x14ac:dyDescent="0.2">
      <c r="B72" t="s">
        <v>376</v>
      </c>
      <c r="C72" t="s">
        <v>377</v>
      </c>
      <c r="D72" s="13">
        <f>_xll.EditDistance($C$3,C72,2)</f>
        <v>20</v>
      </c>
      <c r="E72" s="13"/>
    </row>
    <row r="73" spans="2:5" x14ac:dyDescent="0.2">
      <c r="B73" t="s">
        <v>2277</v>
      </c>
      <c r="C73" t="s">
        <v>2278</v>
      </c>
      <c r="D73" s="13">
        <f>_xll.EditDistance($C$3,C73,2)</f>
        <v>20</v>
      </c>
      <c r="E73" s="13"/>
    </row>
    <row r="74" spans="2:5" x14ac:dyDescent="0.2">
      <c r="B74" t="s">
        <v>2521</v>
      </c>
      <c r="C74" t="s">
        <v>2522</v>
      </c>
      <c r="D74" s="13">
        <f>_xll.EditDistance($C$3,C74,2)</f>
        <v>10</v>
      </c>
      <c r="E74" s="13"/>
    </row>
    <row r="75" spans="2:5" x14ac:dyDescent="0.2">
      <c r="B75" t="s">
        <v>3394</v>
      </c>
      <c r="C75" t="s">
        <v>3396</v>
      </c>
      <c r="D75" s="13">
        <f>_xll.EditDistance($C$3,C75,2)</f>
        <v>10</v>
      </c>
      <c r="E75" s="13"/>
    </row>
    <row r="76" spans="2:5" x14ac:dyDescent="0.2">
      <c r="B76" t="s">
        <v>4322</v>
      </c>
      <c r="C76" t="s">
        <v>4323</v>
      </c>
      <c r="D76" s="13">
        <f>_xll.EditDistance($C$3,C76,2)</f>
        <v>10</v>
      </c>
      <c r="E76" s="13"/>
    </row>
    <row r="77" spans="2:5" x14ac:dyDescent="0.2">
      <c r="B77" t="s">
        <v>5373</v>
      </c>
      <c r="C77" t="s">
        <v>5374</v>
      </c>
      <c r="D77" s="13">
        <f>_xll.EditDistance($C$3,C77,2)</f>
        <v>10</v>
      </c>
      <c r="E77" s="13"/>
    </row>
    <row r="78" spans="2:5" x14ac:dyDescent="0.2">
      <c r="B78" t="s">
        <v>6000</v>
      </c>
      <c r="C78" t="s">
        <v>6001</v>
      </c>
      <c r="D78" s="13">
        <f>_xll.EditDistance($C$3,C78,2)</f>
        <v>20</v>
      </c>
      <c r="E78" s="13"/>
    </row>
    <row r="79" spans="2:5" x14ac:dyDescent="0.2">
      <c r="B79" t="s">
        <v>6280</v>
      </c>
      <c r="C79" t="s">
        <v>6282</v>
      </c>
      <c r="D79" s="13">
        <f>_xll.EditDistance($C$3,C79,2)</f>
        <v>20</v>
      </c>
      <c r="E79" s="13"/>
    </row>
    <row r="80" spans="2:5" x14ac:dyDescent="0.2">
      <c r="B80" t="s">
        <v>2510</v>
      </c>
      <c r="C80" t="s">
        <v>2511</v>
      </c>
      <c r="D80" s="13">
        <f>_xll.EditDistance($C$3,C80,2)</f>
        <v>10</v>
      </c>
      <c r="E80" s="13"/>
    </row>
    <row r="81" spans="2:5" x14ac:dyDescent="0.2">
      <c r="B81" t="s">
        <v>4376</v>
      </c>
      <c r="C81" t="s">
        <v>4377</v>
      </c>
      <c r="D81" s="13">
        <f>_xll.EditDistance($C$3,C81,2)</f>
        <v>10</v>
      </c>
      <c r="E81" s="13"/>
    </row>
    <row r="82" spans="2:5" x14ac:dyDescent="0.2">
      <c r="B82" t="s">
        <v>6471</v>
      </c>
      <c r="C82" t="s">
        <v>6472</v>
      </c>
      <c r="D82" s="13">
        <f>_xll.EditDistance($C$3,C82,2)</f>
        <v>30</v>
      </c>
      <c r="E82" s="13"/>
    </row>
    <row r="83" spans="2:5" x14ac:dyDescent="0.2">
      <c r="B83" t="s">
        <v>285</v>
      </c>
      <c r="C83" t="s">
        <v>286</v>
      </c>
      <c r="D83" s="13">
        <f>_xll.EditDistance($C$3,C83,2)</f>
        <v>10</v>
      </c>
      <c r="E83" s="13"/>
    </row>
    <row r="84" spans="2:5" x14ac:dyDescent="0.2">
      <c r="B84" t="s">
        <v>347</v>
      </c>
      <c r="C84" t="s">
        <v>348</v>
      </c>
      <c r="D84" s="13">
        <f>_xll.EditDistance($C$3,C84,2)</f>
        <v>10</v>
      </c>
      <c r="E84" s="13"/>
    </row>
    <row r="85" spans="2:5" x14ac:dyDescent="0.2">
      <c r="B85" t="s">
        <v>347</v>
      </c>
      <c r="C85" t="s">
        <v>349</v>
      </c>
      <c r="D85" s="13">
        <f>_xll.EditDistance($C$3,C85,2)</f>
        <v>10</v>
      </c>
      <c r="E85" s="13"/>
    </row>
    <row r="86" spans="2:5" x14ac:dyDescent="0.2">
      <c r="B86" t="s">
        <v>582</v>
      </c>
      <c r="C86" t="s">
        <v>583</v>
      </c>
      <c r="D86" s="13">
        <f>_xll.EditDistance($C$3,C86,2)</f>
        <v>20</v>
      </c>
      <c r="E86" s="13"/>
    </row>
    <row r="87" spans="2:5" x14ac:dyDescent="0.2">
      <c r="B87" t="s">
        <v>603</v>
      </c>
      <c r="C87" t="s">
        <v>604</v>
      </c>
      <c r="D87" s="13">
        <f>_xll.EditDistance($C$3,C87,2)</f>
        <v>10</v>
      </c>
      <c r="E87" s="13"/>
    </row>
    <row r="88" spans="2:5" x14ac:dyDescent="0.2">
      <c r="B88" t="s">
        <v>934</v>
      </c>
      <c r="C88" t="s">
        <v>935</v>
      </c>
      <c r="D88" s="13">
        <f>_xll.EditDistance($C$3,C88,2)</f>
        <v>10</v>
      </c>
      <c r="E88" s="13"/>
    </row>
    <row r="89" spans="2:5" x14ac:dyDescent="0.2">
      <c r="B89" t="s">
        <v>956</v>
      </c>
      <c r="C89" t="s">
        <v>957</v>
      </c>
      <c r="D89" s="13">
        <f>_xll.EditDistance($C$3,C89,2)</f>
        <v>10</v>
      </c>
      <c r="E89" s="13"/>
    </row>
    <row r="90" spans="2:5" x14ac:dyDescent="0.2">
      <c r="B90" t="s">
        <v>1066</v>
      </c>
      <c r="C90" t="s">
        <v>1067</v>
      </c>
      <c r="D90" s="13">
        <f>_xll.EditDistance($C$3,C90,2)</f>
        <v>30</v>
      </c>
      <c r="E90" s="13"/>
    </row>
    <row r="91" spans="2:5" x14ac:dyDescent="0.2">
      <c r="B91" t="s">
        <v>1283</v>
      </c>
      <c r="C91" t="s">
        <v>1284</v>
      </c>
      <c r="D91" s="13">
        <f>_xll.EditDistance($C$3,C91,2)</f>
        <v>20</v>
      </c>
      <c r="E91" s="13"/>
    </row>
    <row r="92" spans="2:5" x14ac:dyDescent="0.2">
      <c r="B92" t="s">
        <v>1365</v>
      </c>
      <c r="C92" t="s">
        <v>1366</v>
      </c>
      <c r="D92" s="13">
        <f>_xll.EditDistance($C$3,C92,2)</f>
        <v>10</v>
      </c>
      <c r="E92" s="13"/>
    </row>
    <row r="93" spans="2:5" x14ac:dyDescent="0.2">
      <c r="B93" t="s">
        <v>1371</v>
      </c>
      <c r="C93" t="s">
        <v>1372</v>
      </c>
      <c r="D93" s="13">
        <f>_xll.EditDistance($C$3,C93,2)</f>
        <v>10</v>
      </c>
      <c r="E93" s="13"/>
    </row>
    <row r="94" spans="2:5" x14ac:dyDescent="0.2">
      <c r="B94" t="s">
        <v>1528</v>
      </c>
      <c r="C94" t="s">
        <v>1529</v>
      </c>
      <c r="D94" s="13">
        <f>_xll.EditDistance($C$3,C94,2)</f>
        <v>10</v>
      </c>
      <c r="E94" s="13"/>
    </row>
    <row r="95" spans="2:5" x14ac:dyDescent="0.2">
      <c r="B95" t="s">
        <v>1857</v>
      </c>
      <c r="C95" t="s">
        <v>1858</v>
      </c>
      <c r="D95" s="13">
        <f>_xll.EditDistance($C$3,C95,2)</f>
        <v>10</v>
      </c>
      <c r="E95" s="13"/>
    </row>
    <row r="96" spans="2:5" x14ac:dyDescent="0.2">
      <c r="B96" t="s">
        <v>2038</v>
      </c>
      <c r="C96" t="s">
        <v>2040</v>
      </c>
      <c r="D96" s="13">
        <f>_xll.EditDistance($C$3,C96,2)</f>
        <v>10</v>
      </c>
      <c r="E96" s="13"/>
    </row>
    <row r="97" spans="2:5" x14ac:dyDescent="0.2">
      <c r="B97" t="s">
        <v>2275</v>
      </c>
      <c r="C97" t="s">
        <v>2276</v>
      </c>
      <c r="D97" s="13">
        <f>_xll.EditDistance($C$3,C97,2)</f>
        <v>30</v>
      </c>
      <c r="E97" s="13"/>
    </row>
    <row r="98" spans="2:5" x14ac:dyDescent="0.2">
      <c r="B98" t="s">
        <v>2349</v>
      </c>
      <c r="C98" t="s">
        <v>2350</v>
      </c>
      <c r="D98" s="13">
        <f>_xll.EditDistance($C$3,C98,2)</f>
        <v>20</v>
      </c>
      <c r="E98" s="13"/>
    </row>
    <row r="99" spans="2:5" x14ac:dyDescent="0.2">
      <c r="B99" t="s">
        <v>2452</v>
      </c>
      <c r="C99" t="s">
        <v>2453</v>
      </c>
      <c r="D99" s="13">
        <f>_xll.EditDistance($C$3,C99,2)</f>
        <v>10</v>
      </c>
      <c r="E99" s="13"/>
    </row>
    <row r="100" spans="2:5" x14ac:dyDescent="0.2">
      <c r="B100" t="s">
        <v>2510</v>
      </c>
      <c r="C100" t="s">
        <v>2512</v>
      </c>
      <c r="D100" s="13">
        <f>_xll.EditDistance($C$3,C100,2)</f>
        <v>10</v>
      </c>
      <c r="E100" s="13"/>
    </row>
    <row r="101" spans="2:5" x14ac:dyDescent="0.2">
      <c r="B101" t="s">
        <v>2510</v>
      </c>
      <c r="C101" t="s">
        <v>2513</v>
      </c>
      <c r="D101" s="13">
        <f>_xll.EditDistance($C$3,C101,2)</f>
        <v>10</v>
      </c>
      <c r="E101" s="13"/>
    </row>
    <row r="102" spans="2:5" x14ac:dyDescent="0.2">
      <c r="B102" t="s">
        <v>2608</v>
      </c>
      <c r="C102" t="s">
        <v>2609</v>
      </c>
      <c r="D102" s="13">
        <f>_xll.EditDistance($C$3,C102,2)</f>
        <v>10</v>
      </c>
      <c r="E102" s="13"/>
    </row>
    <row r="103" spans="2:5" x14ac:dyDescent="0.2">
      <c r="B103" t="s">
        <v>2713</v>
      </c>
      <c r="C103" t="s">
        <v>2714</v>
      </c>
      <c r="D103" s="13">
        <f>_xll.EditDistance($C$3,C103,2)</f>
        <v>10</v>
      </c>
      <c r="E103" s="13"/>
    </row>
    <row r="104" spans="2:5" x14ac:dyDescent="0.2">
      <c r="B104" t="s">
        <v>3023</v>
      </c>
      <c r="C104" t="s">
        <v>3024</v>
      </c>
      <c r="D104" s="13">
        <f>_xll.EditDistance($C$3,C104,2)</f>
        <v>10</v>
      </c>
      <c r="E104" s="13"/>
    </row>
    <row r="105" spans="2:5" x14ac:dyDescent="0.2">
      <c r="B105" t="s">
        <v>3069</v>
      </c>
      <c r="C105" t="s">
        <v>3070</v>
      </c>
      <c r="D105" s="13">
        <f>_xll.EditDistance($C$3,C105,2)</f>
        <v>10</v>
      </c>
      <c r="E105" s="13"/>
    </row>
    <row r="106" spans="2:5" x14ac:dyDescent="0.2">
      <c r="B106" t="s">
        <v>3134</v>
      </c>
      <c r="C106" t="s">
        <v>3135</v>
      </c>
      <c r="D106" s="13">
        <f>_xll.EditDistance($C$3,C106,2)</f>
        <v>10</v>
      </c>
      <c r="E106" s="13"/>
    </row>
    <row r="107" spans="2:5" x14ac:dyDescent="0.2">
      <c r="B107" t="s">
        <v>3197</v>
      </c>
      <c r="C107" t="s">
        <v>3198</v>
      </c>
      <c r="D107" s="13">
        <f>_xll.EditDistance($C$3,C107,2)</f>
        <v>10</v>
      </c>
      <c r="E107" s="13"/>
    </row>
    <row r="108" spans="2:5" x14ac:dyDescent="0.2">
      <c r="B108" t="s">
        <v>3207</v>
      </c>
      <c r="C108" t="s">
        <v>3208</v>
      </c>
      <c r="D108" s="13">
        <f>_xll.EditDistance($C$3,C108,2)</f>
        <v>10</v>
      </c>
      <c r="E108" s="13"/>
    </row>
    <row r="109" spans="2:5" x14ac:dyDescent="0.2">
      <c r="B109" t="s">
        <v>3209</v>
      </c>
      <c r="C109" t="s">
        <v>3210</v>
      </c>
      <c r="D109" s="13">
        <f>_xll.EditDistance($C$3,C109,2)</f>
        <v>10</v>
      </c>
      <c r="E109" s="13"/>
    </row>
    <row r="110" spans="2:5" x14ac:dyDescent="0.2">
      <c r="B110" s="22" t="s">
        <v>3345</v>
      </c>
      <c r="C110" t="s">
        <v>3346</v>
      </c>
      <c r="D110" s="13">
        <f>_xll.EditDistance($C$3,C110,2)</f>
        <v>20</v>
      </c>
      <c r="E110" s="13"/>
    </row>
    <row r="111" spans="2:5" x14ac:dyDescent="0.2">
      <c r="B111" t="s">
        <v>3446</v>
      </c>
      <c r="C111" t="s">
        <v>3447</v>
      </c>
      <c r="D111" s="13">
        <f>_xll.EditDistance($C$3,C111,2)</f>
        <v>10</v>
      </c>
      <c r="E111" s="13"/>
    </row>
    <row r="112" spans="2:5" x14ac:dyDescent="0.2">
      <c r="B112" t="s">
        <v>3736</v>
      </c>
      <c r="C112" t="s">
        <v>3737</v>
      </c>
      <c r="D112" s="13">
        <f>_xll.EditDistance($C$3,C112,2)</f>
        <v>10</v>
      </c>
      <c r="E112" s="13"/>
    </row>
    <row r="113" spans="2:5" x14ac:dyDescent="0.2">
      <c r="B113" t="s">
        <v>3831</v>
      </c>
      <c r="C113" t="s">
        <v>3832</v>
      </c>
      <c r="D113" s="13">
        <f>_xll.EditDistance($C$3,C113,2)</f>
        <v>10</v>
      </c>
      <c r="E113" s="13"/>
    </row>
    <row r="114" spans="2:5" x14ac:dyDescent="0.2">
      <c r="B114" t="s">
        <v>3880</v>
      </c>
      <c r="C114" t="s">
        <v>3881</v>
      </c>
      <c r="D114" s="13">
        <f>_xll.EditDistance($C$3,C114,2)</f>
        <v>10</v>
      </c>
      <c r="E114" s="13"/>
    </row>
    <row r="115" spans="2:5" x14ac:dyDescent="0.2">
      <c r="B115" t="s">
        <v>4209</v>
      </c>
      <c r="C115" t="s">
        <v>4210</v>
      </c>
      <c r="D115" s="13">
        <f>_xll.EditDistance($C$3,C115,2)</f>
        <v>10</v>
      </c>
      <c r="E115" s="13"/>
    </row>
    <row r="116" spans="2:5" x14ac:dyDescent="0.2">
      <c r="B116" t="s">
        <v>4396</v>
      </c>
      <c r="C116" t="s">
        <v>4397</v>
      </c>
      <c r="D116" s="13">
        <f>_xll.EditDistance($C$3,C116,2)</f>
        <v>10</v>
      </c>
      <c r="E116" s="13"/>
    </row>
    <row r="117" spans="2:5" x14ac:dyDescent="0.2">
      <c r="B117" t="s">
        <v>4447</v>
      </c>
      <c r="C117" t="s">
        <v>4448</v>
      </c>
      <c r="D117" s="13">
        <f>_xll.EditDistance($C$3,C117,2)</f>
        <v>10</v>
      </c>
      <c r="E117" s="13"/>
    </row>
    <row r="118" spans="2:5" x14ac:dyDescent="0.2">
      <c r="B118" s="22" t="s">
        <v>4462</v>
      </c>
      <c r="C118" t="s">
        <v>4463</v>
      </c>
      <c r="D118" s="13">
        <f>_xll.EditDistance($C$3,C118,2)</f>
        <v>10</v>
      </c>
      <c r="E118" s="13"/>
    </row>
    <row r="119" spans="2:5" x14ac:dyDescent="0.2">
      <c r="B119" t="s">
        <v>4464</v>
      </c>
      <c r="C119" t="s">
        <v>4465</v>
      </c>
      <c r="D119" s="13">
        <f>_xll.EditDistance($C$3,C119,2)</f>
        <v>10</v>
      </c>
      <c r="E119" s="13"/>
    </row>
    <row r="120" spans="2:5" x14ac:dyDescent="0.2">
      <c r="B120" t="s">
        <v>4491</v>
      </c>
      <c r="C120" t="s">
        <v>4493</v>
      </c>
      <c r="D120" s="13">
        <f>_xll.EditDistance($C$3,C120,2)</f>
        <v>10</v>
      </c>
      <c r="E120" s="13"/>
    </row>
    <row r="121" spans="2:5" x14ac:dyDescent="0.2">
      <c r="B121" t="s">
        <v>4637</v>
      </c>
      <c r="C121" t="s">
        <v>4638</v>
      </c>
      <c r="D121" s="13">
        <f>_xll.EditDistance($C$3,C121,2)</f>
        <v>10</v>
      </c>
      <c r="E121" s="13"/>
    </row>
    <row r="122" spans="2:5" x14ac:dyDescent="0.2">
      <c r="B122" t="s">
        <v>4885</v>
      </c>
      <c r="C122" t="s">
        <v>4886</v>
      </c>
      <c r="D122" s="13">
        <f>_xll.EditDistance($C$3,C122,2)</f>
        <v>20</v>
      </c>
      <c r="E122" s="13"/>
    </row>
    <row r="123" spans="2:5" x14ac:dyDescent="0.2">
      <c r="B123" t="s">
        <v>5306</v>
      </c>
      <c r="C123" t="s">
        <v>5307</v>
      </c>
      <c r="D123" s="13">
        <f>_xll.EditDistance($C$3,C123,2)</f>
        <v>10</v>
      </c>
      <c r="E123" s="13"/>
    </row>
    <row r="124" spans="2:5" x14ac:dyDescent="0.2">
      <c r="B124" t="s">
        <v>5509</v>
      </c>
      <c r="C124" t="s">
        <v>5510</v>
      </c>
      <c r="D124" s="13">
        <f>_xll.EditDistance($C$3,C124,2)</f>
        <v>10</v>
      </c>
      <c r="E124" s="13"/>
    </row>
    <row r="125" spans="2:5" x14ac:dyDescent="0.2">
      <c r="B125" t="s">
        <v>5539</v>
      </c>
      <c r="C125" t="s">
        <v>5540</v>
      </c>
      <c r="D125" s="13">
        <f>_xll.EditDistance($C$3,C125,2)</f>
        <v>10</v>
      </c>
      <c r="E125" s="13"/>
    </row>
    <row r="126" spans="2:5" x14ac:dyDescent="0.2">
      <c r="B126" t="s">
        <v>5547</v>
      </c>
      <c r="C126" t="s">
        <v>5548</v>
      </c>
      <c r="D126" s="13">
        <f>_xll.EditDistance($C$3,C126,2)</f>
        <v>10</v>
      </c>
      <c r="E126" s="13"/>
    </row>
    <row r="127" spans="2:5" x14ac:dyDescent="0.2">
      <c r="B127" t="s">
        <v>5554</v>
      </c>
      <c r="C127" t="s">
        <v>5555</v>
      </c>
      <c r="D127" s="13">
        <f>_xll.EditDistance($C$3,C127,2)</f>
        <v>10</v>
      </c>
      <c r="E127" s="13"/>
    </row>
    <row r="128" spans="2:5" x14ac:dyDescent="0.2">
      <c r="B128" t="s">
        <v>5600</v>
      </c>
      <c r="C128" t="s">
        <v>5601</v>
      </c>
      <c r="D128" s="13">
        <f>_xll.EditDistance($C$3,C128,2)</f>
        <v>10</v>
      </c>
      <c r="E128" s="13"/>
    </row>
    <row r="129" spans="2:5" x14ac:dyDescent="0.2">
      <c r="B129" t="s">
        <v>5840</v>
      </c>
      <c r="C129" t="s">
        <v>5841</v>
      </c>
      <c r="D129" s="13">
        <f>_xll.EditDistance($C$3,C129,2)</f>
        <v>10</v>
      </c>
      <c r="E129" s="13"/>
    </row>
    <row r="130" spans="2:5" x14ac:dyDescent="0.2">
      <c r="B130" t="s">
        <v>5896</v>
      </c>
      <c r="C130" t="s">
        <v>5897</v>
      </c>
      <c r="D130" s="13">
        <f>_xll.EditDistance($C$3,C130,2)</f>
        <v>20</v>
      </c>
      <c r="E130" s="13"/>
    </row>
    <row r="131" spans="2:5" x14ac:dyDescent="0.2">
      <c r="B131" t="s">
        <v>6089</v>
      </c>
      <c r="C131" t="s">
        <v>6090</v>
      </c>
      <c r="D131" s="13">
        <f>_xll.EditDistance($C$3,C131,2)</f>
        <v>10</v>
      </c>
      <c r="E131" s="13"/>
    </row>
    <row r="132" spans="2:5" x14ac:dyDescent="0.2">
      <c r="B132" t="s">
        <v>6200</v>
      </c>
      <c r="C132" t="s">
        <v>6201</v>
      </c>
      <c r="D132" s="13">
        <f>_xll.EditDistance($C$3,C132,2)</f>
        <v>10</v>
      </c>
      <c r="E132" s="13"/>
    </row>
    <row r="133" spans="2:5" x14ac:dyDescent="0.2">
      <c r="B133" t="s">
        <v>6280</v>
      </c>
      <c r="C133" t="s">
        <v>6281</v>
      </c>
      <c r="D133" s="13">
        <f>_xll.EditDistance($C$3,C133,2)</f>
        <v>18</v>
      </c>
      <c r="E133" s="13"/>
    </row>
    <row r="134" spans="2:5" x14ac:dyDescent="0.2">
      <c r="B134" t="s">
        <v>6427</v>
      </c>
      <c r="C134" t="s">
        <v>6428</v>
      </c>
      <c r="D134" s="13">
        <f>_xll.EditDistance($C$3,C134,2)</f>
        <v>10</v>
      </c>
      <c r="E134" s="13"/>
    </row>
    <row r="135" spans="2:5" x14ac:dyDescent="0.2">
      <c r="B135" t="s">
        <v>6480</v>
      </c>
      <c r="C135" t="s">
        <v>6481</v>
      </c>
      <c r="D135" s="13">
        <f>_xll.EditDistance($C$3,C135,2)</f>
        <v>10</v>
      </c>
      <c r="E135" s="13"/>
    </row>
    <row r="136" spans="2:5" x14ac:dyDescent="0.2">
      <c r="B136" t="s">
        <v>6504</v>
      </c>
      <c r="C136" t="s">
        <v>6505</v>
      </c>
      <c r="D136" s="13">
        <f>_xll.EditDistance($C$3,C136,2)</f>
        <v>10</v>
      </c>
      <c r="E136" s="13"/>
    </row>
    <row r="137" spans="2:5" x14ac:dyDescent="0.2">
      <c r="B137" t="s">
        <v>6827</v>
      </c>
      <c r="C137" t="s">
        <v>6829</v>
      </c>
      <c r="D137" s="13">
        <f>_xll.EditDistance($C$3,C137,2)</f>
        <v>20</v>
      </c>
      <c r="E137" s="13"/>
    </row>
    <row r="138" spans="2:5" x14ac:dyDescent="0.2">
      <c r="B138" t="s">
        <v>6920</v>
      </c>
      <c r="C138" t="s">
        <v>6921</v>
      </c>
      <c r="D138" s="13">
        <f>_xll.EditDistance($C$3,C138,2)</f>
        <v>10</v>
      </c>
      <c r="E138" s="13"/>
    </row>
    <row r="139" spans="2:5" x14ac:dyDescent="0.2">
      <c r="B139" t="s">
        <v>6936</v>
      </c>
      <c r="C139" t="s">
        <v>6937</v>
      </c>
      <c r="D139" s="13">
        <f>_xll.EditDistance($C$3,C139,2)</f>
        <v>10</v>
      </c>
      <c r="E139" s="13"/>
    </row>
    <row r="140" spans="2:5" x14ac:dyDescent="0.2">
      <c r="B140" t="s">
        <v>7094</v>
      </c>
      <c r="C140" t="s">
        <v>7095</v>
      </c>
      <c r="D140" s="13">
        <f>_xll.EditDistance($C$3,C140,2)</f>
        <v>10</v>
      </c>
      <c r="E140" s="13"/>
    </row>
    <row r="141" spans="2:5" x14ac:dyDescent="0.2">
      <c r="B141" t="s">
        <v>7341</v>
      </c>
      <c r="C141" t="s">
        <v>7342</v>
      </c>
      <c r="D141" s="13">
        <f>_xll.EditDistance($C$3,C141,2)</f>
        <v>10</v>
      </c>
      <c r="E141" s="13"/>
    </row>
    <row r="142" spans="2:5" x14ac:dyDescent="0.2">
      <c r="B142" t="s">
        <v>7341</v>
      </c>
      <c r="C142" t="s">
        <v>7343</v>
      </c>
      <c r="D142" s="13">
        <f>_xll.EditDistance($C$3,C142,2)</f>
        <v>10</v>
      </c>
      <c r="E142" s="13"/>
    </row>
    <row r="143" spans="2:5" x14ac:dyDescent="0.2">
      <c r="B143" t="s">
        <v>7486</v>
      </c>
      <c r="C143" t="s">
        <v>7487</v>
      </c>
      <c r="D143" s="13">
        <f>_xll.EditDistance($C$3,C143,2)</f>
        <v>10</v>
      </c>
      <c r="E143" s="13"/>
    </row>
    <row r="144" spans="2:5" x14ac:dyDescent="0.2">
      <c r="B144" t="s">
        <v>7529</v>
      </c>
      <c r="C144" t="s">
        <v>7530</v>
      </c>
      <c r="D144" s="13">
        <f>_xll.EditDistance($C$3,C144,2)</f>
        <v>10</v>
      </c>
      <c r="E144" s="13"/>
    </row>
    <row r="145" spans="2:5" x14ac:dyDescent="0.2">
      <c r="B145" t="s">
        <v>7569</v>
      </c>
      <c r="C145" t="s">
        <v>7570</v>
      </c>
      <c r="D145" s="13">
        <f>_xll.EditDistance($C$3,C145,2)</f>
        <v>10</v>
      </c>
      <c r="E145" s="13"/>
    </row>
    <row r="146" spans="2:5" x14ac:dyDescent="0.2">
      <c r="B146" t="s">
        <v>7742</v>
      </c>
      <c r="C146" t="s">
        <v>7743</v>
      </c>
      <c r="D146" s="13">
        <f>_xll.EditDistance($C$3,C146,2)</f>
        <v>20</v>
      </c>
      <c r="E146" s="13"/>
    </row>
    <row r="147" spans="2:5" x14ac:dyDescent="0.2">
      <c r="B147" t="s">
        <v>7927</v>
      </c>
      <c r="C147" t="s">
        <v>7928</v>
      </c>
      <c r="D147" s="13">
        <f>_xll.EditDistance($C$3,C147,2)</f>
        <v>20</v>
      </c>
      <c r="E147" s="13"/>
    </row>
    <row r="148" spans="2:5" x14ac:dyDescent="0.2">
      <c r="B148" t="s">
        <v>7978</v>
      </c>
      <c r="C148" t="s">
        <v>7979</v>
      </c>
      <c r="D148" s="13">
        <f>_xll.EditDistance($C$3,C148,2)</f>
        <v>10</v>
      </c>
      <c r="E148" s="13"/>
    </row>
    <row r="149" spans="2:5" x14ac:dyDescent="0.2">
      <c r="B149" t="s">
        <v>8094</v>
      </c>
      <c r="C149" t="s">
        <v>8095</v>
      </c>
      <c r="D149" s="13">
        <f>_xll.EditDistance($C$3,C149,2)</f>
        <v>54</v>
      </c>
      <c r="E149" s="13"/>
    </row>
    <row r="150" spans="2:5" x14ac:dyDescent="0.2">
      <c r="B150" t="s">
        <v>8274</v>
      </c>
      <c r="C150" t="s">
        <v>8275</v>
      </c>
      <c r="D150" s="13">
        <f>_xll.EditDistance($C$3,C150,2)</f>
        <v>10</v>
      </c>
      <c r="E150" s="13"/>
    </row>
    <row r="151" spans="2:5" x14ac:dyDescent="0.2">
      <c r="B151" t="s">
        <v>8520</v>
      </c>
      <c r="C151" t="s">
        <v>8521</v>
      </c>
      <c r="D151" s="13">
        <f>_xll.EditDistance($C$3,C151,2)</f>
        <v>30</v>
      </c>
      <c r="E151" s="13"/>
    </row>
    <row r="152" spans="2:5" x14ac:dyDescent="0.2">
      <c r="B152" t="s">
        <v>8592</v>
      </c>
      <c r="C152" t="s">
        <v>8593</v>
      </c>
      <c r="D152" s="13">
        <f>_xll.EditDistance($C$3,C152,2)</f>
        <v>10</v>
      </c>
      <c r="E152" s="13"/>
    </row>
    <row r="153" spans="2:5" x14ac:dyDescent="0.2">
      <c r="B153" t="s">
        <v>1774</v>
      </c>
      <c r="C153" t="s">
        <v>1776</v>
      </c>
      <c r="D153" s="13">
        <f>_xll.EditDistance($C$3,C153,2)</f>
        <v>10</v>
      </c>
      <c r="E153" s="13"/>
    </row>
    <row r="154" spans="2:5" x14ac:dyDescent="0.2">
      <c r="B154" t="s">
        <v>2387</v>
      </c>
      <c r="C154" t="s">
        <v>2388</v>
      </c>
      <c r="D154" s="13">
        <f>_xll.EditDistance($C$3,C154,2)</f>
        <v>10</v>
      </c>
      <c r="E154" s="13"/>
    </row>
    <row r="155" spans="2:5" x14ac:dyDescent="0.2">
      <c r="B155" t="s">
        <v>2803</v>
      </c>
      <c r="C155" t="s">
        <v>2804</v>
      </c>
      <c r="D155" s="13">
        <f>_xll.EditDistance($C$3,C155,2)</f>
        <v>10</v>
      </c>
      <c r="E155" s="13"/>
    </row>
    <row r="156" spans="2:5" x14ac:dyDescent="0.2">
      <c r="B156" t="s">
        <v>2829</v>
      </c>
      <c r="C156" t="s">
        <v>2831</v>
      </c>
      <c r="D156" s="13">
        <f>_xll.EditDistance($C$3,C156,2)</f>
        <v>20</v>
      </c>
      <c r="E156" s="13"/>
    </row>
    <row r="157" spans="2:5" x14ac:dyDescent="0.2">
      <c r="B157" t="s">
        <v>3169</v>
      </c>
      <c r="C157" t="s">
        <v>3170</v>
      </c>
      <c r="D157" s="13">
        <f>_xll.EditDistance($C$3,C157,2)</f>
        <v>10</v>
      </c>
      <c r="E157" s="13"/>
    </row>
    <row r="158" spans="2:5" x14ac:dyDescent="0.2">
      <c r="B158" t="s">
        <v>4491</v>
      </c>
      <c r="C158" t="s">
        <v>4492</v>
      </c>
      <c r="D158" s="13">
        <f>_xll.EditDistance($C$3,C158,2)</f>
        <v>20</v>
      </c>
      <c r="E158" s="13"/>
    </row>
    <row r="159" spans="2:5" x14ac:dyDescent="0.2">
      <c r="B159" t="s">
        <v>5483</v>
      </c>
      <c r="C159" t="s">
        <v>5484</v>
      </c>
      <c r="D159" s="13">
        <f>_xll.EditDistance($C$3,C159,2)</f>
        <v>10</v>
      </c>
      <c r="E159" s="13"/>
    </row>
    <row r="160" spans="2:5" x14ac:dyDescent="0.2">
      <c r="B160" t="s">
        <v>6674</v>
      </c>
      <c r="C160" t="s">
        <v>6675</v>
      </c>
      <c r="D160" s="13">
        <f>_xll.EditDistance($C$3,C160,2)</f>
        <v>10</v>
      </c>
      <c r="E160" s="13"/>
    </row>
    <row r="161" spans="2:5" x14ac:dyDescent="0.2">
      <c r="B161" t="s">
        <v>6827</v>
      </c>
      <c r="C161" t="s">
        <v>6828</v>
      </c>
      <c r="D161" s="13">
        <f>_xll.EditDistance($C$3,C161,2)</f>
        <v>20</v>
      </c>
      <c r="E161" s="13"/>
    </row>
    <row r="162" spans="2:5" x14ac:dyDescent="0.2">
      <c r="B162" t="s">
        <v>6941</v>
      </c>
      <c r="C162" t="s">
        <v>6942</v>
      </c>
      <c r="D162" s="13">
        <f>_xll.EditDistance($C$3,C162,2)</f>
        <v>10</v>
      </c>
      <c r="E162" s="13"/>
    </row>
    <row r="163" spans="2:5" x14ac:dyDescent="0.2">
      <c r="B163" t="s">
        <v>7974</v>
      </c>
      <c r="C163" t="s">
        <v>7975</v>
      </c>
      <c r="D163" s="13">
        <f>_xll.EditDistance($C$3,C163,2)</f>
        <v>10</v>
      </c>
      <c r="E163" s="13"/>
    </row>
    <row r="164" spans="2:5" x14ac:dyDescent="0.2">
      <c r="B164" t="s">
        <v>279</v>
      </c>
      <c r="C164" t="s">
        <v>280</v>
      </c>
      <c r="D164" s="13">
        <f>_xll.EditDistance($C$3,C164,2)</f>
        <v>10</v>
      </c>
      <c r="E164" s="13"/>
    </row>
    <row r="165" spans="2:5" x14ac:dyDescent="0.2">
      <c r="B165" t="s">
        <v>392</v>
      </c>
      <c r="C165" t="s">
        <v>393</v>
      </c>
      <c r="D165" s="13">
        <f>_xll.EditDistance($C$3,C165,2)</f>
        <v>10</v>
      </c>
      <c r="E165" s="13"/>
    </row>
    <row r="166" spans="2:5" x14ac:dyDescent="0.2">
      <c r="B166" t="s">
        <v>1774</v>
      </c>
      <c r="C166" t="s">
        <v>1775</v>
      </c>
      <c r="D166" s="13">
        <f>_xll.EditDistance($C$3,C166,2)</f>
        <v>10</v>
      </c>
      <c r="E166" s="13"/>
    </row>
    <row r="167" spans="2:5" x14ac:dyDescent="0.2">
      <c r="B167" t="s">
        <v>2311</v>
      </c>
      <c r="C167" t="s">
        <v>2312</v>
      </c>
      <c r="D167" s="13">
        <f>_xll.EditDistance($C$3,C167,2)</f>
        <v>10</v>
      </c>
      <c r="E167" s="13"/>
    </row>
    <row r="168" spans="2:5" x14ac:dyDescent="0.2">
      <c r="B168" t="s">
        <v>2371</v>
      </c>
      <c r="C168" t="s">
        <v>2372</v>
      </c>
      <c r="D168" s="13">
        <f>_xll.EditDistance($C$3,C168,2)</f>
        <v>10</v>
      </c>
      <c r="E168" s="13"/>
    </row>
    <row r="169" spans="2:5" x14ac:dyDescent="0.2">
      <c r="B169" t="s">
        <v>2403</v>
      </c>
      <c r="C169" t="s">
        <v>2404</v>
      </c>
      <c r="D169" s="13">
        <f>_xll.EditDistance($C$3,C169,2)</f>
        <v>20</v>
      </c>
      <c r="E169" s="13"/>
    </row>
    <row r="170" spans="2:5" x14ac:dyDescent="0.2">
      <c r="B170" t="s">
        <v>3468</v>
      </c>
      <c r="C170" t="s">
        <v>3469</v>
      </c>
      <c r="D170" s="13">
        <f>_xll.EditDistance($C$3,C170,2)</f>
        <v>10</v>
      </c>
      <c r="E170" s="13"/>
    </row>
    <row r="171" spans="2:5" x14ac:dyDescent="0.2">
      <c r="B171" t="s">
        <v>3584</v>
      </c>
      <c r="C171" t="s">
        <v>3585</v>
      </c>
      <c r="D171" s="13">
        <f>_xll.EditDistance($C$3,C171,2)</f>
        <v>10</v>
      </c>
      <c r="E171" s="13"/>
    </row>
    <row r="172" spans="2:5" x14ac:dyDescent="0.2">
      <c r="B172" t="s">
        <v>4091</v>
      </c>
      <c r="C172" t="s">
        <v>4092</v>
      </c>
      <c r="D172" s="13">
        <f>_xll.EditDistance($C$3,C172,2)</f>
        <v>20</v>
      </c>
      <c r="E172" s="13"/>
    </row>
    <row r="173" spans="2:5" x14ac:dyDescent="0.2">
      <c r="B173" t="s">
        <v>4507</v>
      </c>
      <c r="C173" t="s">
        <v>4508</v>
      </c>
      <c r="D173" s="13">
        <f>_xll.EditDistance($C$3,C173,2)</f>
        <v>10</v>
      </c>
      <c r="E173" s="13"/>
    </row>
    <row r="174" spans="2:5" x14ac:dyDescent="0.2">
      <c r="B174" t="s">
        <v>4826</v>
      </c>
      <c r="C174" t="s">
        <v>4827</v>
      </c>
      <c r="D174" s="13">
        <f>_xll.EditDistance($C$3,C174,2)</f>
        <v>20</v>
      </c>
      <c r="E174" s="13"/>
    </row>
    <row r="175" spans="2:5" x14ac:dyDescent="0.2">
      <c r="B175" t="s">
        <v>4869</v>
      </c>
      <c r="C175" t="s">
        <v>4870</v>
      </c>
      <c r="D175" s="13">
        <f>_xll.EditDistance($C$3,C175,2)</f>
        <v>10</v>
      </c>
      <c r="E175" s="13"/>
    </row>
    <row r="176" spans="2:5" x14ac:dyDescent="0.2">
      <c r="B176" t="s">
        <v>5075</v>
      </c>
      <c r="C176" t="s">
        <v>5076</v>
      </c>
      <c r="D176" s="13">
        <f>_xll.EditDistance($C$3,C176,2)</f>
        <v>10</v>
      </c>
      <c r="E176" s="13"/>
    </row>
    <row r="177" spans="2:5" x14ac:dyDescent="0.2">
      <c r="B177" t="s">
        <v>5519</v>
      </c>
      <c r="C177" t="s">
        <v>5520</v>
      </c>
      <c r="D177" s="13">
        <f>_xll.EditDistance($C$3,C177,2)</f>
        <v>20</v>
      </c>
      <c r="E177" s="13"/>
    </row>
    <row r="178" spans="2:5" x14ac:dyDescent="0.2">
      <c r="B178" t="s">
        <v>5575</v>
      </c>
      <c r="C178" t="s">
        <v>5576</v>
      </c>
      <c r="D178" s="13">
        <f>_xll.EditDistance($C$3,C178,2)</f>
        <v>10</v>
      </c>
      <c r="E178" s="13"/>
    </row>
    <row r="179" spans="2:5" x14ac:dyDescent="0.2">
      <c r="B179" t="s">
        <v>5828</v>
      </c>
      <c r="C179" t="s">
        <v>5829</v>
      </c>
      <c r="D179" s="13">
        <f>_xll.EditDistance($C$3,C179,2)</f>
        <v>10</v>
      </c>
      <c r="E179" s="13"/>
    </row>
    <row r="180" spans="2:5" x14ac:dyDescent="0.2">
      <c r="B180" t="s">
        <v>5834</v>
      </c>
      <c r="C180" t="s">
        <v>5835</v>
      </c>
      <c r="D180" s="13">
        <f>_xll.EditDistance($C$3,C180,2)</f>
        <v>20</v>
      </c>
      <c r="E180" s="13"/>
    </row>
    <row r="181" spans="2:5" x14ac:dyDescent="0.2">
      <c r="B181" t="s">
        <v>6374</v>
      </c>
      <c r="C181" t="s">
        <v>6375</v>
      </c>
      <c r="D181" s="13">
        <f>_xll.EditDistance($C$3,C181,2)</f>
        <v>10</v>
      </c>
      <c r="E181" s="13"/>
    </row>
    <row r="182" spans="2:5" x14ac:dyDescent="0.2">
      <c r="B182" t="s">
        <v>7424</v>
      </c>
      <c r="C182" t="s">
        <v>7426</v>
      </c>
      <c r="D182" s="13">
        <f>_xll.EditDistance($C$3,C182,2)</f>
        <v>10</v>
      </c>
      <c r="E182" s="13"/>
    </row>
    <row r="183" spans="2:5" x14ac:dyDescent="0.2">
      <c r="B183" t="s">
        <v>7491</v>
      </c>
      <c r="C183" t="s">
        <v>7492</v>
      </c>
      <c r="D183" s="13">
        <f>_xll.EditDistance($C$3,C183,2)</f>
        <v>20</v>
      </c>
      <c r="E183" s="13"/>
    </row>
    <row r="184" spans="2:5" x14ac:dyDescent="0.2">
      <c r="B184" t="s">
        <v>7726</v>
      </c>
      <c r="C184" t="s">
        <v>7727</v>
      </c>
      <c r="D184" s="13">
        <f>_xll.EditDistance($C$3,C184,2)</f>
        <v>10</v>
      </c>
      <c r="E184" s="13"/>
    </row>
    <row r="185" spans="2:5" x14ac:dyDescent="0.2">
      <c r="B185" t="s">
        <v>7864</v>
      </c>
      <c r="C185" t="s">
        <v>7865</v>
      </c>
      <c r="D185" s="13">
        <f>_xll.EditDistance($C$3,C185,2)</f>
        <v>10</v>
      </c>
      <c r="E185" s="13"/>
    </row>
    <row r="186" spans="2:5" x14ac:dyDescent="0.2">
      <c r="B186" t="s">
        <v>7911</v>
      </c>
      <c r="C186" t="s">
        <v>7912</v>
      </c>
      <c r="D186" s="13">
        <f>_xll.EditDistance($C$3,C186,2)</f>
        <v>20</v>
      </c>
      <c r="E186" s="13"/>
    </row>
    <row r="187" spans="2:5" x14ac:dyDescent="0.2">
      <c r="B187" t="s">
        <v>7938</v>
      </c>
      <c r="C187" t="s">
        <v>7939</v>
      </c>
      <c r="D187" s="13">
        <f>_xll.EditDistance($C$3,C187,2)</f>
        <v>10</v>
      </c>
      <c r="E187" s="13"/>
    </row>
    <row r="188" spans="2:5" x14ac:dyDescent="0.2">
      <c r="B188" t="s">
        <v>8422</v>
      </c>
      <c r="C188" t="s">
        <v>8423</v>
      </c>
      <c r="D188" s="13">
        <f>_xll.EditDistance($C$3,C188,2)</f>
        <v>20</v>
      </c>
      <c r="E188" s="13"/>
    </row>
    <row r="189" spans="2:5" x14ac:dyDescent="0.2">
      <c r="B189" t="s">
        <v>8502</v>
      </c>
      <c r="C189" t="s">
        <v>8504</v>
      </c>
      <c r="D189" s="13">
        <f>_xll.EditDistance($C$3,C189,2)</f>
        <v>10</v>
      </c>
      <c r="E189" s="13"/>
    </row>
    <row r="190" spans="2:5" x14ac:dyDescent="0.2">
      <c r="B190" t="s">
        <v>8637</v>
      </c>
      <c r="C190" t="s">
        <v>8638</v>
      </c>
      <c r="D190" s="13">
        <f>_xll.EditDistance($C$3,C190,2)</f>
        <v>10</v>
      </c>
      <c r="E190" s="13"/>
    </row>
    <row r="191" spans="2:5" x14ac:dyDescent="0.2">
      <c r="B191" t="s">
        <v>420</v>
      </c>
      <c r="C191" t="s">
        <v>421</v>
      </c>
      <c r="D191" s="13">
        <f>_xll.EditDistance($C$3,C191,2)</f>
        <v>10</v>
      </c>
      <c r="E191" s="13"/>
    </row>
    <row r="192" spans="2:5" x14ac:dyDescent="0.2">
      <c r="B192" t="s">
        <v>570</v>
      </c>
      <c r="C192" t="s">
        <v>571</v>
      </c>
      <c r="D192" s="13">
        <f>_xll.EditDistance($C$3,C192,2)</f>
        <v>10</v>
      </c>
      <c r="E192" s="13"/>
    </row>
    <row r="193" spans="2:5" x14ac:dyDescent="0.2">
      <c r="B193" t="s">
        <v>816</v>
      </c>
      <c r="C193" t="s">
        <v>817</v>
      </c>
      <c r="D193" s="13">
        <f>_xll.EditDistance($C$3,C193,2)</f>
        <v>10</v>
      </c>
      <c r="E193" s="13"/>
    </row>
    <row r="194" spans="2:5" x14ac:dyDescent="0.2">
      <c r="B194" t="s">
        <v>1020</v>
      </c>
      <c r="C194" t="s">
        <v>1021</v>
      </c>
      <c r="D194" s="13">
        <f>_xll.EditDistance($C$3,C194,2)</f>
        <v>10</v>
      </c>
      <c r="E194" s="13"/>
    </row>
    <row r="195" spans="2:5" x14ac:dyDescent="0.2">
      <c r="B195" t="s">
        <v>1074</v>
      </c>
      <c r="C195" t="s">
        <v>1075</v>
      </c>
      <c r="D195" s="13">
        <f>_xll.EditDistance($C$3,C195,2)</f>
        <v>10</v>
      </c>
      <c r="E195" s="13"/>
    </row>
    <row r="196" spans="2:5" x14ac:dyDescent="0.2">
      <c r="B196" t="s">
        <v>1192</v>
      </c>
      <c r="C196" t="s">
        <v>1193</v>
      </c>
      <c r="D196" s="13">
        <f>_xll.EditDistance($C$3,C196,2)</f>
        <v>10</v>
      </c>
      <c r="E196" s="13"/>
    </row>
    <row r="197" spans="2:5" x14ac:dyDescent="0.2">
      <c r="B197" t="s">
        <v>1634</v>
      </c>
      <c r="C197" t="s">
        <v>1635</v>
      </c>
      <c r="D197" s="13">
        <f>_xll.EditDistance($C$3,C197,2)</f>
        <v>10</v>
      </c>
      <c r="E197" s="13"/>
    </row>
    <row r="198" spans="2:5" x14ac:dyDescent="0.2">
      <c r="B198" t="s">
        <v>1933</v>
      </c>
      <c r="C198" t="s">
        <v>1934</v>
      </c>
      <c r="D198" s="13">
        <f>_xll.EditDistance($C$3,C198,2)</f>
        <v>10</v>
      </c>
      <c r="E198" s="13"/>
    </row>
    <row r="199" spans="2:5" x14ac:dyDescent="0.2">
      <c r="B199" t="s">
        <v>2080</v>
      </c>
      <c r="C199" t="s">
        <v>2081</v>
      </c>
      <c r="D199" s="13">
        <f>_xll.EditDistance($C$3,C199,2)</f>
        <v>10</v>
      </c>
      <c r="E199" s="13"/>
    </row>
    <row r="200" spans="2:5" x14ac:dyDescent="0.2">
      <c r="B200" t="s">
        <v>2089</v>
      </c>
      <c r="C200" t="s">
        <v>2090</v>
      </c>
      <c r="D200" s="13">
        <f>_xll.EditDistance($C$3,C200,2)</f>
        <v>10</v>
      </c>
      <c r="E200" s="13"/>
    </row>
    <row r="201" spans="2:5" x14ac:dyDescent="0.2">
      <c r="B201" t="s">
        <v>2319</v>
      </c>
      <c r="C201" t="s">
        <v>2320</v>
      </c>
      <c r="D201" s="13">
        <f>_xll.EditDistance($C$3,C201,2)</f>
        <v>10</v>
      </c>
      <c r="E201" s="13"/>
    </row>
    <row r="202" spans="2:5" x14ac:dyDescent="0.2">
      <c r="B202" t="s">
        <v>2596</v>
      </c>
      <c r="C202" t="s">
        <v>2597</v>
      </c>
      <c r="D202" s="13">
        <f>_xll.EditDistance($C$3,C202,2)</f>
        <v>10</v>
      </c>
      <c r="E202" s="13"/>
    </row>
    <row r="203" spans="2:5" x14ac:dyDescent="0.2">
      <c r="B203" t="s">
        <v>2620</v>
      </c>
      <c r="C203" t="s">
        <v>2621</v>
      </c>
      <c r="D203" s="13">
        <f>_xll.EditDistance($C$3,C203,2)</f>
        <v>10</v>
      </c>
      <c r="E203" s="13"/>
    </row>
    <row r="204" spans="2:5" x14ac:dyDescent="0.2">
      <c r="B204" t="s">
        <v>3067</v>
      </c>
      <c r="C204" t="s">
        <v>3068</v>
      </c>
      <c r="D204" s="13">
        <f>_xll.EditDistance($C$3,C204,2)</f>
        <v>16</v>
      </c>
      <c r="E204" s="13"/>
    </row>
    <row r="205" spans="2:5" x14ac:dyDescent="0.2">
      <c r="B205" t="s">
        <v>3173</v>
      </c>
      <c r="C205" t="s">
        <v>3174</v>
      </c>
      <c r="D205" s="13">
        <f>_xll.EditDistance($C$3,C205,2)</f>
        <v>10</v>
      </c>
      <c r="E205" s="13"/>
    </row>
    <row r="206" spans="2:5" x14ac:dyDescent="0.2">
      <c r="B206" t="s">
        <v>3183</v>
      </c>
      <c r="C206" t="s">
        <v>3184</v>
      </c>
      <c r="D206" s="13">
        <f>_xll.EditDistance($C$3,C206,2)</f>
        <v>10</v>
      </c>
      <c r="E206" s="13"/>
    </row>
    <row r="207" spans="2:5" x14ac:dyDescent="0.2">
      <c r="B207" t="s">
        <v>3308</v>
      </c>
      <c r="C207" t="s">
        <v>3309</v>
      </c>
      <c r="D207" s="13">
        <f>_xll.EditDistance($C$3,C207,2)</f>
        <v>20</v>
      </c>
      <c r="E207" s="13"/>
    </row>
    <row r="208" spans="2:5" x14ac:dyDescent="0.2">
      <c r="B208" t="s">
        <v>3308</v>
      </c>
      <c r="C208" t="s">
        <v>3310</v>
      </c>
      <c r="D208" s="13">
        <f>_xll.EditDistance($C$3,C208,2)</f>
        <v>20</v>
      </c>
      <c r="E208" s="13"/>
    </row>
    <row r="209" spans="2:5" x14ac:dyDescent="0.2">
      <c r="B209" t="s">
        <v>3616</v>
      </c>
      <c r="C209" t="s">
        <v>3617</v>
      </c>
      <c r="D209" s="13">
        <f>_xll.EditDistance($C$3,C209,2)</f>
        <v>30</v>
      </c>
      <c r="E209" s="13"/>
    </row>
    <row r="210" spans="2:5" x14ac:dyDescent="0.2">
      <c r="B210" t="s">
        <v>3762</v>
      </c>
      <c r="C210" t="s">
        <v>3763</v>
      </c>
      <c r="D210" s="13">
        <f>_xll.EditDistance($C$3,C210,2)</f>
        <v>10</v>
      </c>
      <c r="E210" s="13"/>
    </row>
    <row r="211" spans="2:5" x14ac:dyDescent="0.2">
      <c r="B211" t="s">
        <v>3782</v>
      </c>
      <c r="C211" t="s">
        <v>3783</v>
      </c>
      <c r="D211" s="13">
        <f>_xll.EditDistance($C$3,C211,2)</f>
        <v>10</v>
      </c>
      <c r="E211" s="13"/>
    </row>
    <row r="212" spans="2:5" x14ac:dyDescent="0.2">
      <c r="B212" t="s">
        <v>4083</v>
      </c>
      <c r="C212" t="s">
        <v>4084</v>
      </c>
      <c r="D212" s="13">
        <f>_xll.EditDistance($C$3,C212,2)</f>
        <v>10</v>
      </c>
      <c r="E212" s="13"/>
    </row>
    <row r="213" spans="2:5" x14ac:dyDescent="0.2">
      <c r="B213" t="s">
        <v>4163</v>
      </c>
      <c r="C213" t="s">
        <v>4164</v>
      </c>
      <c r="D213" s="13">
        <f>_xll.EditDistance($C$3,C213,2)</f>
        <v>10</v>
      </c>
      <c r="E213" s="13"/>
    </row>
    <row r="214" spans="2:5" x14ac:dyDescent="0.2">
      <c r="B214" t="s">
        <v>4332</v>
      </c>
      <c r="C214" t="s">
        <v>4333</v>
      </c>
      <c r="D214" s="13">
        <f>_xll.EditDistance($C$3,C214,2)</f>
        <v>10</v>
      </c>
      <c r="E214" s="13"/>
    </row>
    <row r="215" spans="2:5" x14ac:dyDescent="0.2">
      <c r="B215" t="s">
        <v>4402</v>
      </c>
      <c r="C215" t="s">
        <v>4403</v>
      </c>
      <c r="D215" s="13">
        <f>_xll.EditDistance($C$3,C215,2)</f>
        <v>10</v>
      </c>
      <c r="E215" s="13"/>
    </row>
    <row r="216" spans="2:5" x14ac:dyDescent="0.2">
      <c r="B216" t="s">
        <v>4593</v>
      </c>
      <c r="C216" t="s">
        <v>4594</v>
      </c>
      <c r="D216" s="13">
        <f>_xll.EditDistance($C$3,C216,2)</f>
        <v>10</v>
      </c>
      <c r="E216" s="13"/>
    </row>
    <row r="217" spans="2:5" x14ac:dyDescent="0.2">
      <c r="B217" t="s">
        <v>5218</v>
      </c>
      <c r="C217" t="s">
        <v>5219</v>
      </c>
      <c r="D217" s="13">
        <f>_xll.EditDistance($C$3,C217,2)</f>
        <v>20</v>
      </c>
      <c r="E217" s="13"/>
    </row>
    <row r="218" spans="2:5" x14ac:dyDescent="0.2">
      <c r="B218" t="s">
        <v>5300</v>
      </c>
      <c r="C218" t="s">
        <v>5301</v>
      </c>
      <c r="D218" s="13">
        <f>_xll.EditDistance($C$3,C218,2)</f>
        <v>10</v>
      </c>
      <c r="E218" s="13"/>
    </row>
    <row r="219" spans="2:5" x14ac:dyDescent="0.2">
      <c r="B219" s="22" t="s">
        <v>5455</v>
      </c>
      <c r="C219" t="s">
        <v>5456</v>
      </c>
      <c r="D219" s="13">
        <f>_xll.EditDistance($C$3,C219,2)</f>
        <v>10</v>
      </c>
      <c r="E219" s="13"/>
    </row>
    <row r="220" spans="2:5" x14ac:dyDescent="0.2">
      <c r="B220" t="s">
        <v>6194</v>
      </c>
      <c r="C220" t="s">
        <v>6195</v>
      </c>
      <c r="D220" s="13">
        <f>_xll.EditDistance($C$3,C220,2)</f>
        <v>10</v>
      </c>
      <c r="E220" s="13"/>
    </row>
    <row r="221" spans="2:5" x14ac:dyDescent="0.2">
      <c r="B221" t="s">
        <v>6355</v>
      </c>
      <c r="C221" t="s">
        <v>6356</v>
      </c>
      <c r="D221" s="13">
        <f>_xll.EditDistance($C$3,C221,2)</f>
        <v>18</v>
      </c>
      <c r="E221" s="13"/>
    </row>
    <row r="222" spans="2:5" x14ac:dyDescent="0.2">
      <c r="B222" t="s">
        <v>6364</v>
      </c>
      <c r="C222" t="s">
        <v>6365</v>
      </c>
      <c r="D222" s="13">
        <f>_xll.EditDistance($C$3,C222,2)</f>
        <v>10</v>
      </c>
      <c r="E222" s="13"/>
    </row>
    <row r="223" spans="2:5" x14ac:dyDescent="0.2">
      <c r="B223" t="s">
        <v>6496</v>
      </c>
      <c r="C223" t="s">
        <v>6497</v>
      </c>
      <c r="D223" s="13">
        <f>_xll.EditDistance($C$3,C223,2)</f>
        <v>10</v>
      </c>
      <c r="E223" s="13"/>
    </row>
    <row r="224" spans="2:5" x14ac:dyDescent="0.2">
      <c r="B224" t="s">
        <v>6623</v>
      </c>
      <c r="C224" t="s">
        <v>6624</v>
      </c>
      <c r="D224" s="13">
        <f>_xll.EditDistance($C$3,C224,2)</f>
        <v>10</v>
      </c>
      <c r="E224" s="13"/>
    </row>
    <row r="225" spans="2:5" x14ac:dyDescent="0.2">
      <c r="B225" t="s">
        <v>6744</v>
      </c>
      <c r="C225" t="s">
        <v>6745</v>
      </c>
      <c r="D225" s="13">
        <f>_xll.EditDistance($C$3,C225,2)</f>
        <v>20</v>
      </c>
      <c r="E225" s="13"/>
    </row>
    <row r="226" spans="2:5" x14ac:dyDescent="0.2">
      <c r="B226" t="s">
        <v>6759</v>
      </c>
      <c r="C226" t="s">
        <v>6760</v>
      </c>
      <c r="D226" s="13">
        <f>_xll.EditDistance($C$3,C226,2)</f>
        <v>10</v>
      </c>
      <c r="E226" s="13"/>
    </row>
    <row r="227" spans="2:5" x14ac:dyDescent="0.2">
      <c r="B227" t="s">
        <v>6891</v>
      </c>
      <c r="C227" t="s">
        <v>6892</v>
      </c>
      <c r="D227" s="13">
        <f>_xll.EditDistance($C$3,C227,2)</f>
        <v>10</v>
      </c>
      <c r="E227" s="13"/>
    </row>
    <row r="228" spans="2:5" x14ac:dyDescent="0.2">
      <c r="B228" t="s">
        <v>6926</v>
      </c>
      <c r="C228" t="s">
        <v>6927</v>
      </c>
      <c r="D228" s="13">
        <f>_xll.EditDistance($C$3,C228,2)</f>
        <v>10</v>
      </c>
      <c r="E228" s="13"/>
    </row>
    <row r="229" spans="2:5" x14ac:dyDescent="0.2">
      <c r="B229" t="s">
        <v>7098</v>
      </c>
      <c r="C229" t="s">
        <v>7099</v>
      </c>
      <c r="D229" s="13">
        <f>_xll.EditDistance($C$3,C229,2)</f>
        <v>10</v>
      </c>
      <c r="E229" s="13"/>
    </row>
    <row r="230" spans="2:5" x14ac:dyDescent="0.2">
      <c r="B230" t="s">
        <v>7102</v>
      </c>
      <c r="C230" t="s">
        <v>7103</v>
      </c>
      <c r="D230" s="13">
        <f>_xll.EditDistance($C$3,C230,2)</f>
        <v>20</v>
      </c>
      <c r="E230" s="13"/>
    </row>
    <row r="231" spans="2:5" x14ac:dyDescent="0.2">
      <c r="B231" t="s">
        <v>7224</v>
      </c>
      <c r="C231" t="s">
        <v>7225</v>
      </c>
      <c r="D231" s="13">
        <f>_xll.EditDistance($C$3,C231,2)</f>
        <v>10</v>
      </c>
      <c r="E231" s="13"/>
    </row>
    <row r="232" spans="2:5" x14ac:dyDescent="0.2">
      <c r="B232" t="s">
        <v>7472</v>
      </c>
      <c r="C232" t="s">
        <v>7473</v>
      </c>
      <c r="D232" s="13">
        <f>_xll.EditDistance($C$3,C232,2)</f>
        <v>10</v>
      </c>
      <c r="E232" s="13"/>
    </row>
    <row r="233" spans="2:5" x14ac:dyDescent="0.2">
      <c r="B233" t="s">
        <v>7474</v>
      </c>
      <c r="C233" t="s">
        <v>7475</v>
      </c>
      <c r="D233" s="13">
        <f>_xll.EditDistance($C$3,C233,2)</f>
        <v>30</v>
      </c>
      <c r="E233" s="13"/>
    </row>
    <row r="234" spans="2:5" x14ac:dyDescent="0.2">
      <c r="B234" t="s">
        <v>7545</v>
      </c>
      <c r="C234" t="s">
        <v>7546</v>
      </c>
      <c r="D234" s="13">
        <f>_xll.EditDistance($C$3,C234,2)</f>
        <v>20</v>
      </c>
      <c r="E234" s="13"/>
    </row>
    <row r="235" spans="2:5" x14ac:dyDescent="0.2">
      <c r="B235" t="s">
        <v>7778</v>
      </c>
      <c r="C235" t="s">
        <v>7779</v>
      </c>
      <c r="D235" s="13">
        <f>_xll.EditDistance($C$3,C235,2)</f>
        <v>10</v>
      </c>
      <c r="E235" s="13"/>
    </row>
    <row r="236" spans="2:5" x14ac:dyDescent="0.2">
      <c r="B236" t="s">
        <v>7907</v>
      </c>
      <c r="C236" t="s">
        <v>7908</v>
      </c>
      <c r="D236" s="13">
        <f>_xll.EditDistance($C$3,C236,2)</f>
        <v>30</v>
      </c>
      <c r="E236" s="13"/>
    </row>
    <row r="237" spans="2:5" x14ac:dyDescent="0.2">
      <c r="B237" t="s">
        <v>7915</v>
      </c>
      <c r="C237" t="s">
        <v>7916</v>
      </c>
      <c r="D237" s="13">
        <f>_xll.EditDistance($C$3,C237,2)</f>
        <v>10</v>
      </c>
      <c r="E237" s="13"/>
    </row>
    <row r="238" spans="2:5" x14ac:dyDescent="0.2">
      <c r="B238" t="s">
        <v>8030</v>
      </c>
      <c r="C238" t="s">
        <v>8031</v>
      </c>
      <c r="D238" s="13">
        <f>_xll.EditDistance($C$3,C238,2)</f>
        <v>10</v>
      </c>
      <c r="E238" s="13"/>
    </row>
    <row r="239" spans="2:5" x14ac:dyDescent="0.2">
      <c r="B239" t="s">
        <v>8635</v>
      </c>
      <c r="C239" t="s">
        <v>8636</v>
      </c>
      <c r="D239" s="13">
        <f>_xll.EditDistance($C$3,C239,2)</f>
        <v>48</v>
      </c>
      <c r="E239" s="13"/>
    </row>
    <row r="240" spans="2:5" x14ac:dyDescent="0.2">
      <c r="B240" t="s">
        <v>8725</v>
      </c>
      <c r="C240" t="s">
        <v>8726</v>
      </c>
      <c r="D240" s="13">
        <f>_xll.EditDistance($C$3,C240,2)</f>
        <v>10</v>
      </c>
      <c r="E240" s="13"/>
    </row>
    <row r="241" spans="2:5" x14ac:dyDescent="0.2">
      <c r="B241" t="s">
        <v>490</v>
      </c>
      <c r="C241" t="s">
        <v>491</v>
      </c>
      <c r="D241" s="13">
        <f>_xll.EditDistance($C$3,C241,2)</f>
        <v>10</v>
      </c>
      <c r="E241" s="13"/>
    </row>
    <row r="242" spans="2:5" x14ac:dyDescent="0.2">
      <c r="B242" t="s">
        <v>564</v>
      </c>
      <c r="C242" t="s">
        <v>565</v>
      </c>
      <c r="D242" s="13">
        <f>_xll.EditDistance($C$3,C242,2)</f>
        <v>10</v>
      </c>
      <c r="E242" s="13"/>
    </row>
    <row r="243" spans="2:5" x14ac:dyDescent="0.2">
      <c r="B243" t="s">
        <v>869</v>
      </c>
      <c r="C243" t="s">
        <v>870</v>
      </c>
      <c r="D243" s="13">
        <f>_xll.EditDistance($C$3,C243,2)</f>
        <v>20</v>
      </c>
      <c r="E243" s="13"/>
    </row>
    <row r="244" spans="2:5" x14ac:dyDescent="0.2">
      <c r="B244" t="s">
        <v>873</v>
      </c>
      <c r="C244" t="s">
        <v>874</v>
      </c>
      <c r="D244" s="13">
        <f>_xll.EditDistance($C$3,C244,2)</f>
        <v>10</v>
      </c>
      <c r="E244" s="13"/>
    </row>
    <row r="245" spans="2:5" x14ac:dyDescent="0.2">
      <c r="B245" t="s">
        <v>1212</v>
      </c>
      <c r="C245" t="s">
        <v>1213</v>
      </c>
      <c r="D245" s="13">
        <f>_xll.EditDistance($C$3,C245,2)</f>
        <v>10</v>
      </c>
      <c r="E245" s="13"/>
    </row>
    <row r="246" spans="2:5" x14ac:dyDescent="0.2">
      <c r="B246" t="s">
        <v>1250</v>
      </c>
      <c r="C246" t="s">
        <v>1251</v>
      </c>
      <c r="D246" s="13">
        <f>_xll.EditDistance($C$3,C246,2)</f>
        <v>10</v>
      </c>
      <c r="E246" s="13"/>
    </row>
    <row r="247" spans="2:5" x14ac:dyDescent="0.2">
      <c r="B247" t="s">
        <v>1318</v>
      </c>
      <c r="C247" t="s">
        <v>1319</v>
      </c>
      <c r="D247" s="13">
        <f>_xll.EditDistance($C$3,C247,2)</f>
        <v>10</v>
      </c>
      <c r="E247" s="13"/>
    </row>
    <row r="248" spans="2:5" x14ac:dyDescent="0.2">
      <c r="B248" t="s">
        <v>1344</v>
      </c>
      <c r="C248" t="s">
        <v>1345</v>
      </c>
      <c r="D248" s="13">
        <f>_xll.EditDistance($C$3,C248,2)</f>
        <v>10</v>
      </c>
      <c r="E248" s="13"/>
    </row>
    <row r="249" spans="2:5" x14ac:dyDescent="0.2">
      <c r="B249" t="s">
        <v>1348</v>
      </c>
      <c r="C249" t="s">
        <v>1349</v>
      </c>
      <c r="D249" s="13">
        <f>_xll.EditDistance($C$3,C249,2)</f>
        <v>20</v>
      </c>
      <c r="E249" s="13"/>
    </row>
    <row r="250" spans="2:5" x14ac:dyDescent="0.2">
      <c r="B250" t="s">
        <v>1397</v>
      </c>
      <c r="C250" t="s">
        <v>1398</v>
      </c>
      <c r="D250" s="13">
        <f>_xll.EditDistance($C$3,C250,2)</f>
        <v>10</v>
      </c>
      <c r="E250" s="13"/>
    </row>
    <row r="251" spans="2:5" x14ac:dyDescent="0.2">
      <c r="B251" t="s">
        <v>1436</v>
      </c>
      <c r="C251" t="s">
        <v>1437</v>
      </c>
      <c r="D251" s="13">
        <f>_xll.EditDistance($C$3,C251,2)</f>
        <v>30</v>
      </c>
      <c r="E251" s="13"/>
    </row>
    <row r="252" spans="2:5" x14ac:dyDescent="0.2">
      <c r="B252" t="s">
        <v>1752</v>
      </c>
      <c r="C252" t="s">
        <v>1753</v>
      </c>
      <c r="D252" s="13">
        <f>_xll.EditDistance($C$3,C252,2)</f>
        <v>20</v>
      </c>
      <c r="E252" s="13"/>
    </row>
    <row r="253" spans="2:5" x14ac:dyDescent="0.2">
      <c r="B253" t="s">
        <v>1946</v>
      </c>
      <c r="C253" t="s">
        <v>1947</v>
      </c>
      <c r="D253" s="13">
        <f>_xll.EditDistance($C$3,C253,2)</f>
        <v>10</v>
      </c>
      <c r="E253" s="13"/>
    </row>
    <row r="254" spans="2:5" x14ac:dyDescent="0.2">
      <c r="B254" t="s">
        <v>1950</v>
      </c>
      <c r="C254" t="s">
        <v>1951</v>
      </c>
      <c r="D254" s="13">
        <f>_xll.EditDistance($C$3,C254,2)</f>
        <v>10</v>
      </c>
      <c r="E254" s="13"/>
    </row>
    <row r="255" spans="2:5" x14ac:dyDescent="0.2">
      <c r="B255" t="s">
        <v>2034</v>
      </c>
      <c r="C255" t="s">
        <v>2035</v>
      </c>
      <c r="D255" s="13">
        <f>_xll.EditDistance($C$3,C255,2)</f>
        <v>10</v>
      </c>
      <c r="E255" s="13"/>
    </row>
    <row r="256" spans="2:5" x14ac:dyDescent="0.2">
      <c r="B256" t="s">
        <v>2045</v>
      </c>
      <c r="C256" t="s">
        <v>2046</v>
      </c>
      <c r="D256" s="13">
        <f>_xll.EditDistance($C$3,C256,2)</f>
        <v>10</v>
      </c>
      <c r="E256" s="13"/>
    </row>
    <row r="257" spans="2:5" x14ac:dyDescent="0.2">
      <c r="B257" t="s">
        <v>2231</v>
      </c>
      <c r="C257" t="s">
        <v>2232</v>
      </c>
      <c r="D257" s="13">
        <f>_xll.EditDistance($C$3,C257,2)</f>
        <v>10</v>
      </c>
      <c r="E257" s="13"/>
    </row>
    <row r="258" spans="2:5" x14ac:dyDescent="0.2">
      <c r="B258" t="s">
        <v>2305</v>
      </c>
      <c r="C258" t="s">
        <v>2306</v>
      </c>
      <c r="D258" s="13">
        <f>_xll.EditDistance($C$3,C258,2)</f>
        <v>10</v>
      </c>
      <c r="E258" s="13"/>
    </row>
    <row r="259" spans="2:5" x14ac:dyDescent="0.2">
      <c r="B259" t="s">
        <v>2412</v>
      </c>
      <c r="C259" t="s">
        <v>2413</v>
      </c>
      <c r="D259" s="13">
        <f>_xll.EditDistance($C$3,C259,2)</f>
        <v>10</v>
      </c>
      <c r="E259" s="13"/>
    </row>
    <row r="260" spans="2:5" x14ac:dyDescent="0.2">
      <c r="B260" t="s">
        <v>2578</v>
      </c>
      <c r="C260" t="s">
        <v>2579</v>
      </c>
      <c r="D260" s="13">
        <f>_xll.EditDistance($C$3,C260,2)</f>
        <v>10</v>
      </c>
      <c r="E260" s="13"/>
    </row>
    <row r="261" spans="2:5" x14ac:dyDescent="0.2">
      <c r="B261" t="s">
        <v>2667</v>
      </c>
      <c r="C261" t="s">
        <v>2668</v>
      </c>
      <c r="D261" s="13">
        <f>_xll.EditDistance($C$3,C261,2)</f>
        <v>10</v>
      </c>
      <c r="E261" s="13"/>
    </row>
    <row r="262" spans="2:5" x14ac:dyDescent="0.2">
      <c r="B262" t="s">
        <v>2667</v>
      </c>
      <c r="C262" t="s">
        <v>2669</v>
      </c>
      <c r="D262" s="13">
        <f>_xll.EditDistance($C$3,C262,2)</f>
        <v>10</v>
      </c>
      <c r="E262" s="13"/>
    </row>
    <row r="263" spans="2:5" x14ac:dyDescent="0.2">
      <c r="B263" s="22" t="s">
        <v>2813</v>
      </c>
      <c r="C263" t="s">
        <v>2814</v>
      </c>
      <c r="D263" s="13">
        <f>_xll.EditDistance($C$3,C263,2)</f>
        <v>10</v>
      </c>
      <c r="E263" s="13"/>
    </row>
    <row r="264" spans="2:5" x14ac:dyDescent="0.2">
      <c r="B264" t="s">
        <v>2923</v>
      </c>
      <c r="C264" t="s">
        <v>2924</v>
      </c>
      <c r="D264" s="13">
        <f>_xll.EditDistance($C$3,C264,2)</f>
        <v>30</v>
      </c>
      <c r="E264" s="13"/>
    </row>
    <row r="265" spans="2:5" x14ac:dyDescent="0.2">
      <c r="B265" t="s">
        <v>2971</v>
      </c>
      <c r="C265" t="s">
        <v>2972</v>
      </c>
      <c r="D265" s="13">
        <f>_xll.EditDistance($C$3,C265,2)</f>
        <v>18</v>
      </c>
      <c r="E265" s="13"/>
    </row>
    <row r="266" spans="2:5" x14ac:dyDescent="0.2">
      <c r="B266" t="s">
        <v>3177</v>
      </c>
      <c r="C266" t="s">
        <v>3178</v>
      </c>
      <c r="D266" s="13">
        <f>_xll.EditDistance($C$3,C266,2)</f>
        <v>20</v>
      </c>
      <c r="E266" s="13"/>
    </row>
    <row r="267" spans="2:5" x14ac:dyDescent="0.2">
      <c r="B267" t="s">
        <v>3219</v>
      </c>
      <c r="C267" t="s">
        <v>3220</v>
      </c>
      <c r="D267" s="13">
        <f>_xll.EditDistance($C$3,C267,2)</f>
        <v>10</v>
      </c>
      <c r="E267" s="13"/>
    </row>
    <row r="268" spans="2:5" x14ac:dyDescent="0.2">
      <c r="B268" t="s">
        <v>3328</v>
      </c>
      <c r="C268" t="s">
        <v>3329</v>
      </c>
      <c r="D268" s="13">
        <f>_xll.EditDistance($C$3,C268,2)</f>
        <v>10</v>
      </c>
      <c r="E268" s="13"/>
    </row>
    <row r="269" spans="2:5" x14ac:dyDescent="0.2">
      <c r="B269" s="22" t="s">
        <v>3417</v>
      </c>
      <c r="C269" t="s">
        <v>3418</v>
      </c>
      <c r="D269" s="13">
        <f>_xll.EditDistance($C$3,C269,2)</f>
        <v>10</v>
      </c>
      <c r="E269" s="13"/>
    </row>
    <row r="270" spans="2:5" x14ac:dyDescent="0.2">
      <c r="B270" t="s">
        <v>3426</v>
      </c>
      <c r="C270" t="s">
        <v>3427</v>
      </c>
      <c r="D270" s="13">
        <f>_xll.EditDistance($C$3,C270,2)</f>
        <v>10</v>
      </c>
      <c r="E270" s="13"/>
    </row>
    <row r="271" spans="2:5" x14ac:dyDescent="0.2">
      <c r="B271" t="s">
        <v>3428</v>
      </c>
      <c r="C271" t="s">
        <v>3429</v>
      </c>
      <c r="D271" s="13">
        <f>_xll.EditDistance($C$3,C271,2)</f>
        <v>10</v>
      </c>
      <c r="E271" s="13"/>
    </row>
    <row r="272" spans="2:5" x14ac:dyDescent="0.2">
      <c r="B272" t="s">
        <v>3518</v>
      </c>
      <c r="C272" t="s">
        <v>3519</v>
      </c>
      <c r="D272" s="13">
        <f>_xll.EditDistance($C$3,C272,2)</f>
        <v>10</v>
      </c>
      <c r="E272" s="13"/>
    </row>
    <row r="273" spans="2:5" x14ac:dyDescent="0.2">
      <c r="B273" t="s">
        <v>3572</v>
      </c>
      <c r="C273" t="s">
        <v>3574</v>
      </c>
      <c r="D273" s="13">
        <f>_xll.EditDistance($C$3,C273,2)</f>
        <v>10</v>
      </c>
      <c r="E273" s="13"/>
    </row>
    <row r="274" spans="2:5" x14ac:dyDescent="0.2">
      <c r="B274" t="s">
        <v>3788</v>
      </c>
      <c r="C274" t="s">
        <v>3789</v>
      </c>
      <c r="D274" s="13">
        <f>_xll.EditDistance($C$3,C274,2)</f>
        <v>21</v>
      </c>
      <c r="E274" s="13"/>
    </row>
    <row r="275" spans="2:5" x14ac:dyDescent="0.2">
      <c r="B275" t="s">
        <v>4002</v>
      </c>
      <c r="C275" t="s">
        <v>4003</v>
      </c>
      <c r="D275" s="13">
        <f>_xll.EditDistance($C$3,C275,2)</f>
        <v>10</v>
      </c>
      <c r="E275" s="13"/>
    </row>
    <row r="276" spans="2:5" x14ac:dyDescent="0.2">
      <c r="B276" t="s">
        <v>4044</v>
      </c>
      <c r="C276" t="s">
        <v>4045</v>
      </c>
      <c r="D276" s="13">
        <f>_xll.EditDistance($C$3,C276,2)</f>
        <v>10</v>
      </c>
      <c r="E276" s="13"/>
    </row>
    <row r="277" spans="2:5" x14ac:dyDescent="0.2">
      <c r="B277" t="s">
        <v>4085</v>
      </c>
      <c r="C277" t="s">
        <v>4086</v>
      </c>
      <c r="D277" s="13">
        <f>_xll.EditDistance($C$3,C277,2)</f>
        <v>10</v>
      </c>
      <c r="E277" s="13"/>
    </row>
    <row r="278" spans="2:5" x14ac:dyDescent="0.2">
      <c r="B278" t="s">
        <v>4097</v>
      </c>
      <c r="C278" t="s">
        <v>4098</v>
      </c>
      <c r="D278" s="13">
        <f>_xll.EditDistance($C$3,C278,2)</f>
        <v>10</v>
      </c>
      <c r="E278" s="13"/>
    </row>
    <row r="279" spans="2:5" x14ac:dyDescent="0.2">
      <c r="B279" t="s">
        <v>4392</v>
      </c>
      <c r="C279" t="s">
        <v>4393</v>
      </c>
      <c r="D279" s="13">
        <f>_xll.EditDistance($C$3,C279,2)</f>
        <v>10</v>
      </c>
      <c r="E279" s="13"/>
    </row>
    <row r="280" spans="2:5" x14ac:dyDescent="0.2">
      <c r="B280" t="s">
        <v>4398</v>
      </c>
      <c r="C280" t="s">
        <v>4399</v>
      </c>
      <c r="D280" s="13">
        <f>_xll.EditDistance($C$3,C280,2)</f>
        <v>10</v>
      </c>
      <c r="E280" s="13"/>
    </row>
    <row r="281" spans="2:5" x14ac:dyDescent="0.2">
      <c r="B281" t="s">
        <v>4400</v>
      </c>
      <c r="C281" t="s">
        <v>4401</v>
      </c>
      <c r="D281" s="13">
        <f>_xll.EditDistance($C$3,C281,2)</f>
        <v>20</v>
      </c>
      <c r="E281" s="13"/>
    </row>
    <row r="282" spans="2:5" x14ac:dyDescent="0.2">
      <c r="B282" t="s">
        <v>4468</v>
      </c>
      <c r="C282" t="s">
        <v>4469</v>
      </c>
      <c r="D282" s="13">
        <f>_xll.EditDistance($C$3,C282,2)</f>
        <v>10</v>
      </c>
      <c r="E282" s="13"/>
    </row>
    <row r="283" spans="2:5" x14ac:dyDescent="0.2">
      <c r="B283" t="s">
        <v>4788</v>
      </c>
      <c r="C283" t="s">
        <v>4789</v>
      </c>
      <c r="D283" s="13">
        <f>_xll.EditDistance($C$3,C283,2)</f>
        <v>10</v>
      </c>
      <c r="E283" s="13"/>
    </row>
    <row r="284" spans="2:5" x14ac:dyDescent="0.2">
      <c r="B284" t="s">
        <v>4798</v>
      </c>
      <c r="C284" t="s">
        <v>4799</v>
      </c>
      <c r="D284" s="13">
        <f>_xll.EditDistance($C$3,C284,2)</f>
        <v>10</v>
      </c>
      <c r="E284" s="13"/>
    </row>
    <row r="285" spans="2:5" x14ac:dyDescent="0.2">
      <c r="B285" t="s">
        <v>5187</v>
      </c>
      <c r="C285" t="s">
        <v>5188</v>
      </c>
      <c r="D285" s="13">
        <f>_xll.EditDistance($C$3,C285,2)</f>
        <v>10</v>
      </c>
      <c r="E285" s="13"/>
    </row>
    <row r="286" spans="2:5" x14ac:dyDescent="0.2">
      <c r="B286" t="s">
        <v>5320</v>
      </c>
      <c r="C286" t="s">
        <v>5321</v>
      </c>
      <c r="D286" s="13">
        <f>_xll.EditDistance($C$3,C286,2)</f>
        <v>30</v>
      </c>
      <c r="E286" s="13"/>
    </row>
    <row r="287" spans="2:5" x14ac:dyDescent="0.2">
      <c r="B287" t="s">
        <v>5495</v>
      </c>
      <c r="C287" t="s">
        <v>5496</v>
      </c>
      <c r="D287" s="13">
        <f>_xll.EditDistance($C$3,C287,2)</f>
        <v>10</v>
      </c>
      <c r="E287" s="13"/>
    </row>
    <row r="288" spans="2:5" x14ac:dyDescent="0.2">
      <c r="B288" t="s">
        <v>5585</v>
      </c>
      <c r="C288" t="s">
        <v>5586</v>
      </c>
      <c r="D288" s="13">
        <f>_xll.EditDistance($C$3,C288,2)</f>
        <v>10</v>
      </c>
      <c r="E288" s="13"/>
    </row>
    <row r="289" spans="2:5" x14ac:dyDescent="0.2">
      <c r="B289" t="s">
        <v>5868</v>
      </c>
      <c r="C289" t="s">
        <v>5869</v>
      </c>
      <c r="D289" s="13">
        <f>_xll.EditDistance($C$3,C289,2)</f>
        <v>10</v>
      </c>
      <c r="E289" s="13"/>
    </row>
    <row r="290" spans="2:5" x14ac:dyDescent="0.2">
      <c r="B290" t="s">
        <v>5931</v>
      </c>
      <c r="C290" t="s">
        <v>5932</v>
      </c>
      <c r="D290" s="13">
        <f>_xll.EditDistance($C$3,C290,2)</f>
        <v>10</v>
      </c>
      <c r="E290" s="13"/>
    </row>
    <row r="291" spans="2:5" x14ac:dyDescent="0.2">
      <c r="B291" t="s">
        <v>5981</v>
      </c>
      <c r="C291" t="s">
        <v>5982</v>
      </c>
      <c r="D291" s="13">
        <f>_xll.EditDistance($C$3,C291,2)</f>
        <v>10</v>
      </c>
      <c r="E291" s="13"/>
    </row>
    <row r="292" spans="2:5" x14ac:dyDescent="0.2">
      <c r="B292" t="s">
        <v>6157</v>
      </c>
      <c r="C292" t="s">
        <v>6158</v>
      </c>
      <c r="D292" s="13">
        <f>_xll.EditDistance($C$3,C292,2)</f>
        <v>10</v>
      </c>
      <c r="E292" s="13"/>
    </row>
    <row r="293" spans="2:5" x14ac:dyDescent="0.2">
      <c r="B293" t="s">
        <v>6601</v>
      </c>
      <c r="C293" t="s">
        <v>6602</v>
      </c>
      <c r="D293" s="13">
        <f>_xll.EditDistance($C$3,C293,2)</f>
        <v>20</v>
      </c>
      <c r="E293" s="13"/>
    </row>
    <row r="294" spans="2:5" x14ac:dyDescent="0.2">
      <c r="B294" t="s">
        <v>6683</v>
      </c>
      <c r="C294" t="s">
        <v>6684</v>
      </c>
      <c r="D294" s="13">
        <f>_xll.EditDistance($C$3,C294,2)</f>
        <v>10</v>
      </c>
      <c r="E294" s="13"/>
    </row>
    <row r="295" spans="2:5" x14ac:dyDescent="0.2">
      <c r="B295" t="s">
        <v>6685</v>
      </c>
      <c r="C295" t="s">
        <v>6686</v>
      </c>
      <c r="D295" s="13">
        <f>_xll.EditDistance($C$3,C295,2)</f>
        <v>10</v>
      </c>
      <c r="E295" s="13"/>
    </row>
    <row r="296" spans="2:5" x14ac:dyDescent="0.2">
      <c r="B296" t="s">
        <v>6822</v>
      </c>
      <c r="C296" t="s">
        <v>6823</v>
      </c>
      <c r="D296" s="13">
        <f>_xll.EditDistance($C$3,C296,2)</f>
        <v>10</v>
      </c>
      <c r="E296" s="13"/>
    </row>
    <row r="297" spans="2:5" x14ac:dyDescent="0.2">
      <c r="B297" t="s">
        <v>6832</v>
      </c>
      <c r="C297" t="s">
        <v>6833</v>
      </c>
      <c r="D297" s="13">
        <f>_xll.EditDistance($C$3,C297,2)</f>
        <v>10</v>
      </c>
      <c r="E297" s="13"/>
    </row>
    <row r="298" spans="2:5" x14ac:dyDescent="0.2">
      <c r="B298" t="s">
        <v>6939</v>
      </c>
      <c r="C298" t="s">
        <v>6940</v>
      </c>
      <c r="D298" s="13">
        <f>_xll.EditDistance($C$3,C298,2)</f>
        <v>10</v>
      </c>
      <c r="E298" s="13"/>
    </row>
    <row r="299" spans="2:5" x14ac:dyDescent="0.2">
      <c r="B299" t="s">
        <v>7073</v>
      </c>
      <c r="C299" t="s">
        <v>7074</v>
      </c>
      <c r="D299" s="13">
        <f>_xll.EditDistance($C$3,C299,2)</f>
        <v>10</v>
      </c>
      <c r="E299" s="13"/>
    </row>
    <row r="300" spans="2:5" x14ac:dyDescent="0.2">
      <c r="B300" t="s">
        <v>7151</v>
      </c>
      <c r="C300" t="s">
        <v>7152</v>
      </c>
      <c r="D300" s="13">
        <f>_xll.EditDistance($C$3,C300,2)</f>
        <v>10</v>
      </c>
      <c r="E300" s="13"/>
    </row>
    <row r="301" spans="2:5" x14ac:dyDescent="0.2">
      <c r="B301" t="s">
        <v>7308</v>
      </c>
      <c r="C301" t="s">
        <v>7309</v>
      </c>
      <c r="D301" s="13">
        <f>_xll.EditDistance($C$3,C301,2)</f>
        <v>10</v>
      </c>
      <c r="E301" s="13"/>
    </row>
    <row r="302" spans="2:5" x14ac:dyDescent="0.2">
      <c r="B302" t="s">
        <v>7575</v>
      </c>
      <c r="C302" t="s">
        <v>7577</v>
      </c>
      <c r="D302" s="13">
        <f>_xll.EditDistance($C$3,C302,2)</f>
        <v>20</v>
      </c>
      <c r="E302" s="13"/>
    </row>
    <row r="303" spans="2:5" x14ac:dyDescent="0.2">
      <c r="B303" t="s">
        <v>7695</v>
      </c>
      <c r="C303" t="s">
        <v>7697</v>
      </c>
      <c r="D303" s="13">
        <f>_xll.EditDistance($C$3,C303,2)</f>
        <v>20</v>
      </c>
      <c r="E303" s="13"/>
    </row>
    <row r="304" spans="2:5" x14ac:dyDescent="0.2">
      <c r="B304" t="s">
        <v>8054</v>
      </c>
      <c r="C304" t="s">
        <v>8055</v>
      </c>
      <c r="D304" s="13">
        <f>_xll.EditDistance($C$3,C304,2)</f>
        <v>10</v>
      </c>
      <c r="E304" s="13"/>
    </row>
    <row r="305" spans="2:5" x14ac:dyDescent="0.2">
      <c r="B305" t="s">
        <v>8114</v>
      </c>
      <c r="C305" t="s">
        <v>8115</v>
      </c>
      <c r="D305" s="13">
        <f>_xll.EditDistance($C$3,C305,2)</f>
        <v>10</v>
      </c>
      <c r="E305" s="13"/>
    </row>
    <row r="306" spans="2:5" x14ac:dyDescent="0.2">
      <c r="B306" t="s">
        <v>8202</v>
      </c>
      <c r="C306" t="s">
        <v>8203</v>
      </c>
      <c r="D306" s="13">
        <f>_xll.EditDistance($C$3,C306,2)</f>
        <v>10</v>
      </c>
      <c r="E306" s="13"/>
    </row>
    <row r="307" spans="2:5" x14ac:dyDescent="0.2">
      <c r="B307" t="s">
        <v>8288</v>
      </c>
      <c r="C307" t="s">
        <v>8289</v>
      </c>
      <c r="D307" s="13">
        <f>_xll.EditDistance($C$3,C307,2)</f>
        <v>10</v>
      </c>
      <c r="E307" s="13"/>
    </row>
    <row r="308" spans="2:5" x14ac:dyDescent="0.2">
      <c r="B308" t="s">
        <v>8347</v>
      </c>
      <c r="C308" t="s">
        <v>8348</v>
      </c>
      <c r="D308" s="13">
        <f>_xll.EditDistance($C$3,C308,2)</f>
        <v>10</v>
      </c>
      <c r="E308" s="13"/>
    </row>
    <row r="309" spans="2:5" x14ac:dyDescent="0.2">
      <c r="B309" t="s">
        <v>8676</v>
      </c>
      <c r="C309" t="s">
        <v>8677</v>
      </c>
      <c r="D309" s="13">
        <f>_xll.EditDistance($C$3,C309,2)</f>
        <v>10</v>
      </c>
      <c r="E309" s="13"/>
    </row>
    <row r="310" spans="2:5" x14ac:dyDescent="0.2">
      <c r="B310" t="s">
        <v>115</v>
      </c>
      <c r="C310" t="s">
        <v>116</v>
      </c>
      <c r="D310" s="13">
        <f>_xll.EditDistance($C$3,C310,2)</f>
        <v>10</v>
      </c>
      <c r="E310" s="13"/>
    </row>
    <row r="311" spans="2:5" x14ac:dyDescent="0.2">
      <c r="B311" t="s">
        <v>134</v>
      </c>
      <c r="C311" t="s">
        <v>135</v>
      </c>
      <c r="D311" s="13">
        <f>_xll.EditDistance($C$3,C311,2)</f>
        <v>30</v>
      </c>
      <c r="E311" s="13"/>
    </row>
    <row r="312" spans="2:5" x14ac:dyDescent="0.2">
      <c r="B312" t="s">
        <v>134</v>
      </c>
      <c r="C312" t="s">
        <v>136</v>
      </c>
      <c r="D312" s="13">
        <f>_xll.EditDistance($C$3,C312,2)</f>
        <v>30</v>
      </c>
      <c r="E312" s="13"/>
    </row>
    <row r="313" spans="2:5" x14ac:dyDescent="0.2">
      <c r="B313" t="s">
        <v>161</v>
      </c>
      <c r="C313" t="s">
        <v>162</v>
      </c>
      <c r="D313" s="13">
        <f>_xll.EditDistance($C$3,C313,2)</f>
        <v>54</v>
      </c>
      <c r="E313" s="13"/>
    </row>
    <row r="314" spans="2:5" x14ac:dyDescent="0.2">
      <c r="B314" t="s">
        <v>508</v>
      </c>
      <c r="C314" t="s">
        <v>509</v>
      </c>
      <c r="D314" s="13">
        <f>_xll.EditDistance($C$3,C314,2)</f>
        <v>10</v>
      </c>
      <c r="E314" s="13"/>
    </row>
    <row r="315" spans="2:5" x14ac:dyDescent="0.2">
      <c r="B315" t="s">
        <v>582</v>
      </c>
      <c r="C315" t="s">
        <v>584</v>
      </c>
      <c r="D315" s="13">
        <f>_xll.EditDistance($C$3,C315,2)</f>
        <v>20</v>
      </c>
      <c r="E315" s="13"/>
    </row>
    <row r="316" spans="2:5" x14ac:dyDescent="0.2">
      <c r="B316" t="s">
        <v>785</v>
      </c>
      <c r="C316" t="s">
        <v>786</v>
      </c>
      <c r="D316" s="13">
        <f>_xll.EditDistance($C$3,C316,2)</f>
        <v>20</v>
      </c>
      <c r="E316" s="13"/>
    </row>
    <row r="317" spans="2:5" x14ac:dyDescent="0.2">
      <c r="B317" t="s">
        <v>913</v>
      </c>
      <c r="C317" t="s">
        <v>914</v>
      </c>
      <c r="D317" s="13">
        <f>_xll.EditDistance($C$3,C317,2)</f>
        <v>10</v>
      </c>
      <c r="E317" s="13"/>
    </row>
    <row r="318" spans="2:5" x14ac:dyDescent="0.2">
      <c r="B318" t="s">
        <v>1085</v>
      </c>
      <c r="C318" t="s">
        <v>1086</v>
      </c>
      <c r="D318" s="13">
        <f>_xll.EditDistance($C$3,C318,2)</f>
        <v>10</v>
      </c>
      <c r="E318" s="13"/>
    </row>
    <row r="319" spans="2:5" x14ac:dyDescent="0.2">
      <c r="B319" t="s">
        <v>1141</v>
      </c>
      <c r="C319" t="s">
        <v>1142</v>
      </c>
      <c r="D319" s="13">
        <f>_xll.EditDistance($C$3,C319,2)</f>
        <v>10</v>
      </c>
      <c r="E319" s="13"/>
    </row>
    <row r="320" spans="2:5" x14ac:dyDescent="0.2">
      <c r="B320" t="s">
        <v>1151</v>
      </c>
      <c r="C320" t="s">
        <v>1152</v>
      </c>
      <c r="D320" s="13">
        <f>_xll.EditDistance($C$3,C320,2)</f>
        <v>10</v>
      </c>
      <c r="E320" s="13"/>
    </row>
    <row r="321" spans="2:5" x14ac:dyDescent="0.2">
      <c r="B321" t="s">
        <v>1320</v>
      </c>
      <c r="C321" t="s">
        <v>1321</v>
      </c>
      <c r="D321" s="13">
        <f>_xll.EditDistance($C$3,C321,2)</f>
        <v>10</v>
      </c>
      <c r="E321" s="13"/>
    </row>
    <row r="322" spans="2:5" x14ac:dyDescent="0.2">
      <c r="B322" t="s">
        <v>1628</v>
      </c>
      <c r="C322" t="s">
        <v>1629</v>
      </c>
      <c r="D322" s="13">
        <f>_xll.EditDistance($C$3,C322,2)</f>
        <v>10</v>
      </c>
      <c r="E322" s="13"/>
    </row>
    <row r="323" spans="2:5" x14ac:dyDescent="0.2">
      <c r="B323" t="s">
        <v>1851</v>
      </c>
      <c r="C323" t="s">
        <v>1852</v>
      </c>
      <c r="D323" s="13">
        <f>_xll.EditDistance($C$3,C323,2)</f>
        <v>10</v>
      </c>
      <c r="E323" s="13"/>
    </row>
    <row r="324" spans="2:5" x14ac:dyDescent="0.2">
      <c r="B324" t="s">
        <v>1859</v>
      </c>
      <c r="C324" t="s">
        <v>1860</v>
      </c>
      <c r="D324" s="13">
        <f>_xll.EditDistance($C$3,C324,2)</f>
        <v>10</v>
      </c>
      <c r="E324" s="13"/>
    </row>
    <row r="325" spans="2:5" x14ac:dyDescent="0.2">
      <c r="B325" t="s">
        <v>1919</v>
      </c>
      <c r="C325" t="s">
        <v>1920</v>
      </c>
      <c r="D325" s="13">
        <f>_xll.EditDistance($C$3,C325,2)</f>
        <v>10</v>
      </c>
      <c r="E325" s="13"/>
    </row>
    <row r="326" spans="2:5" x14ac:dyDescent="0.2">
      <c r="B326" t="s">
        <v>1923</v>
      </c>
      <c r="C326" t="s">
        <v>1924</v>
      </c>
      <c r="D326" s="13">
        <f>_xll.EditDistance($C$3,C326,2)</f>
        <v>10</v>
      </c>
      <c r="E326" s="13"/>
    </row>
    <row r="327" spans="2:5" x14ac:dyDescent="0.2">
      <c r="B327" s="22" t="s">
        <v>1972</v>
      </c>
      <c r="C327" t="s">
        <v>1973</v>
      </c>
      <c r="D327" s="13">
        <f>_xll.EditDistance($C$3,C327,2)</f>
        <v>10</v>
      </c>
      <c r="E327" s="13"/>
    </row>
    <row r="328" spans="2:5" x14ac:dyDescent="0.2">
      <c r="B328" t="s">
        <v>2101</v>
      </c>
      <c r="C328" t="s">
        <v>2102</v>
      </c>
      <c r="D328" s="13">
        <f>_xll.EditDistance($C$3,C328,2)</f>
        <v>10</v>
      </c>
      <c r="E328" s="13"/>
    </row>
    <row r="329" spans="2:5" x14ac:dyDescent="0.2">
      <c r="B329" t="s">
        <v>2113</v>
      </c>
      <c r="C329" t="s">
        <v>2114</v>
      </c>
      <c r="D329" s="13">
        <f>_xll.EditDistance($C$3,C329,2)</f>
        <v>10</v>
      </c>
      <c r="E329" s="13"/>
    </row>
    <row r="330" spans="2:5" x14ac:dyDescent="0.2">
      <c r="B330" t="s">
        <v>2206</v>
      </c>
      <c r="C330" t="s">
        <v>2207</v>
      </c>
      <c r="D330" s="13">
        <f>_xll.EditDistance($C$3,C330,2)</f>
        <v>10</v>
      </c>
      <c r="E330" s="13"/>
    </row>
    <row r="331" spans="2:5" x14ac:dyDescent="0.2">
      <c r="B331" t="s">
        <v>2247</v>
      </c>
      <c r="C331" t="s">
        <v>2248</v>
      </c>
      <c r="D331" s="13">
        <f>_xll.EditDistance($C$3,C331,2)</f>
        <v>10</v>
      </c>
      <c r="E331" s="13"/>
    </row>
    <row r="332" spans="2:5" x14ac:dyDescent="0.2">
      <c r="B332" t="s">
        <v>2289</v>
      </c>
      <c r="C332" t="s">
        <v>2290</v>
      </c>
      <c r="D332" s="13">
        <f>_xll.EditDistance($C$3,C332,2)</f>
        <v>10</v>
      </c>
      <c r="E332" s="13"/>
    </row>
    <row r="333" spans="2:5" x14ac:dyDescent="0.2">
      <c r="B333" t="s">
        <v>2550</v>
      </c>
      <c r="C333" t="s">
        <v>2551</v>
      </c>
      <c r="D333" s="13">
        <f>_xll.EditDistance($C$3,C333,2)</f>
        <v>10</v>
      </c>
      <c r="E333" s="13"/>
    </row>
    <row r="334" spans="2:5" x14ac:dyDescent="0.2">
      <c r="B334" t="s">
        <v>2630</v>
      </c>
      <c r="C334" t="s">
        <v>2631</v>
      </c>
      <c r="D334" s="13">
        <f>_xll.EditDistance($C$3,C334,2)</f>
        <v>10</v>
      </c>
      <c r="E334" s="13"/>
    </row>
    <row r="335" spans="2:5" x14ac:dyDescent="0.2">
      <c r="B335" t="s">
        <v>2793</v>
      </c>
      <c r="C335" t="s">
        <v>2794</v>
      </c>
      <c r="D335" s="13">
        <f>_xll.EditDistance($C$3,C335,2)</f>
        <v>10</v>
      </c>
      <c r="E335" s="13"/>
    </row>
    <row r="336" spans="2:5" x14ac:dyDescent="0.2">
      <c r="B336" s="22" t="s">
        <v>2825</v>
      </c>
      <c r="C336" t="s">
        <v>2826</v>
      </c>
      <c r="D336" s="13">
        <f>_xll.EditDistance($C$3,C336,2)</f>
        <v>10</v>
      </c>
      <c r="E336" s="13"/>
    </row>
    <row r="337" spans="2:5" x14ac:dyDescent="0.2">
      <c r="B337" t="s">
        <v>2933</v>
      </c>
      <c r="C337" t="s">
        <v>2934</v>
      </c>
      <c r="D337" s="13">
        <f>_xll.EditDistance($C$3,C337,2)</f>
        <v>10</v>
      </c>
      <c r="E337" s="13"/>
    </row>
    <row r="338" spans="2:5" x14ac:dyDescent="0.2">
      <c r="B338" t="s">
        <v>2982</v>
      </c>
      <c r="C338" t="s">
        <v>2983</v>
      </c>
      <c r="D338" s="13">
        <f>_xll.EditDistance($C$3,C338,2)</f>
        <v>10</v>
      </c>
      <c r="E338" s="13"/>
    </row>
    <row r="339" spans="2:5" x14ac:dyDescent="0.2">
      <c r="B339" s="22" t="s">
        <v>3118</v>
      </c>
      <c r="C339" t="s">
        <v>3119</v>
      </c>
      <c r="D339" s="13">
        <f>_xll.EditDistance($C$3,C339,2)</f>
        <v>20</v>
      </c>
      <c r="E339" s="13"/>
    </row>
    <row r="340" spans="2:5" x14ac:dyDescent="0.2">
      <c r="B340" t="s">
        <v>3488</v>
      </c>
      <c r="C340" t="s">
        <v>3489</v>
      </c>
      <c r="D340" s="13">
        <f>_xll.EditDistance($C$3,C340,2)</f>
        <v>10</v>
      </c>
      <c r="E340" s="13"/>
    </row>
    <row r="341" spans="2:5" x14ac:dyDescent="0.2">
      <c r="B341" t="s">
        <v>3710</v>
      </c>
      <c r="C341" t="s">
        <v>3711</v>
      </c>
      <c r="D341" s="13">
        <f>_xll.EditDistance($C$3,C341,2)</f>
        <v>20</v>
      </c>
      <c r="E341" s="13"/>
    </row>
    <row r="342" spans="2:5" x14ac:dyDescent="0.2">
      <c r="B342" t="s">
        <v>3738</v>
      </c>
      <c r="C342" t="s">
        <v>3739</v>
      </c>
      <c r="D342" s="13">
        <f>_xll.EditDistance($C$3,C342,2)</f>
        <v>10</v>
      </c>
      <c r="E342" s="13"/>
    </row>
    <row r="343" spans="2:5" x14ac:dyDescent="0.2">
      <c r="B343" t="s">
        <v>3768</v>
      </c>
      <c r="C343" t="s">
        <v>3769</v>
      </c>
      <c r="D343" s="13">
        <f>_xll.EditDistance($C$3,C343,2)</f>
        <v>10</v>
      </c>
      <c r="E343" s="13"/>
    </row>
    <row r="344" spans="2:5" x14ac:dyDescent="0.2">
      <c r="B344" t="s">
        <v>3922</v>
      </c>
      <c r="C344" t="s">
        <v>3923</v>
      </c>
      <c r="D344" s="13">
        <f>_xll.EditDistance($C$3,C344,2)</f>
        <v>10</v>
      </c>
      <c r="E344" s="13"/>
    </row>
    <row r="345" spans="2:5" x14ac:dyDescent="0.2">
      <c r="B345" t="s">
        <v>3944</v>
      </c>
      <c r="C345" t="s">
        <v>3945</v>
      </c>
      <c r="D345" s="13">
        <f>_xll.EditDistance($C$3,C345,2)</f>
        <v>10</v>
      </c>
      <c r="E345" s="13"/>
    </row>
    <row r="346" spans="2:5" x14ac:dyDescent="0.2">
      <c r="B346" t="s">
        <v>4006</v>
      </c>
      <c r="C346" t="s">
        <v>4007</v>
      </c>
      <c r="D346" s="13">
        <f>_xll.EditDistance($C$3,C346,2)</f>
        <v>20</v>
      </c>
      <c r="E346" s="13"/>
    </row>
    <row r="347" spans="2:5" x14ac:dyDescent="0.2">
      <c r="B347" t="s">
        <v>4215</v>
      </c>
      <c r="C347" t="s">
        <v>4216</v>
      </c>
      <c r="D347" s="13">
        <f>_xll.EditDistance($C$3,C347,2)</f>
        <v>20</v>
      </c>
      <c r="E347" s="13"/>
    </row>
    <row r="348" spans="2:5" x14ac:dyDescent="0.2">
      <c r="B348" t="s">
        <v>4271</v>
      </c>
      <c r="C348" t="s">
        <v>4272</v>
      </c>
      <c r="D348" s="13">
        <f>_xll.EditDistance($C$3,C348,2)</f>
        <v>10</v>
      </c>
      <c r="E348" s="13"/>
    </row>
    <row r="349" spans="2:5" x14ac:dyDescent="0.2">
      <c r="B349" t="s">
        <v>4887</v>
      </c>
      <c r="C349" t="s">
        <v>4888</v>
      </c>
      <c r="D349" s="13">
        <f>_xll.EditDistance($C$3,C349,2)</f>
        <v>20</v>
      </c>
      <c r="E349" s="13"/>
    </row>
    <row r="350" spans="2:5" x14ac:dyDescent="0.2">
      <c r="B350" t="s">
        <v>5107</v>
      </c>
      <c r="C350" t="s">
        <v>5108</v>
      </c>
      <c r="D350" s="13">
        <f>_xll.EditDistance($C$3,C350,2)</f>
        <v>10</v>
      </c>
      <c r="E350" s="13"/>
    </row>
    <row r="351" spans="2:5" x14ac:dyDescent="0.2">
      <c r="B351" t="s">
        <v>5461</v>
      </c>
      <c r="C351" t="s">
        <v>5462</v>
      </c>
      <c r="D351" s="13">
        <f>_xll.EditDistance($C$3,C351,2)</f>
        <v>18</v>
      </c>
      <c r="E351" s="13"/>
    </row>
    <row r="352" spans="2:5" x14ac:dyDescent="0.2">
      <c r="B352" t="s">
        <v>5592</v>
      </c>
      <c r="C352" t="s">
        <v>5593</v>
      </c>
      <c r="D352" s="13">
        <f>_xll.EditDistance($C$3,C352,2)</f>
        <v>10</v>
      </c>
      <c r="E352" s="13"/>
    </row>
    <row r="353" spans="2:5" x14ac:dyDescent="0.2">
      <c r="B353" t="s">
        <v>6004</v>
      </c>
      <c r="C353" t="s">
        <v>6005</v>
      </c>
      <c r="D353" s="13">
        <f>_xll.EditDistance($C$3,C353,2)</f>
        <v>20</v>
      </c>
      <c r="E353" s="13"/>
    </row>
    <row r="354" spans="2:5" x14ac:dyDescent="0.2">
      <c r="B354" t="s">
        <v>6010</v>
      </c>
      <c r="C354" t="s">
        <v>6011</v>
      </c>
      <c r="D354" s="13">
        <f>_xll.EditDistance($C$3,C354,2)</f>
        <v>10</v>
      </c>
      <c r="E354" s="13"/>
    </row>
    <row r="355" spans="2:5" x14ac:dyDescent="0.2">
      <c r="B355" t="s">
        <v>6651</v>
      </c>
      <c r="C355" t="s">
        <v>6652</v>
      </c>
      <c r="D355" s="13">
        <f>_xll.EditDistance($C$3,C355,2)</f>
        <v>10</v>
      </c>
      <c r="E355" s="13"/>
    </row>
    <row r="356" spans="2:5" x14ac:dyDescent="0.2">
      <c r="B356" t="s">
        <v>6911</v>
      </c>
      <c r="C356" t="s">
        <v>6912</v>
      </c>
      <c r="D356" s="13">
        <f>_xll.EditDistance($C$3,C356,2)</f>
        <v>10</v>
      </c>
      <c r="E356" s="13"/>
    </row>
    <row r="357" spans="2:5" x14ac:dyDescent="0.2">
      <c r="B357" t="s">
        <v>6911</v>
      </c>
      <c r="C357" t="s">
        <v>6913</v>
      </c>
      <c r="D357" s="13">
        <f>_xll.EditDistance($C$3,C357,2)</f>
        <v>10</v>
      </c>
      <c r="E357" s="13"/>
    </row>
    <row r="358" spans="2:5" x14ac:dyDescent="0.2">
      <c r="B358" t="s">
        <v>7088</v>
      </c>
      <c r="C358" t="s">
        <v>7089</v>
      </c>
      <c r="D358" s="13">
        <f>_xll.EditDistance($C$3,C358,2)</f>
        <v>10</v>
      </c>
      <c r="E358" s="13"/>
    </row>
    <row r="359" spans="2:5" x14ac:dyDescent="0.2">
      <c r="B359" t="s">
        <v>7111</v>
      </c>
      <c r="C359" t="s">
        <v>7112</v>
      </c>
      <c r="D359" s="13">
        <f>_xll.EditDistance($C$3,C359,2)</f>
        <v>10</v>
      </c>
      <c r="E359" s="13"/>
    </row>
    <row r="360" spans="2:5" x14ac:dyDescent="0.2">
      <c r="B360" t="s">
        <v>7555</v>
      </c>
      <c r="C360" t="s">
        <v>7556</v>
      </c>
      <c r="D360" s="13">
        <f>_xll.EditDistance($C$3,C360,2)</f>
        <v>20</v>
      </c>
      <c r="E360" s="13"/>
    </row>
    <row r="361" spans="2:5" x14ac:dyDescent="0.2">
      <c r="B361" t="s">
        <v>7728</v>
      </c>
      <c r="C361" t="s">
        <v>7729</v>
      </c>
      <c r="D361" s="13">
        <f>_xll.EditDistance($C$3,C361,2)</f>
        <v>10</v>
      </c>
      <c r="E361" s="13"/>
    </row>
    <row r="362" spans="2:5" x14ac:dyDescent="0.2">
      <c r="B362" t="s">
        <v>7730</v>
      </c>
      <c r="C362" t="s">
        <v>7731</v>
      </c>
      <c r="D362" s="13">
        <f>_xll.EditDistance($C$3,C362,2)</f>
        <v>10</v>
      </c>
      <c r="E362" s="13"/>
    </row>
    <row r="363" spans="2:5" x14ac:dyDescent="0.2">
      <c r="B363" t="s">
        <v>7784</v>
      </c>
      <c r="C363" t="s">
        <v>7785</v>
      </c>
      <c r="D363" s="13">
        <f>_xll.EditDistance($C$3,C363,2)</f>
        <v>20</v>
      </c>
      <c r="E363" s="13"/>
    </row>
    <row r="364" spans="2:5" x14ac:dyDescent="0.2">
      <c r="B364" t="s">
        <v>8012</v>
      </c>
      <c r="C364" t="s">
        <v>8013</v>
      </c>
      <c r="D364" s="13">
        <f>_xll.EditDistance($C$3,C364,2)</f>
        <v>20</v>
      </c>
      <c r="E364" s="13"/>
    </row>
    <row r="365" spans="2:5" x14ac:dyDescent="0.2">
      <c r="B365" t="s">
        <v>8035</v>
      </c>
      <c r="C365" t="s">
        <v>8036</v>
      </c>
      <c r="D365" s="13">
        <f>_xll.EditDistance($C$3,C365,2)</f>
        <v>10</v>
      </c>
      <c r="E365" s="13"/>
    </row>
    <row r="366" spans="2:5" x14ac:dyDescent="0.2">
      <c r="B366" t="s">
        <v>8080</v>
      </c>
      <c r="C366" t="s">
        <v>8081</v>
      </c>
      <c r="D366" s="13">
        <f>_xll.EditDistance($C$3,C366,2)</f>
        <v>10</v>
      </c>
      <c r="E366" s="13"/>
    </row>
    <row r="367" spans="2:5" x14ac:dyDescent="0.2">
      <c r="B367" t="s">
        <v>8130</v>
      </c>
      <c r="C367" t="s">
        <v>8131</v>
      </c>
      <c r="D367" s="13">
        <f>_xll.EditDistance($C$3,C367,2)</f>
        <v>10</v>
      </c>
      <c r="E367" s="13"/>
    </row>
    <row r="368" spans="2:5" x14ac:dyDescent="0.2">
      <c r="B368" t="s">
        <v>8214</v>
      </c>
      <c r="C368" t="s">
        <v>8215</v>
      </c>
      <c r="D368" s="13">
        <f>_xll.EditDistance($C$3,C368,2)</f>
        <v>10</v>
      </c>
      <c r="E368" s="13"/>
    </row>
    <row r="369" spans="2:5" x14ac:dyDescent="0.2">
      <c r="B369" t="s">
        <v>8629</v>
      </c>
      <c r="C369" t="s">
        <v>8630</v>
      </c>
      <c r="D369" s="13">
        <f>_xll.EditDistance($C$3,C369,2)</f>
        <v>10</v>
      </c>
      <c r="E369" s="13"/>
    </row>
    <row r="370" spans="2:5" x14ac:dyDescent="0.2">
      <c r="B370" t="s">
        <v>143</v>
      </c>
      <c r="C370" t="s">
        <v>144</v>
      </c>
      <c r="D370" s="13">
        <f>_xll.EditDistance($C$3,C370,2)</f>
        <v>20</v>
      </c>
      <c r="E370" s="13"/>
    </row>
    <row r="371" spans="2:5" x14ac:dyDescent="0.2">
      <c r="B371" t="s">
        <v>149</v>
      </c>
      <c r="C371" t="s">
        <v>150</v>
      </c>
      <c r="D371" s="13">
        <f>_xll.EditDistance($C$3,C371,2)</f>
        <v>10</v>
      </c>
      <c r="E371" s="13"/>
    </row>
    <row r="372" spans="2:5" x14ac:dyDescent="0.2">
      <c r="B372" t="s">
        <v>482</v>
      </c>
      <c r="C372" t="s">
        <v>483</v>
      </c>
      <c r="D372" s="13">
        <f>_xll.EditDistance($C$3,C372,2)</f>
        <v>10</v>
      </c>
      <c r="E372" s="13"/>
    </row>
    <row r="373" spans="2:5" x14ac:dyDescent="0.2">
      <c r="B373" t="s">
        <v>516</v>
      </c>
      <c r="C373" t="s">
        <v>518</v>
      </c>
      <c r="D373" s="13">
        <f>_xll.EditDistance($C$3,C373,2)</f>
        <v>10</v>
      </c>
      <c r="E373" s="13"/>
    </row>
    <row r="374" spans="2:5" x14ac:dyDescent="0.2">
      <c r="B374" s="22" t="s">
        <v>540</v>
      </c>
      <c r="C374" t="s">
        <v>542</v>
      </c>
      <c r="D374" s="13">
        <f>_xll.EditDistance($C$3,C374,2)</f>
        <v>10</v>
      </c>
      <c r="E374" s="13"/>
    </row>
    <row r="375" spans="2:5" x14ac:dyDescent="0.2">
      <c r="B375" t="s">
        <v>851</v>
      </c>
      <c r="C375" t="s">
        <v>852</v>
      </c>
      <c r="D375" s="13">
        <f>_xll.EditDistance($C$3,C375,2)</f>
        <v>20</v>
      </c>
      <c r="E375" s="13"/>
    </row>
    <row r="376" spans="2:5" x14ac:dyDescent="0.2">
      <c r="B376" t="s">
        <v>881</v>
      </c>
      <c r="C376" t="s">
        <v>882</v>
      </c>
      <c r="D376" s="13">
        <f>_xll.EditDistance($C$3,C376,2)</f>
        <v>16</v>
      </c>
      <c r="E376" s="13"/>
    </row>
    <row r="377" spans="2:5" x14ac:dyDescent="0.2">
      <c r="B377" t="s">
        <v>920</v>
      </c>
      <c r="C377" t="s">
        <v>921</v>
      </c>
      <c r="D377" s="13">
        <f>_xll.EditDistance($C$3,C377,2)</f>
        <v>10</v>
      </c>
      <c r="E377" s="13"/>
    </row>
    <row r="378" spans="2:5" x14ac:dyDescent="0.2">
      <c r="B378" t="s">
        <v>942</v>
      </c>
      <c r="C378" t="s">
        <v>943</v>
      </c>
      <c r="D378" s="13">
        <f>_xll.EditDistance($C$3,C378,2)</f>
        <v>10</v>
      </c>
      <c r="E378" s="13"/>
    </row>
    <row r="379" spans="2:5" x14ac:dyDescent="0.2">
      <c r="B379" t="s">
        <v>974</v>
      </c>
      <c r="C379" t="s">
        <v>975</v>
      </c>
      <c r="D379" s="13">
        <f>_xll.EditDistance($C$3,C379,2)</f>
        <v>16</v>
      </c>
      <c r="E379" s="13"/>
    </row>
    <row r="380" spans="2:5" x14ac:dyDescent="0.2">
      <c r="B380" t="s">
        <v>1233</v>
      </c>
      <c r="C380" t="s">
        <v>1234</v>
      </c>
      <c r="D380" s="13">
        <f>_xll.EditDistance($C$3,C380,2)</f>
        <v>10</v>
      </c>
      <c r="E380" s="13"/>
    </row>
    <row r="381" spans="2:5" x14ac:dyDescent="0.2">
      <c r="B381" t="s">
        <v>1246</v>
      </c>
      <c r="C381" t="s">
        <v>1247</v>
      </c>
      <c r="D381" s="13">
        <f>_xll.EditDistance($C$3,C381,2)</f>
        <v>10</v>
      </c>
      <c r="E381" s="13"/>
    </row>
    <row r="382" spans="2:5" x14ac:dyDescent="0.2">
      <c r="B382" t="s">
        <v>1521</v>
      </c>
      <c r="C382" t="s">
        <v>1522</v>
      </c>
      <c r="D382" s="13">
        <f>_xll.EditDistance($C$3,C382,2)</f>
        <v>10</v>
      </c>
      <c r="E382" s="13"/>
    </row>
    <row r="383" spans="2:5" x14ac:dyDescent="0.2">
      <c r="B383" t="s">
        <v>1566</v>
      </c>
      <c r="C383" t="s">
        <v>1567</v>
      </c>
      <c r="D383" s="13">
        <f>_xll.EditDistance($C$3,C383,2)</f>
        <v>10</v>
      </c>
      <c r="E383" s="13"/>
    </row>
    <row r="384" spans="2:5" x14ac:dyDescent="0.2">
      <c r="B384" s="22" t="s">
        <v>1791</v>
      </c>
      <c r="C384" t="s">
        <v>1792</v>
      </c>
      <c r="D384" s="13">
        <f>_xll.EditDistance($C$3,C384,2)</f>
        <v>10</v>
      </c>
      <c r="E384" s="13"/>
    </row>
    <row r="385" spans="2:5" x14ac:dyDescent="0.2">
      <c r="B385" t="s">
        <v>1818</v>
      </c>
      <c r="C385" t="s">
        <v>1819</v>
      </c>
      <c r="D385" s="13">
        <f>_xll.EditDistance($C$3,C385,2)</f>
        <v>10</v>
      </c>
      <c r="E385" s="13"/>
    </row>
    <row r="386" spans="2:5" x14ac:dyDescent="0.2">
      <c r="B386" t="s">
        <v>1848</v>
      </c>
      <c r="C386" t="s">
        <v>1849</v>
      </c>
      <c r="D386" s="13">
        <f>_xll.EditDistance($C$3,C386,2)</f>
        <v>10</v>
      </c>
      <c r="E386" s="13"/>
    </row>
    <row r="387" spans="2:5" x14ac:dyDescent="0.2">
      <c r="B387" t="s">
        <v>1909</v>
      </c>
      <c r="C387" t="s">
        <v>1910</v>
      </c>
      <c r="D387" s="13">
        <f>_xll.EditDistance($C$3,C387,2)</f>
        <v>20</v>
      </c>
      <c r="E387" s="13"/>
    </row>
    <row r="388" spans="2:5" x14ac:dyDescent="0.2">
      <c r="B388" t="s">
        <v>2192</v>
      </c>
      <c r="C388" t="s">
        <v>2193</v>
      </c>
      <c r="D388" s="13">
        <f>_xll.EditDistance($C$3,C388,2)</f>
        <v>10</v>
      </c>
      <c r="E388" s="13"/>
    </row>
    <row r="389" spans="2:5" x14ac:dyDescent="0.2">
      <c r="B389" t="s">
        <v>2588</v>
      </c>
      <c r="C389" t="s">
        <v>2589</v>
      </c>
      <c r="D389" s="13">
        <f>_xll.EditDistance($C$3,C389,2)</f>
        <v>18</v>
      </c>
      <c r="E389" s="13"/>
    </row>
    <row r="390" spans="2:5" x14ac:dyDescent="0.2">
      <c r="B390" t="s">
        <v>3308</v>
      </c>
      <c r="C390" t="s">
        <v>3311</v>
      </c>
      <c r="D390" s="13">
        <f>_xll.EditDistance($C$3,C390,2)</f>
        <v>10</v>
      </c>
      <c r="E390" s="13"/>
    </row>
    <row r="391" spans="2:5" x14ac:dyDescent="0.2">
      <c r="B391" t="s">
        <v>3740</v>
      </c>
      <c r="C391" t="s">
        <v>3741</v>
      </c>
      <c r="D391" s="13">
        <f>_xll.EditDistance($C$3,C391,2)</f>
        <v>20</v>
      </c>
      <c r="E391" s="13"/>
    </row>
    <row r="392" spans="2:5" x14ac:dyDescent="0.2">
      <c r="B392" s="22" t="s">
        <v>3886</v>
      </c>
      <c r="C392" t="s">
        <v>3888</v>
      </c>
      <c r="D392" s="13">
        <f>_xll.EditDistance($C$3,C392,2)</f>
        <v>10</v>
      </c>
      <c r="E392" s="13"/>
    </row>
    <row r="393" spans="2:5" x14ac:dyDescent="0.2">
      <c r="B393" t="s">
        <v>3981</v>
      </c>
      <c r="C393" t="s">
        <v>3982</v>
      </c>
      <c r="D393" s="13">
        <f>_xll.EditDistance($C$3,C393,2)</f>
        <v>10</v>
      </c>
      <c r="E393" s="13"/>
    </row>
    <row r="394" spans="2:5" x14ac:dyDescent="0.2">
      <c r="B394" t="s">
        <v>4136</v>
      </c>
      <c r="C394" t="s">
        <v>4137</v>
      </c>
      <c r="D394" s="13">
        <f>_xll.EditDistance($C$3,C394,2)</f>
        <v>54</v>
      </c>
      <c r="E394" s="13"/>
    </row>
    <row r="395" spans="2:5" x14ac:dyDescent="0.2">
      <c r="B395" t="s">
        <v>4223</v>
      </c>
      <c r="C395" t="s">
        <v>4224</v>
      </c>
      <c r="D395" s="13">
        <f>_xll.EditDistance($C$3,C395,2)</f>
        <v>10</v>
      </c>
      <c r="E395" s="13"/>
    </row>
    <row r="396" spans="2:5" x14ac:dyDescent="0.2">
      <c r="B396" t="s">
        <v>4281</v>
      </c>
      <c r="C396" t="s">
        <v>4282</v>
      </c>
      <c r="D396" s="13">
        <f>_xll.EditDistance($C$3,C396,2)</f>
        <v>10</v>
      </c>
      <c r="E396" s="13"/>
    </row>
    <row r="397" spans="2:5" x14ac:dyDescent="0.2">
      <c r="B397" t="s">
        <v>4286</v>
      </c>
      <c r="C397" t="s">
        <v>4287</v>
      </c>
      <c r="D397" s="13">
        <f>_xll.EditDistance($C$3,C397,2)</f>
        <v>10</v>
      </c>
      <c r="E397" s="13"/>
    </row>
    <row r="398" spans="2:5" x14ac:dyDescent="0.2">
      <c r="B398" t="s">
        <v>4513</v>
      </c>
      <c r="C398" t="s">
        <v>4514</v>
      </c>
      <c r="D398" s="13">
        <f>_xll.EditDistance($C$3,C398,2)</f>
        <v>20</v>
      </c>
      <c r="E398" s="13"/>
    </row>
    <row r="399" spans="2:5" x14ac:dyDescent="0.2">
      <c r="B399" t="s">
        <v>4641</v>
      </c>
      <c r="C399" t="s">
        <v>4642</v>
      </c>
      <c r="D399" s="13">
        <f>_xll.EditDistance($C$3,C399,2)</f>
        <v>10</v>
      </c>
      <c r="E399" s="13"/>
    </row>
    <row r="400" spans="2:5" x14ac:dyDescent="0.2">
      <c r="B400" t="s">
        <v>4822</v>
      </c>
      <c r="C400" t="s">
        <v>4823</v>
      </c>
      <c r="D400" s="13">
        <f>_xll.EditDistance($C$3,C400,2)</f>
        <v>54</v>
      </c>
      <c r="E400" s="13"/>
    </row>
    <row r="401" spans="2:5" x14ac:dyDescent="0.2">
      <c r="B401" t="s">
        <v>4891</v>
      </c>
      <c r="C401" t="s">
        <v>4892</v>
      </c>
      <c r="D401" s="13">
        <f>_xll.EditDistance($C$3,C401,2)</f>
        <v>10</v>
      </c>
      <c r="E401" s="13"/>
    </row>
    <row r="402" spans="2:5" x14ac:dyDescent="0.2">
      <c r="B402" t="s">
        <v>4901</v>
      </c>
      <c r="C402" t="s">
        <v>4902</v>
      </c>
      <c r="D402" s="13">
        <f>_xll.EditDistance($C$3,C402,2)</f>
        <v>10</v>
      </c>
      <c r="E402" s="13"/>
    </row>
    <row r="403" spans="2:5" x14ac:dyDescent="0.2">
      <c r="B403" t="s">
        <v>5230</v>
      </c>
      <c r="C403" t="s">
        <v>5231</v>
      </c>
      <c r="D403" s="13">
        <f>_xll.EditDistance($C$3,C403,2)</f>
        <v>10</v>
      </c>
      <c r="E403" s="13"/>
    </row>
    <row r="404" spans="2:5" x14ac:dyDescent="0.2">
      <c r="B404" t="s">
        <v>5388</v>
      </c>
      <c r="C404" t="s">
        <v>5389</v>
      </c>
      <c r="D404" s="13">
        <f>_xll.EditDistance($C$3,C404,2)</f>
        <v>30</v>
      </c>
      <c r="E404" s="13"/>
    </row>
    <row r="405" spans="2:5" x14ac:dyDescent="0.2">
      <c r="B405" t="s">
        <v>5481</v>
      </c>
      <c r="C405" t="s">
        <v>5482</v>
      </c>
      <c r="D405" s="13">
        <f>_xll.EditDistance($C$3,C405,2)</f>
        <v>10</v>
      </c>
      <c r="E405" s="13"/>
    </row>
    <row r="406" spans="2:5" x14ac:dyDescent="0.2">
      <c r="B406" t="s">
        <v>5666</v>
      </c>
      <c r="C406" t="s">
        <v>5667</v>
      </c>
      <c r="D406" s="13">
        <f>_xll.EditDistance($C$3,C406,2)</f>
        <v>10</v>
      </c>
      <c r="E406" s="13"/>
    </row>
    <row r="407" spans="2:5" x14ac:dyDescent="0.2">
      <c r="B407" t="s">
        <v>5918</v>
      </c>
      <c r="C407" t="s">
        <v>5919</v>
      </c>
      <c r="D407" s="13">
        <f>_xll.EditDistance($C$3,C407,2)</f>
        <v>20</v>
      </c>
      <c r="E407" s="13"/>
    </row>
    <row r="408" spans="2:5" x14ac:dyDescent="0.2">
      <c r="B408" t="s">
        <v>6069</v>
      </c>
      <c r="C408" t="s">
        <v>6070</v>
      </c>
      <c r="D408" s="13">
        <f>_xll.EditDistance($C$3,C408,2)</f>
        <v>10</v>
      </c>
      <c r="E408" s="13"/>
    </row>
    <row r="409" spans="2:5" x14ac:dyDescent="0.2">
      <c r="B409" t="s">
        <v>6202</v>
      </c>
      <c r="C409" t="s">
        <v>6203</v>
      </c>
      <c r="D409" s="13">
        <f>_xll.EditDistance($C$3,C409,2)</f>
        <v>20</v>
      </c>
      <c r="E409" s="13"/>
    </row>
    <row r="410" spans="2:5" x14ac:dyDescent="0.2">
      <c r="B410" t="s">
        <v>6550</v>
      </c>
      <c r="C410" t="s">
        <v>6552</v>
      </c>
      <c r="D410" s="13">
        <f>_xll.EditDistance($C$3,C410,2)</f>
        <v>10</v>
      </c>
      <c r="E410" s="13"/>
    </row>
    <row r="411" spans="2:5" x14ac:dyDescent="0.2">
      <c r="B411" t="s">
        <v>6574</v>
      </c>
      <c r="C411" t="s">
        <v>6575</v>
      </c>
      <c r="D411" s="13">
        <f>_xll.EditDistance($C$3,C411,2)</f>
        <v>10</v>
      </c>
      <c r="E411" s="13"/>
    </row>
    <row r="412" spans="2:5" x14ac:dyDescent="0.2">
      <c r="B412" t="s">
        <v>6755</v>
      </c>
      <c r="C412" t="s">
        <v>6756</v>
      </c>
      <c r="D412" s="13">
        <f>_xll.EditDistance($C$3,C412,2)</f>
        <v>20</v>
      </c>
      <c r="E412" s="13"/>
    </row>
    <row r="413" spans="2:5" x14ac:dyDescent="0.2">
      <c r="B413" t="s">
        <v>6769</v>
      </c>
      <c r="C413" t="s">
        <v>6770</v>
      </c>
      <c r="D413" s="13">
        <f>_xll.EditDistance($C$3,C413,2)</f>
        <v>10</v>
      </c>
      <c r="E413" s="13"/>
    </row>
    <row r="414" spans="2:5" x14ac:dyDescent="0.2">
      <c r="B414" t="s">
        <v>6845</v>
      </c>
      <c r="C414" t="s">
        <v>6846</v>
      </c>
      <c r="D414" s="13">
        <f>_xll.EditDistance($C$3,C414,2)</f>
        <v>10</v>
      </c>
      <c r="E414" s="13"/>
    </row>
    <row r="415" spans="2:5" x14ac:dyDescent="0.2">
      <c r="B415" t="s">
        <v>7123</v>
      </c>
      <c r="C415" t="s">
        <v>7124</v>
      </c>
      <c r="D415" s="13">
        <f>_xll.EditDistance($C$3,C415,2)</f>
        <v>20</v>
      </c>
      <c r="E415" s="13"/>
    </row>
    <row r="416" spans="2:5" x14ac:dyDescent="0.2">
      <c r="B416" t="s">
        <v>7188</v>
      </c>
      <c r="C416" t="s">
        <v>7189</v>
      </c>
      <c r="D416" s="13">
        <f>_xll.EditDistance($C$3,C416,2)</f>
        <v>10</v>
      </c>
      <c r="E416" s="13"/>
    </row>
    <row r="417" spans="2:5" x14ac:dyDescent="0.2">
      <c r="B417" t="s">
        <v>7236</v>
      </c>
      <c r="C417" t="s">
        <v>7237</v>
      </c>
      <c r="D417" s="13">
        <f>_xll.EditDistance($C$3,C417,2)</f>
        <v>10</v>
      </c>
      <c r="E417" s="13"/>
    </row>
    <row r="418" spans="2:5" x14ac:dyDescent="0.2">
      <c r="B418" t="s">
        <v>8016</v>
      </c>
      <c r="C418" t="s">
        <v>8017</v>
      </c>
      <c r="D418" s="13">
        <f>_xll.EditDistance($C$3,C418,2)</f>
        <v>10</v>
      </c>
      <c r="E418" s="13"/>
    </row>
    <row r="419" spans="2:5" x14ac:dyDescent="0.2">
      <c r="B419" t="s">
        <v>8112</v>
      </c>
      <c r="C419" t="s">
        <v>8113</v>
      </c>
      <c r="D419" s="13">
        <f>_xll.EditDistance($C$3,C419,2)</f>
        <v>10</v>
      </c>
      <c r="E419" s="13"/>
    </row>
    <row r="420" spans="2:5" x14ac:dyDescent="0.2">
      <c r="B420" t="s">
        <v>8298</v>
      </c>
      <c r="C420" t="s">
        <v>8299</v>
      </c>
      <c r="D420" s="13">
        <f>_xll.EditDistance($C$3,C420,2)</f>
        <v>10</v>
      </c>
      <c r="E420" s="13"/>
    </row>
    <row r="421" spans="2:5" x14ac:dyDescent="0.2">
      <c r="B421" t="s">
        <v>8304</v>
      </c>
      <c r="C421" t="s">
        <v>8305</v>
      </c>
      <c r="D421" s="13">
        <f>_xll.EditDistance($C$3,C421,2)</f>
        <v>10</v>
      </c>
      <c r="E421" s="13"/>
    </row>
    <row r="422" spans="2:5" x14ac:dyDescent="0.2">
      <c r="B422" t="s">
        <v>8353</v>
      </c>
      <c r="C422" t="s">
        <v>8354</v>
      </c>
      <c r="D422" s="13">
        <f>_xll.EditDistance($C$3,C422,2)</f>
        <v>10</v>
      </c>
      <c r="E422" s="13"/>
    </row>
    <row r="423" spans="2:5" x14ac:dyDescent="0.2">
      <c r="B423" t="s">
        <v>8532</v>
      </c>
      <c r="C423" t="s">
        <v>8533</v>
      </c>
      <c r="D423" s="13">
        <f>_xll.EditDistance($C$3,C423,2)</f>
        <v>10</v>
      </c>
      <c r="E423" s="13"/>
    </row>
    <row r="424" spans="2:5" x14ac:dyDescent="0.2">
      <c r="B424" t="s">
        <v>119</v>
      </c>
      <c r="C424" t="s">
        <v>120</v>
      </c>
      <c r="D424" s="13">
        <f>_xll.EditDistance($C$3,C424,2)</f>
        <v>20</v>
      </c>
      <c r="E424" s="13"/>
    </row>
    <row r="425" spans="2:5" x14ac:dyDescent="0.2">
      <c r="B425" t="s">
        <v>155</v>
      </c>
      <c r="C425" t="s">
        <v>156</v>
      </c>
      <c r="D425" s="13">
        <f>_xll.EditDistance($C$3,C425,2)</f>
        <v>10</v>
      </c>
      <c r="E425" s="13"/>
    </row>
    <row r="426" spans="2:5" x14ac:dyDescent="0.2">
      <c r="B426" t="s">
        <v>182</v>
      </c>
      <c r="C426" t="s">
        <v>183</v>
      </c>
      <c r="D426" s="13">
        <f>_xll.EditDistance($C$3,C426,2)</f>
        <v>10</v>
      </c>
      <c r="E426" s="13"/>
    </row>
    <row r="427" spans="2:5" x14ac:dyDescent="0.2">
      <c r="B427" t="s">
        <v>275</v>
      </c>
      <c r="C427" t="s">
        <v>276</v>
      </c>
      <c r="D427" s="13">
        <f>_xll.EditDistance($C$3,C427,2)</f>
        <v>10</v>
      </c>
      <c r="E427" s="13"/>
    </row>
    <row r="428" spans="2:5" x14ac:dyDescent="0.2">
      <c r="B428" t="s">
        <v>362</v>
      </c>
      <c r="C428" t="s">
        <v>363</v>
      </c>
      <c r="D428" s="13">
        <f>_xll.EditDistance($C$3,C428,2)</f>
        <v>10</v>
      </c>
      <c r="E428" s="13"/>
    </row>
    <row r="429" spans="2:5" x14ac:dyDescent="0.2">
      <c r="B429" t="s">
        <v>378</v>
      </c>
      <c r="C429" t="s">
        <v>379</v>
      </c>
      <c r="D429" s="13">
        <f>_xll.EditDistance($C$3,C429,2)</f>
        <v>10</v>
      </c>
      <c r="E429" s="13"/>
    </row>
    <row r="430" spans="2:5" x14ac:dyDescent="0.2">
      <c r="B430" t="s">
        <v>400</v>
      </c>
      <c r="C430" t="s">
        <v>401</v>
      </c>
      <c r="D430" s="13">
        <f>_xll.EditDistance($C$3,C430,2)</f>
        <v>10</v>
      </c>
      <c r="E430" s="13"/>
    </row>
    <row r="431" spans="2:5" x14ac:dyDescent="0.2">
      <c r="B431" t="s">
        <v>444</v>
      </c>
      <c r="C431" t="s">
        <v>445</v>
      </c>
      <c r="D431" s="13">
        <f>_xll.EditDistance($C$3,C431,2)</f>
        <v>10</v>
      </c>
      <c r="E431" s="13"/>
    </row>
    <row r="432" spans="2:5" x14ac:dyDescent="0.2">
      <c r="B432" t="s">
        <v>466</v>
      </c>
      <c r="C432" t="s">
        <v>467</v>
      </c>
      <c r="D432" s="13">
        <f>_xll.EditDistance($C$3,C432,2)</f>
        <v>10</v>
      </c>
      <c r="E432" s="13"/>
    </row>
    <row r="433" spans="2:5" x14ac:dyDescent="0.2">
      <c r="B433" t="s">
        <v>476</v>
      </c>
      <c r="C433" t="s">
        <v>477</v>
      </c>
      <c r="D433" s="13">
        <f>_xll.EditDistance($C$3,C433,2)</f>
        <v>10</v>
      </c>
      <c r="E433" s="13"/>
    </row>
    <row r="434" spans="2:5" x14ac:dyDescent="0.2">
      <c r="B434" t="s">
        <v>528</v>
      </c>
      <c r="C434" t="s">
        <v>529</v>
      </c>
      <c r="D434" s="13">
        <f>_xll.EditDistance($C$3,C434,2)</f>
        <v>10</v>
      </c>
      <c r="E434" s="13"/>
    </row>
    <row r="435" spans="2:5" x14ac:dyDescent="0.2">
      <c r="B435" t="s">
        <v>566</v>
      </c>
      <c r="C435" t="s">
        <v>567</v>
      </c>
      <c r="D435" s="13">
        <f>_xll.EditDistance($C$3,C435,2)</f>
        <v>10</v>
      </c>
      <c r="E435" s="13"/>
    </row>
    <row r="436" spans="2:5" x14ac:dyDescent="0.2">
      <c r="B436" t="s">
        <v>607</v>
      </c>
      <c r="C436" t="s">
        <v>608</v>
      </c>
      <c r="D436" s="13">
        <f>_xll.EditDistance($C$3,C436,2)</f>
        <v>30</v>
      </c>
      <c r="E436" s="13"/>
    </row>
    <row r="437" spans="2:5" x14ac:dyDescent="0.2">
      <c r="B437" t="s">
        <v>636</v>
      </c>
      <c r="C437" t="s">
        <v>637</v>
      </c>
      <c r="D437" s="13">
        <f>_xll.EditDistance($C$3,C437,2)</f>
        <v>10</v>
      </c>
      <c r="E437" s="13"/>
    </row>
    <row r="438" spans="2:5" x14ac:dyDescent="0.2">
      <c r="B438" t="s">
        <v>636</v>
      </c>
      <c r="C438" t="s">
        <v>638</v>
      </c>
      <c r="D438" s="13">
        <f>_xll.EditDistance($C$3,C438,2)</f>
        <v>10</v>
      </c>
      <c r="E438" s="13"/>
    </row>
    <row r="439" spans="2:5" x14ac:dyDescent="0.2">
      <c r="B439" t="s">
        <v>649</v>
      </c>
      <c r="C439" t="s">
        <v>650</v>
      </c>
      <c r="D439" s="13">
        <f>_xll.EditDistance($C$3,C439,2)</f>
        <v>10</v>
      </c>
      <c r="E439" s="13"/>
    </row>
    <row r="440" spans="2:5" x14ac:dyDescent="0.2">
      <c r="B440" t="s">
        <v>666</v>
      </c>
      <c r="C440" t="s">
        <v>667</v>
      </c>
      <c r="D440" s="13">
        <f>_xll.EditDistance($C$3,C440,2)</f>
        <v>20</v>
      </c>
      <c r="E440" s="13"/>
    </row>
    <row r="441" spans="2:5" x14ac:dyDescent="0.2">
      <c r="B441" t="s">
        <v>670</v>
      </c>
      <c r="C441" t="s">
        <v>671</v>
      </c>
      <c r="D441" s="13">
        <f>_xll.EditDistance($C$3,C441,2)</f>
        <v>10</v>
      </c>
      <c r="E441" s="13"/>
    </row>
    <row r="442" spans="2:5" x14ac:dyDescent="0.2">
      <c r="B442" t="s">
        <v>702</v>
      </c>
      <c r="C442" t="s">
        <v>703</v>
      </c>
      <c r="D442" s="13">
        <f>_xll.EditDistance($C$3,C442,2)</f>
        <v>10</v>
      </c>
      <c r="E442" s="13"/>
    </row>
    <row r="443" spans="2:5" x14ac:dyDescent="0.2">
      <c r="B443" t="s">
        <v>704</v>
      </c>
      <c r="C443" t="s">
        <v>705</v>
      </c>
      <c r="D443" s="13">
        <f>_xll.EditDistance($C$3,C443,2)</f>
        <v>10</v>
      </c>
      <c r="E443" s="13"/>
    </row>
    <row r="444" spans="2:5" x14ac:dyDescent="0.2">
      <c r="B444" t="s">
        <v>756</v>
      </c>
      <c r="C444" t="s">
        <v>757</v>
      </c>
      <c r="D444" s="13">
        <f>_xll.EditDistance($C$3,C444,2)</f>
        <v>10</v>
      </c>
      <c r="E444" s="13"/>
    </row>
    <row r="445" spans="2:5" x14ac:dyDescent="0.2">
      <c r="B445" t="s">
        <v>756</v>
      </c>
      <c r="C445" t="s">
        <v>758</v>
      </c>
      <c r="D445" s="13">
        <f>_xll.EditDistance($C$3,C445,2)</f>
        <v>10</v>
      </c>
      <c r="E445" s="13"/>
    </row>
    <row r="446" spans="2:5" x14ac:dyDescent="0.2">
      <c r="B446" t="s">
        <v>773</v>
      </c>
      <c r="C446" t="s">
        <v>774</v>
      </c>
      <c r="D446" s="13">
        <f>_xll.EditDistance($C$3,C446,2)</f>
        <v>20</v>
      </c>
      <c r="E446" s="13"/>
    </row>
    <row r="447" spans="2:5" x14ac:dyDescent="0.2">
      <c r="B447" t="s">
        <v>777</v>
      </c>
      <c r="C447" t="s">
        <v>778</v>
      </c>
      <c r="D447" s="13">
        <f>_xll.EditDistance($C$3,C447,2)</f>
        <v>10</v>
      </c>
      <c r="E447" s="13"/>
    </row>
    <row r="448" spans="2:5" x14ac:dyDescent="0.2">
      <c r="B448" t="s">
        <v>791</v>
      </c>
      <c r="C448" t="s">
        <v>792</v>
      </c>
      <c r="D448" s="13">
        <f>_xll.EditDistance($C$3,C448,2)</f>
        <v>10</v>
      </c>
      <c r="E448" s="13"/>
    </row>
    <row r="449" spans="2:5" x14ac:dyDescent="0.2">
      <c r="B449" t="s">
        <v>791</v>
      </c>
      <c r="C449" t="s">
        <v>793</v>
      </c>
      <c r="D449" s="13">
        <f>_xll.EditDistance($C$3,C449,2)</f>
        <v>10</v>
      </c>
      <c r="E449" s="13"/>
    </row>
    <row r="450" spans="2:5" x14ac:dyDescent="0.2">
      <c r="B450" t="s">
        <v>796</v>
      </c>
      <c r="C450" t="s">
        <v>798</v>
      </c>
      <c r="D450" s="13">
        <f>_xll.EditDistance($C$3,C450,2)</f>
        <v>10</v>
      </c>
      <c r="E450" s="13"/>
    </row>
    <row r="451" spans="2:5" x14ac:dyDescent="0.2">
      <c r="B451" t="s">
        <v>832</v>
      </c>
      <c r="C451" t="s">
        <v>833</v>
      </c>
      <c r="D451" s="13">
        <f>_xll.EditDistance($C$3,C451,2)</f>
        <v>10</v>
      </c>
      <c r="E451" s="13"/>
    </row>
    <row r="452" spans="2:5" x14ac:dyDescent="0.2">
      <c r="B452" t="s">
        <v>871</v>
      </c>
      <c r="C452" t="s">
        <v>872</v>
      </c>
      <c r="D452" s="13">
        <f>_xll.EditDistance($C$3,C452,2)</f>
        <v>10</v>
      </c>
      <c r="E452" s="13"/>
    </row>
    <row r="453" spans="2:5" x14ac:dyDescent="0.2">
      <c r="B453" t="s">
        <v>915</v>
      </c>
      <c r="C453" t="s">
        <v>916</v>
      </c>
      <c r="D453" s="13">
        <f>_xll.EditDistance($C$3,C453,2)</f>
        <v>10</v>
      </c>
      <c r="E453" s="13"/>
    </row>
    <row r="454" spans="2:5" x14ac:dyDescent="0.2">
      <c r="B454" t="s">
        <v>915</v>
      </c>
      <c r="C454" t="s">
        <v>917</v>
      </c>
      <c r="D454" s="13">
        <f>_xll.EditDistance($C$3,C454,2)</f>
        <v>10</v>
      </c>
      <c r="E454" s="13"/>
    </row>
    <row r="455" spans="2:5" x14ac:dyDescent="0.2">
      <c r="B455" t="s">
        <v>950</v>
      </c>
      <c r="C455" t="s">
        <v>951</v>
      </c>
      <c r="D455" s="13">
        <f>_xll.EditDistance($C$3,C455,2)</f>
        <v>10</v>
      </c>
      <c r="E455" s="13"/>
    </row>
    <row r="456" spans="2:5" x14ac:dyDescent="0.2">
      <c r="B456" t="s">
        <v>986</v>
      </c>
      <c r="C456" t="s">
        <v>987</v>
      </c>
      <c r="D456" s="13">
        <f>_xll.EditDistance($C$3,C456,2)</f>
        <v>10</v>
      </c>
      <c r="E456" s="13"/>
    </row>
    <row r="457" spans="2:5" x14ac:dyDescent="0.2">
      <c r="B457" t="s">
        <v>1026</v>
      </c>
      <c r="C457" t="s">
        <v>1027</v>
      </c>
      <c r="D457" s="13">
        <f>_xll.EditDistance($C$3,C457,2)</f>
        <v>10</v>
      </c>
      <c r="E457" s="13"/>
    </row>
    <row r="458" spans="2:5" x14ac:dyDescent="0.2">
      <c r="B458" t="s">
        <v>1133</v>
      </c>
      <c r="C458" t="s">
        <v>1134</v>
      </c>
      <c r="D458" s="13">
        <f>_xll.EditDistance($C$3,C458,2)</f>
        <v>10</v>
      </c>
      <c r="E458" s="13"/>
    </row>
    <row r="459" spans="2:5" x14ac:dyDescent="0.2">
      <c r="B459" t="s">
        <v>1200</v>
      </c>
      <c r="C459" t="s">
        <v>1201</v>
      </c>
      <c r="D459" s="13">
        <f>_xll.EditDistance($C$3,C459,2)</f>
        <v>10</v>
      </c>
      <c r="E459" s="13"/>
    </row>
    <row r="460" spans="2:5" x14ac:dyDescent="0.2">
      <c r="B460" t="s">
        <v>1208</v>
      </c>
      <c r="C460" t="s">
        <v>1209</v>
      </c>
      <c r="D460" s="13">
        <f>_xll.EditDistance($C$3,C460,2)</f>
        <v>10</v>
      </c>
      <c r="E460" s="13"/>
    </row>
    <row r="461" spans="2:5" x14ac:dyDescent="0.2">
      <c r="B461" t="s">
        <v>1267</v>
      </c>
      <c r="C461" t="s">
        <v>1268</v>
      </c>
      <c r="D461" s="13">
        <f>_xll.EditDistance($C$3,C461,2)</f>
        <v>10</v>
      </c>
      <c r="E461" s="13"/>
    </row>
    <row r="462" spans="2:5" x14ac:dyDescent="0.2">
      <c r="B462" t="s">
        <v>1285</v>
      </c>
      <c r="C462" t="s">
        <v>1286</v>
      </c>
      <c r="D462" s="13">
        <f>_xll.EditDistance($C$3,C462,2)</f>
        <v>10</v>
      </c>
      <c r="E462" s="13"/>
    </row>
    <row r="463" spans="2:5" x14ac:dyDescent="0.2">
      <c r="B463" t="s">
        <v>1324</v>
      </c>
      <c r="C463" t="s">
        <v>1325</v>
      </c>
      <c r="D463" s="13">
        <f>_xll.EditDistance($C$3,C463,2)</f>
        <v>10</v>
      </c>
      <c r="E463" s="13"/>
    </row>
    <row r="464" spans="2:5" x14ac:dyDescent="0.2">
      <c r="B464" t="s">
        <v>1470</v>
      </c>
      <c r="C464" t="s">
        <v>1471</v>
      </c>
      <c r="D464" s="13">
        <f>_xll.EditDistance($C$3,C464,2)</f>
        <v>10</v>
      </c>
      <c r="E464" s="13"/>
    </row>
    <row r="465" spans="2:5" x14ac:dyDescent="0.2">
      <c r="B465" t="s">
        <v>1488</v>
      </c>
      <c r="C465" t="s">
        <v>1489</v>
      </c>
      <c r="D465" s="13">
        <f>_xll.EditDistance($C$3,C465,2)</f>
        <v>10</v>
      </c>
      <c r="E465" s="13"/>
    </row>
    <row r="466" spans="2:5" x14ac:dyDescent="0.2">
      <c r="B466" t="s">
        <v>1509</v>
      </c>
      <c r="C466" t="s">
        <v>1510</v>
      </c>
      <c r="D466" s="13">
        <f>_xll.EditDistance($C$3,C466,2)</f>
        <v>10</v>
      </c>
      <c r="E466" s="13"/>
    </row>
    <row r="467" spans="2:5" x14ac:dyDescent="0.2">
      <c r="B467" t="s">
        <v>1524</v>
      </c>
      <c r="C467" t="s">
        <v>1525</v>
      </c>
      <c r="D467" s="13">
        <f>_xll.EditDistance($C$3,C467,2)</f>
        <v>10</v>
      </c>
      <c r="E467" s="13"/>
    </row>
    <row r="468" spans="2:5" x14ac:dyDescent="0.2">
      <c r="B468" t="s">
        <v>1556</v>
      </c>
      <c r="C468" t="s">
        <v>1557</v>
      </c>
      <c r="D468" s="13">
        <f>_xll.EditDistance($C$3,C468,2)</f>
        <v>10</v>
      </c>
      <c r="E468" s="13"/>
    </row>
    <row r="469" spans="2:5" x14ac:dyDescent="0.2">
      <c r="B469" t="s">
        <v>1560</v>
      </c>
      <c r="C469" t="s">
        <v>1561</v>
      </c>
      <c r="D469" s="13">
        <f>_xll.EditDistance($C$3,C469,2)</f>
        <v>10</v>
      </c>
      <c r="E469" s="13"/>
    </row>
    <row r="470" spans="2:5" x14ac:dyDescent="0.2">
      <c r="B470" t="s">
        <v>1598</v>
      </c>
      <c r="C470" t="s">
        <v>1599</v>
      </c>
      <c r="D470" s="13">
        <f>_xll.EditDistance($C$3,C470,2)</f>
        <v>10</v>
      </c>
      <c r="E470" s="13"/>
    </row>
    <row r="471" spans="2:5" x14ac:dyDescent="0.2">
      <c r="B471" t="s">
        <v>1636</v>
      </c>
      <c r="C471" t="s">
        <v>1637</v>
      </c>
      <c r="D471" s="13">
        <f>_xll.EditDistance($C$3,C471,2)</f>
        <v>10</v>
      </c>
      <c r="E471" s="13"/>
    </row>
    <row r="472" spans="2:5" x14ac:dyDescent="0.2">
      <c r="B472" t="s">
        <v>1684</v>
      </c>
      <c r="C472" t="s">
        <v>1685</v>
      </c>
      <c r="D472" s="13">
        <f>_xll.EditDistance($C$3,C472,2)</f>
        <v>10</v>
      </c>
      <c r="E472" s="13"/>
    </row>
    <row r="473" spans="2:5" x14ac:dyDescent="0.2">
      <c r="B473" t="s">
        <v>1716</v>
      </c>
      <c r="C473" t="s">
        <v>1717</v>
      </c>
      <c r="D473" s="13">
        <f>_xll.EditDistance($C$3,C473,2)</f>
        <v>10</v>
      </c>
      <c r="E473" s="13"/>
    </row>
    <row r="474" spans="2:5" x14ac:dyDescent="0.2">
      <c r="B474" t="s">
        <v>1728</v>
      </c>
      <c r="C474" t="s">
        <v>1729</v>
      </c>
      <c r="D474" s="13">
        <f>_xll.EditDistance($C$3,C474,2)</f>
        <v>10</v>
      </c>
      <c r="E474" s="13"/>
    </row>
    <row r="475" spans="2:5" x14ac:dyDescent="0.2">
      <c r="B475" t="s">
        <v>1768</v>
      </c>
      <c r="C475" t="s">
        <v>1769</v>
      </c>
      <c r="D475" s="13">
        <f>_xll.EditDistance($C$3,C475,2)</f>
        <v>10</v>
      </c>
      <c r="E475" s="13"/>
    </row>
    <row r="476" spans="2:5" x14ac:dyDescent="0.2">
      <c r="B476" t="s">
        <v>1772</v>
      </c>
      <c r="C476" t="s">
        <v>1773</v>
      </c>
      <c r="D476" s="13">
        <f>_xll.EditDistance($C$3,C476,2)</f>
        <v>10</v>
      </c>
      <c r="E476" s="13"/>
    </row>
    <row r="477" spans="2:5" x14ac:dyDescent="0.2">
      <c r="B477" t="s">
        <v>1808</v>
      </c>
      <c r="C477" t="s">
        <v>1809</v>
      </c>
      <c r="D477" s="13">
        <f>_xll.EditDistance($C$3,C477,2)</f>
        <v>10</v>
      </c>
      <c r="E477" s="13"/>
    </row>
    <row r="478" spans="2:5" x14ac:dyDescent="0.2">
      <c r="B478" t="s">
        <v>1848</v>
      </c>
      <c r="C478" t="s">
        <v>1850</v>
      </c>
      <c r="D478" s="13">
        <f>_xll.EditDistance($C$3,C478,2)</f>
        <v>10</v>
      </c>
      <c r="E478" s="13"/>
    </row>
    <row r="479" spans="2:5" x14ac:dyDescent="0.2">
      <c r="B479" t="s">
        <v>1893</v>
      </c>
      <c r="C479" t="s">
        <v>1894</v>
      </c>
      <c r="D479" s="13">
        <f>_xll.EditDistance($C$3,C479,2)</f>
        <v>10</v>
      </c>
      <c r="E479" s="13"/>
    </row>
    <row r="480" spans="2:5" x14ac:dyDescent="0.2">
      <c r="B480" t="s">
        <v>1921</v>
      </c>
      <c r="C480" t="s">
        <v>1922</v>
      </c>
      <c r="D480" s="13">
        <f>_xll.EditDistance($C$3,C480,2)</f>
        <v>10</v>
      </c>
      <c r="E480" s="13"/>
    </row>
    <row r="481" spans="2:5" x14ac:dyDescent="0.2">
      <c r="B481" t="s">
        <v>1976</v>
      </c>
      <c r="C481" t="s">
        <v>1977</v>
      </c>
      <c r="D481" s="13">
        <f>_xll.EditDistance($C$3,C481,2)</f>
        <v>10</v>
      </c>
      <c r="E481" s="13"/>
    </row>
    <row r="482" spans="2:5" x14ac:dyDescent="0.2">
      <c r="B482" t="s">
        <v>1980</v>
      </c>
      <c r="C482" t="s">
        <v>1981</v>
      </c>
      <c r="D482" s="13">
        <f>_xll.EditDistance($C$3,C482,2)</f>
        <v>10</v>
      </c>
      <c r="E482" s="13"/>
    </row>
    <row r="483" spans="2:5" x14ac:dyDescent="0.2">
      <c r="B483" t="s">
        <v>2002</v>
      </c>
      <c r="C483" t="s">
        <v>2003</v>
      </c>
      <c r="D483" s="13">
        <f>_xll.EditDistance($C$3,C483,2)</f>
        <v>10</v>
      </c>
      <c r="E483" s="13"/>
    </row>
    <row r="484" spans="2:5" x14ac:dyDescent="0.2">
      <c r="B484" t="s">
        <v>2070</v>
      </c>
      <c r="C484" t="s">
        <v>2071</v>
      </c>
      <c r="D484" s="13">
        <f>_xll.EditDistance($C$3,C484,2)</f>
        <v>10</v>
      </c>
      <c r="E484" s="13"/>
    </row>
    <row r="485" spans="2:5" x14ac:dyDescent="0.2">
      <c r="B485" t="s">
        <v>2074</v>
      </c>
      <c r="C485" t="s">
        <v>2075</v>
      </c>
      <c r="D485" s="13">
        <f>_xll.EditDistance($C$3,C485,2)</f>
        <v>10</v>
      </c>
      <c r="E485" s="13"/>
    </row>
    <row r="486" spans="2:5" x14ac:dyDescent="0.2">
      <c r="B486" t="s">
        <v>2084</v>
      </c>
      <c r="C486" t="s">
        <v>2085</v>
      </c>
      <c r="D486" s="13">
        <f>_xll.EditDistance($C$3,C486,2)</f>
        <v>10</v>
      </c>
      <c r="E486" s="13"/>
    </row>
    <row r="487" spans="2:5" x14ac:dyDescent="0.2">
      <c r="B487" t="s">
        <v>2087</v>
      </c>
      <c r="C487" t="s">
        <v>2088</v>
      </c>
      <c r="D487" s="13">
        <f>_xll.EditDistance($C$3,C487,2)</f>
        <v>10</v>
      </c>
      <c r="E487" s="13"/>
    </row>
    <row r="488" spans="2:5" x14ac:dyDescent="0.2">
      <c r="B488" t="s">
        <v>2091</v>
      </c>
      <c r="C488" t="s">
        <v>2092</v>
      </c>
      <c r="D488" s="13">
        <f>_xll.EditDistance($C$3,C488,2)</f>
        <v>10</v>
      </c>
      <c r="E488" s="13"/>
    </row>
    <row r="489" spans="2:5" x14ac:dyDescent="0.2">
      <c r="B489" t="s">
        <v>2127</v>
      </c>
      <c r="C489" t="s">
        <v>2128</v>
      </c>
      <c r="D489" s="13">
        <f>_xll.EditDistance($C$3,C489,2)</f>
        <v>20</v>
      </c>
      <c r="E489" s="13"/>
    </row>
    <row r="490" spans="2:5" x14ac:dyDescent="0.2">
      <c r="B490" t="s">
        <v>2281</v>
      </c>
      <c r="C490" t="s">
        <v>2282</v>
      </c>
      <c r="D490" s="13">
        <f>_xll.EditDistance($C$3,C490,2)</f>
        <v>10</v>
      </c>
      <c r="E490" s="13"/>
    </row>
    <row r="491" spans="2:5" x14ac:dyDescent="0.2">
      <c r="B491" t="s">
        <v>2394</v>
      </c>
      <c r="C491" t="s">
        <v>2395</v>
      </c>
      <c r="D491" s="13">
        <f>_xll.EditDistance($C$3,C491,2)</f>
        <v>10</v>
      </c>
      <c r="E491" s="13"/>
    </row>
    <row r="492" spans="2:5" x14ac:dyDescent="0.2">
      <c r="B492" t="s">
        <v>2438</v>
      </c>
      <c r="C492" t="s">
        <v>2439</v>
      </c>
      <c r="D492" s="13">
        <f>_xll.EditDistance($C$3,C492,2)</f>
        <v>10</v>
      </c>
      <c r="E492" s="13"/>
    </row>
    <row r="493" spans="2:5" x14ac:dyDescent="0.2">
      <c r="B493" t="s">
        <v>2446</v>
      </c>
      <c r="C493" t="s">
        <v>2447</v>
      </c>
      <c r="D493" s="13">
        <f>_xll.EditDistance($C$3,C493,2)</f>
        <v>10</v>
      </c>
      <c r="E493" s="13"/>
    </row>
    <row r="494" spans="2:5" x14ac:dyDescent="0.2">
      <c r="B494" t="s">
        <v>2450</v>
      </c>
      <c r="C494" t="s">
        <v>2451</v>
      </c>
      <c r="D494" s="13">
        <f>_xll.EditDistance($C$3,C494,2)</f>
        <v>10</v>
      </c>
      <c r="E494" s="13"/>
    </row>
    <row r="495" spans="2:5" x14ac:dyDescent="0.2">
      <c r="B495" t="s">
        <v>2468</v>
      </c>
      <c r="C495" t="s">
        <v>2469</v>
      </c>
      <c r="D495" s="13">
        <f>_xll.EditDistance($C$3,C495,2)</f>
        <v>10</v>
      </c>
      <c r="E495" s="13"/>
    </row>
    <row r="496" spans="2:5" x14ac:dyDescent="0.2">
      <c r="B496" s="22" t="s">
        <v>2496</v>
      </c>
      <c r="C496" t="s">
        <v>2497</v>
      </c>
      <c r="D496" s="13">
        <f>_xll.EditDistance($C$3,C496,2)</f>
        <v>30</v>
      </c>
      <c r="E496" s="13"/>
    </row>
    <row r="497" spans="2:5" x14ac:dyDescent="0.2">
      <c r="B497" t="s">
        <v>2570</v>
      </c>
      <c r="C497" t="s">
        <v>2571</v>
      </c>
      <c r="D497" s="13">
        <f>_xll.EditDistance($C$3,C497,2)</f>
        <v>10</v>
      </c>
      <c r="E497" s="13"/>
    </row>
    <row r="498" spans="2:5" x14ac:dyDescent="0.2">
      <c r="B498" t="s">
        <v>2650</v>
      </c>
      <c r="C498" t="s">
        <v>2651</v>
      </c>
      <c r="D498" s="13">
        <f>_xll.EditDistance($C$3,C498,2)</f>
        <v>10</v>
      </c>
      <c r="E498" s="13"/>
    </row>
    <row r="499" spans="2:5" x14ac:dyDescent="0.2">
      <c r="B499" t="s">
        <v>2760</v>
      </c>
      <c r="C499" t="s">
        <v>2761</v>
      </c>
      <c r="D499" s="13">
        <f>_xll.EditDistance($C$3,C499,2)</f>
        <v>10</v>
      </c>
      <c r="E499" s="13"/>
    </row>
    <row r="500" spans="2:5" x14ac:dyDescent="0.2">
      <c r="B500" t="s">
        <v>2768</v>
      </c>
      <c r="C500" t="s">
        <v>2769</v>
      </c>
      <c r="D500" s="13">
        <f>_xll.EditDistance($C$3,C500,2)</f>
        <v>10</v>
      </c>
      <c r="E500" s="13"/>
    </row>
    <row r="501" spans="2:5" x14ac:dyDescent="0.2">
      <c r="B501" t="s">
        <v>2865</v>
      </c>
      <c r="C501" t="s">
        <v>2866</v>
      </c>
      <c r="D501" s="13">
        <f>_xll.EditDistance($C$3,C501,2)</f>
        <v>10</v>
      </c>
      <c r="E501" s="13"/>
    </row>
    <row r="502" spans="2:5" x14ac:dyDescent="0.2">
      <c r="B502" t="s">
        <v>2871</v>
      </c>
      <c r="C502" t="s">
        <v>2872</v>
      </c>
      <c r="D502" s="13">
        <f>_xll.EditDistance($C$3,C502,2)</f>
        <v>10</v>
      </c>
      <c r="E502" s="13"/>
    </row>
    <row r="503" spans="2:5" x14ac:dyDescent="0.2">
      <c r="B503" t="s">
        <v>2875</v>
      </c>
      <c r="C503" t="s">
        <v>2876</v>
      </c>
      <c r="D503" s="13">
        <f>_xll.EditDistance($C$3,C503,2)</f>
        <v>10</v>
      </c>
      <c r="E503" s="13"/>
    </row>
    <row r="504" spans="2:5" x14ac:dyDescent="0.2">
      <c r="B504" t="s">
        <v>2877</v>
      </c>
      <c r="C504" t="s">
        <v>2879</v>
      </c>
      <c r="D504" s="13">
        <f>_xll.EditDistance($C$3,C504,2)</f>
        <v>10</v>
      </c>
      <c r="E504" s="13"/>
    </row>
    <row r="505" spans="2:5" x14ac:dyDescent="0.2">
      <c r="B505" t="s">
        <v>2911</v>
      </c>
      <c r="C505" t="s">
        <v>2912</v>
      </c>
      <c r="D505" s="13">
        <f>_xll.EditDistance($C$3,C505,2)</f>
        <v>10</v>
      </c>
      <c r="E505" s="13"/>
    </row>
    <row r="506" spans="2:5" x14ac:dyDescent="0.2">
      <c r="B506" t="s">
        <v>2921</v>
      </c>
      <c r="C506" t="s">
        <v>2922</v>
      </c>
      <c r="D506" s="13">
        <f>_xll.EditDistance($C$3,C506,2)</f>
        <v>10</v>
      </c>
      <c r="E506" s="13"/>
    </row>
    <row r="507" spans="2:5" x14ac:dyDescent="0.2">
      <c r="B507" t="s">
        <v>2949</v>
      </c>
      <c r="C507" t="s">
        <v>2952</v>
      </c>
      <c r="D507" s="13">
        <f>_xll.EditDistance($C$3,C507,2)</f>
        <v>10</v>
      </c>
      <c r="E507" s="13"/>
    </row>
    <row r="508" spans="2:5" x14ac:dyDescent="0.2">
      <c r="B508" t="s">
        <v>3098</v>
      </c>
      <c r="C508" t="s">
        <v>3099</v>
      </c>
      <c r="D508" s="13">
        <f>_xll.EditDistance($C$3,C508,2)</f>
        <v>10</v>
      </c>
      <c r="E508" s="13"/>
    </row>
    <row r="509" spans="2:5" x14ac:dyDescent="0.2">
      <c r="B509" t="s">
        <v>3102</v>
      </c>
      <c r="C509" t="s">
        <v>3103</v>
      </c>
      <c r="D509" s="13">
        <f>_xll.EditDistance($C$3,C509,2)</f>
        <v>10</v>
      </c>
      <c r="E509" s="13"/>
    </row>
    <row r="510" spans="2:5" x14ac:dyDescent="0.2">
      <c r="B510" t="s">
        <v>3165</v>
      </c>
      <c r="C510" t="s">
        <v>3166</v>
      </c>
      <c r="D510" s="13">
        <f>_xll.EditDistance($C$3,C510,2)</f>
        <v>10</v>
      </c>
      <c r="E510" s="13"/>
    </row>
    <row r="511" spans="2:5" x14ac:dyDescent="0.2">
      <c r="B511" t="s">
        <v>3171</v>
      </c>
      <c r="C511" t="s">
        <v>3172</v>
      </c>
      <c r="D511" s="13">
        <f>_xll.EditDistance($C$3,C511,2)</f>
        <v>10</v>
      </c>
      <c r="E511" s="13"/>
    </row>
    <row r="512" spans="2:5" x14ac:dyDescent="0.2">
      <c r="B512" t="s">
        <v>3189</v>
      </c>
      <c r="C512" t="s">
        <v>3190</v>
      </c>
      <c r="D512" s="13">
        <f>_xll.EditDistance($C$3,C512,2)</f>
        <v>10</v>
      </c>
      <c r="E512" s="13"/>
    </row>
    <row r="513" spans="2:5" x14ac:dyDescent="0.2">
      <c r="B513" t="s">
        <v>3243</v>
      </c>
      <c r="C513" t="s">
        <v>3244</v>
      </c>
      <c r="D513" s="13">
        <f>_xll.EditDistance($C$3,C513,2)</f>
        <v>10</v>
      </c>
      <c r="E513" s="13"/>
    </row>
    <row r="514" spans="2:5" x14ac:dyDescent="0.2">
      <c r="B514" t="s">
        <v>3267</v>
      </c>
      <c r="C514" t="s">
        <v>3268</v>
      </c>
      <c r="D514" s="13">
        <f>_xll.EditDistance($C$3,C514,2)</f>
        <v>10</v>
      </c>
      <c r="E514" s="13"/>
    </row>
    <row r="515" spans="2:5" x14ac:dyDescent="0.2">
      <c r="B515" t="s">
        <v>3284</v>
      </c>
      <c r="C515" t="s">
        <v>3285</v>
      </c>
      <c r="D515" s="13">
        <f>_xll.EditDistance($C$3,C515,2)</f>
        <v>10</v>
      </c>
      <c r="E515" s="13"/>
    </row>
    <row r="516" spans="2:5" x14ac:dyDescent="0.2">
      <c r="B516" t="s">
        <v>3288</v>
      </c>
      <c r="C516" t="s">
        <v>3289</v>
      </c>
      <c r="D516" s="13">
        <f>_xll.EditDistance($C$3,C516,2)</f>
        <v>10</v>
      </c>
      <c r="E516" s="13"/>
    </row>
    <row r="517" spans="2:5" x14ac:dyDescent="0.2">
      <c r="B517" t="s">
        <v>3294</v>
      </c>
      <c r="C517" t="s">
        <v>3295</v>
      </c>
      <c r="D517" s="13">
        <f>_xll.EditDistance($C$3,C517,2)</f>
        <v>10</v>
      </c>
      <c r="E517" s="13"/>
    </row>
    <row r="518" spans="2:5" x14ac:dyDescent="0.2">
      <c r="B518" t="s">
        <v>3386</v>
      </c>
      <c r="C518" t="s">
        <v>3387</v>
      </c>
      <c r="D518" s="13">
        <f>_xll.EditDistance($C$3,C518,2)</f>
        <v>10</v>
      </c>
      <c r="E518" s="13"/>
    </row>
    <row r="519" spans="2:5" x14ac:dyDescent="0.2">
      <c r="B519" t="s">
        <v>3411</v>
      </c>
      <c r="C519" t="s">
        <v>3412</v>
      </c>
      <c r="D519" s="13">
        <f>_xll.EditDistance($C$3,C519,2)</f>
        <v>10</v>
      </c>
      <c r="E519" s="13"/>
    </row>
    <row r="520" spans="2:5" x14ac:dyDescent="0.2">
      <c r="B520" t="s">
        <v>3470</v>
      </c>
      <c r="C520" t="s">
        <v>3471</v>
      </c>
      <c r="D520" s="13">
        <f>_xll.EditDistance($C$3,C520,2)</f>
        <v>10</v>
      </c>
      <c r="E520" s="13"/>
    </row>
    <row r="521" spans="2:5" x14ac:dyDescent="0.2">
      <c r="B521" t="s">
        <v>3536</v>
      </c>
      <c r="C521" t="s">
        <v>3537</v>
      </c>
      <c r="D521" s="13">
        <f>_xll.EditDistance($C$3,C521,2)</f>
        <v>10</v>
      </c>
      <c r="E521" s="13"/>
    </row>
    <row r="522" spans="2:5" x14ac:dyDescent="0.2">
      <c r="B522" t="s">
        <v>3554</v>
      </c>
      <c r="C522" t="s">
        <v>3555</v>
      </c>
      <c r="D522" s="13">
        <f>_xll.EditDistance($C$3,C522,2)</f>
        <v>20</v>
      </c>
      <c r="E522" s="13"/>
    </row>
    <row r="523" spans="2:5" x14ac:dyDescent="0.2">
      <c r="B523" t="s">
        <v>3636</v>
      </c>
      <c r="C523" t="s">
        <v>3637</v>
      </c>
      <c r="D523" s="13">
        <f>_xll.EditDistance($C$3,C523,2)</f>
        <v>30</v>
      </c>
      <c r="E523" s="13"/>
    </row>
    <row r="524" spans="2:5" x14ac:dyDescent="0.2">
      <c r="B524" t="s">
        <v>3652</v>
      </c>
      <c r="C524" t="s">
        <v>3654</v>
      </c>
      <c r="D524" s="13">
        <f>_xll.EditDistance($C$3,C524,2)</f>
        <v>10</v>
      </c>
      <c r="E524" s="13"/>
    </row>
    <row r="525" spans="2:5" x14ac:dyDescent="0.2">
      <c r="B525" t="s">
        <v>3661</v>
      </c>
      <c r="C525" t="s">
        <v>3662</v>
      </c>
      <c r="D525" s="13">
        <f>_xll.EditDistance($C$3,C525,2)</f>
        <v>10</v>
      </c>
      <c r="E525" s="13"/>
    </row>
    <row r="526" spans="2:5" x14ac:dyDescent="0.2">
      <c r="B526" t="s">
        <v>3700</v>
      </c>
      <c r="C526" t="s">
        <v>3701</v>
      </c>
      <c r="D526" s="13">
        <f>_xll.EditDistance($C$3,C526,2)</f>
        <v>10</v>
      </c>
      <c r="E526" s="13"/>
    </row>
    <row r="527" spans="2:5" x14ac:dyDescent="0.2">
      <c r="B527" t="s">
        <v>3756</v>
      </c>
      <c r="C527" t="s">
        <v>3757</v>
      </c>
      <c r="D527" s="13">
        <f>_xll.EditDistance($C$3,C527,2)</f>
        <v>10</v>
      </c>
      <c r="E527" s="13"/>
    </row>
    <row r="528" spans="2:5" x14ac:dyDescent="0.2">
      <c r="B528" t="s">
        <v>3784</v>
      </c>
      <c r="C528" t="s">
        <v>3785</v>
      </c>
      <c r="D528" s="13">
        <f>_xll.EditDistance($C$3,C528,2)</f>
        <v>10</v>
      </c>
      <c r="E528" s="13"/>
    </row>
    <row r="529" spans="2:5" x14ac:dyDescent="0.2">
      <c r="B529" t="s">
        <v>3800</v>
      </c>
      <c r="C529" t="s">
        <v>3801</v>
      </c>
      <c r="D529" s="13">
        <f>_xll.EditDistance($C$3,C529,2)</f>
        <v>10</v>
      </c>
      <c r="E529" s="13"/>
    </row>
    <row r="530" spans="2:5" x14ac:dyDescent="0.2">
      <c r="B530" t="s">
        <v>3827</v>
      </c>
      <c r="C530" t="s">
        <v>3828</v>
      </c>
      <c r="D530" s="13">
        <f>_xll.EditDistance($C$3,C530,2)</f>
        <v>10</v>
      </c>
      <c r="E530" s="13"/>
    </row>
    <row r="531" spans="2:5" x14ac:dyDescent="0.2">
      <c r="B531" t="s">
        <v>3841</v>
      </c>
      <c r="C531" t="s">
        <v>3843</v>
      </c>
      <c r="D531" s="13">
        <f>_xll.EditDistance($C$3,C531,2)</f>
        <v>10</v>
      </c>
      <c r="E531" s="13"/>
    </row>
    <row r="532" spans="2:5" x14ac:dyDescent="0.2">
      <c r="B532" t="s">
        <v>3850</v>
      </c>
      <c r="C532" t="s">
        <v>3851</v>
      </c>
      <c r="D532" s="13">
        <f>_xll.EditDistance($C$3,C532,2)</f>
        <v>10</v>
      </c>
      <c r="E532" s="13"/>
    </row>
    <row r="533" spans="2:5" x14ac:dyDescent="0.2">
      <c r="B533" t="s">
        <v>3955</v>
      </c>
      <c r="C533" t="s">
        <v>3956</v>
      </c>
      <c r="D533" s="13">
        <f>_xll.EditDistance($C$3,C533,2)</f>
        <v>10</v>
      </c>
      <c r="E533" s="13"/>
    </row>
    <row r="534" spans="2:5" x14ac:dyDescent="0.2">
      <c r="B534" t="s">
        <v>4053</v>
      </c>
      <c r="C534" t="s">
        <v>4054</v>
      </c>
      <c r="D534" s="13">
        <f>_xll.EditDistance($C$3,C534,2)</f>
        <v>20</v>
      </c>
      <c r="E534" s="13"/>
    </row>
    <row r="535" spans="2:5" x14ac:dyDescent="0.2">
      <c r="B535" t="s">
        <v>4065</v>
      </c>
      <c r="C535" t="s">
        <v>4066</v>
      </c>
      <c r="D535" s="13">
        <f>_xll.EditDistance($C$3,C535,2)</f>
        <v>10</v>
      </c>
      <c r="E535" s="13"/>
    </row>
    <row r="536" spans="2:5" x14ac:dyDescent="0.2">
      <c r="B536" t="s">
        <v>4081</v>
      </c>
      <c r="C536" t="s">
        <v>4082</v>
      </c>
      <c r="D536" s="13">
        <f>_xll.EditDistance($C$3,C536,2)</f>
        <v>10</v>
      </c>
      <c r="E536" s="13"/>
    </row>
    <row r="537" spans="2:5" x14ac:dyDescent="0.2">
      <c r="B537" t="s">
        <v>4122</v>
      </c>
      <c r="C537" t="s">
        <v>4123</v>
      </c>
      <c r="D537" s="13">
        <f>_xll.EditDistance($C$3,C537,2)</f>
        <v>10</v>
      </c>
      <c r="E537" s="13"/>
    </row>
    <row r="538" spans="2:5" x14ac:dyDescent="0.2">
      <c r="B538" t="s">
        <v>4130</v>
      </c>
      <c r="C538" t="s">
        <v>4131</v>
      </c>
      <c r="D538" s="13">
        <f>_xll.EditDistance($C$3,C538,2)</f>
        <v>10</v>
      </c>
      <c r="E538" s="13"/>
    </row>
    <row r="539" spans="2:5" x14ac:dyDescent="0.2">
      <c r="B539" t="s">
        <v>4142</v>
      </c>
      <c r="C539" t="s">
        <v>4143</v>
      </c>
      <c r="D539" s="13">
        <f>_xll.EditDistance($C$3,C539,2)</f>
        <v>10</v>
      </c>
      <c r="E539" s="13"/>
    </row>
    <row r="540" spans="2:5" x14ac:dyDescent="0.2">
      <c r="B540" t="s">
        <v>4193</v>
      </c>
      <c r="C540" t="s">
        <v>4194</v>
      </c>
      <c r="D540" s="13">
        <f>_xll.EditDistance($C$3,C540,2)</f>
        <v>10</v>
      </c>
      <c r="E540" s="13"/>
    </row>
    <row r="541" spans="2:5" x14ac:dyDescent="0.2">
      <c r="B541" t="s">
        <v>4199</v>
      </c>
      <c r="C541" t="s">
        <v>4200</v>
      </c>
      <c r="D541" s="13">
        <f>_xll.EditDistance($C$3,C541,2)</f>
        <v>10</v>
      </c>
      <c r="E541" s="13"/>
    </row>
    <row r="542" spans="2:5" x14ac:dyDescent="0.2">
      <c r="B542" t="s">
        <v>4225</v>
      </c>
      <c r="C542" t="s">
        <v>4226</v>
      </c>
      <c r="D542" s="13">
        <f>_xll.EditDistance($C$3,C542,2)</f>
        <v>10</v>
      </c>
      <c r="E542" s="13"/>
    </row>
    <row r="543" spans="2:5" x14ac:dyDescent="0.2">
      <c r="B543" t="s">
        <v>4260</v>
      </c>
      <c r="C543" t="s">
        <v>4261</v>
      </c>
      <c r="D543" s="13">
        <f>_xll.EditDistance($C$3,C543,2)</f>
        <v>10</v>
      </c>
      <c r="E543" s="13"/>
    </row>
    <row r="544" spans="2:5" x14ac:dyDescent="0.2">
      <c r="B544" t="s">
        <v>4273</v>
      </c>
      <c r="C544" t="s">
        <v>4274</v>
      </c>
      <c r="D544" s="13">
        <f>_xll.EditDistance($C$3,C544,2)</f>
        <v>10</v>
      </c>
      <c r="E544" s="13"/>
    </row>
    <row r="545" spans="2:5" x14ac:dyDescent="0.2">
      <c r="B545" t="s">
        <v>4355</v>
      </c>
      <c r="C545" t="s">
        <v>4356</v>
      </c>
      <c r="D545" s="13">
        <f>_xll.EditDistance($C$3,C545,2)</f>
        <v>10</v>
      </c>
      <c r="E545" s="13"/>
    </row>
    <row r="546" spans="2:5" x14ac:dyDescent="0.2">
      <c r="B546" t="s">
        <v>4414</v>
      </c>
      <c r="C546" t="s">
        <v>4415</v>
      </c>
      <c r="D546" s="13">
        <f>_xll.EditDistance($C$3,C546,2)</f>
        <v>10</v>
      </c>
      <c r="E546" s="13"/>
    </row>
    <row r="547" spans="2:5" x14ac:dyDescent="0.2">
      <c r="B547" t="s">
        <v>4456</v>
      </c>
      <c r="C547" t="s">
        <v>4457</v>
      </c>
      <c r="D547" s="13">
        <f>_xll.EditDistance($C$3,C547,2)</f>
        <v>10</v>
      </c>
      <c r="E547" s="13"/>
    </row>
    <row r="548" spans="2:5" x14ac:dyDescent="0.2">
      <c r="B548" t="s">
        <v>4550</v>
      </c>
      <c r="C548" t="s">
        <v>4551</v>
      </c>
      <c r="D548" s="13">
        <f>_xll.EditDistance($C$3,C548,2)</f>
        <v>10</v>
      </c>
      <c r="E548" s="13"/>
    </row>
    <row r="549" spans="2:5" x14ac:dyDescent="0.2">
      <c r="B549" t="s">
        <v>4558</v>
      </c>
      <c r="C549" t="s">
        <v>4559</v>
      </c>
      <c r="D549" s="13">
        <f>_xll.EditDistance($C$3,C549,2)</f>
        <v>10</v>
      </c>
      <c r="E549" s="13"/>
    </row>
    <row r="550" spans="2:5" x14ac:dyDescent="0.2">
      <c r="B550" t="s">
        <v>4666</v>
      </c>
      <c r="C550" t="s">
        <v>4667</v>
      </c>
      <c r="D550" s="13">
        <f>_xll.EditDistance($C$3,C550,2)</f>
        <v>10</v>
      </c>
      <c r="E550" s="13"/>
    </row>
    <row r="551" spans="2:5" x14ac:dyDescent="0.2">
      <c r="B551" t="s">
        <v>4814</v>
      </c>
      <c r="C551" t="s">
        <v>4815</v>
      </c>
      <c r="D551" s="13">
        <f>_xll.EditDistance($C$3,C551,2)</f>
        <v>10</v>
      </c>
      <c r="E551" s="13"/>
    </row>
    <row r="552" spans="2:5" x14ac:dyDescent="0.2">
      <c r="B552" t="s">
        <v>4938</v>
      </c>
      <c r="C552" t="s">
        <v>4939</v>
      </c>
      <c r="D552" s="13">
        <f>_xll.EditDistance($C$3,C552,2)</f>
        <v>10</v>
      </c>
      <c r="E552" s="13"/>
    </row>
    <row r="553" spans="2:5" x14ac:dyDescent="0.2">
      <c r="B553" t="s">
        <v>4940</v>
      </c>
      <c r="C553" t="s">
        <v>4941</v>
      </c>
      <c r="D553" s="13">
        <f>_xll.EditDistance($C$3,C553,2)</f>
        <v>10</v>
      </c>
      <c r="E553" s="13"/>
    </row>
    <row r="554" spans="2:5" x14ac:dyDescent="0.2">
      <c r="B554" t="s">
        <v>4964</v>
      </c>
      <c r="C554" t="s">
        <v>4965</v>
      </c>
      <c r="D554" s="13">
        <f>_xll.EditDistance($C$3,C554,2)</f>
        <v>10</v>
      </c>
      <c r="E554" s="13"/>
    </row>
    <row r="555" spans="2:5" x14ac:dyDescent="0.2">
      <c r="B555" t="s">
        <v>4964</v>
      </c>
      <c r="C555" t="s">
        <v>4966</v>
      </c>
      <c r="D555" s="13">
        <f>_xll.EditDistance($C$3,C555,2)</f>
        <v>10</v>
      </c>
      <c r="E555" s="13"/>
    </row>
    <row r="556" spans="2:5" x14ac:dyDescent="0.2">
      <c r="B556" t="s">
        <v>4993</v>
      </c>
      <c r="C556" t="s">
        <v>4994</v>
      </c>
      <c r="D556" s="13">
        <f>_xll.EditDistance($C$3,C556,2)</f>
        <v>10</v>
      </c>
      <c r="E556" s="13"/>
    </row>
    <row r="557" spans="2:5" x14ac:dyDescent="0.2">
      <c r="B557" t="s">
        <v>5062</v>
      </c>
      <c r="C557" t="s">
        <v>5063</v>
      </c>
      <c r="D557" s="13">
        <f>_xll.EditDistance($C$3,C557,2)</f>
        <v>10</v>
      </c>
      <c r="E557" s="13"/>
    </row>
    <row r="558" spans="2:5" x14ac:dyDescent="0.2">
      <c r="B558" t="s">
        <v>5093</v>
      </c>
      <c r="C558" t="s">
        <v>5094</v>
      </c>
      <c r="D558" s="13">
        <f>_xll.EditDistance($C$3,C558,2)</f>
        <v>10</v>
      </c>
      <c r="E558" s="13"/>
    </row>
    <row r="559" spans="2:5" x14ac:dyDescent="0.2">
      <c r="B559" t="s">
        <v>5121</v>
      </c>
      <c r="C559" t="s">
        <v>5122</v>
      </c>
      <c r="D559" s="13">
        <f>_xll.EditDistance($C$3,C559,2)</f>
        <v>10</v>
      </c>
      <c r="E559" s="13"/>
    </row>
    <row r="560" spans="2:5" x14ac:dyDescent="0.2">
      <c r="B560" t="s">
        <v>5121</v>
      </c>
      <c r="C560" t="s">
        <v>5123</v>
      </c>
      <c r="D560" s="13">
        <f>_xll.EditDistance($C$3,C560,2)</f>
        <v>10</v>
      </c>
      <c r="E560" s="13"/>
    </row>
    <row r="561" spans="2:5" x14ac:dyDescent="0.2">
      <c r="B561" t="s">
        <v>5160</v>
      </c>
      <c r="C561" t="s">
        <v>5161</v>
      </c>
      <c r="D561" s="13">
        <f>_xll.EditDistance($C$3,C561,2)</f>
        <v>10</v>
      </c>
      <c r="E561" s="13"/>
    </row>
    <row r="562" spans="2:5" x14ac:dyDescent="0.2">
      <c r="B562" t="s">
        <v>5195</v>
      </c>
      <c r="C562" t="s">
        <v>5196</v>
      </c>
      <c r="D562" s="13">
        <f>_xll.EditDistance($C$3,C562,2)</f>
        <v>10</v>
      </c>
      <c r="E562" s="13"/>
    </row>
    <row r="563" spans="2:5" x14ac:dyDescent="0.2">
      <c r="B563" t="s">
        <v>5235</v>
      </c>
      <c r="C563" t="s">
        <v>5236</v>
      </c>
      <c r="D563" s="13">
        <f>_xll.EditDistance($C$3,C563,2)</f>
        <v>10</v>
      </c>
      <c r="E563" s="13"/>
    </row>
    <row r="564" spans="2:5" x14ac:dyDescent="0.2">
      <c r="B564" t="s">
        <v>5251</v>
      </c>
      <c r="C564" t="s">
        <v>5252</v>
      </c>
      <c r="D564" s="13">
        <f>_xll.EditDistance($C$3,C564,2)</f>
        <v>10</v>
      </c>
      <c r="E564" s="13"/>
    </row>
    <row r="565" spans="2:5" x14ac:dyDescent="0.2">
      <c r="B565" t="s">
        <v>5277</v>
      </c>
      <c r="C565" t="s">
        <v>5278</v>
      </c>
      <c r="D565" s="13">
        <f>_xll.EditDistance($C$3,C565,2)</f>
        <v>10</v>
      </c>
      <c r="E565" s="13"/>
    </row>
    <row r="566" spans="2:5" x14ac:dyDescent="0.2">
      <c r="B566" t="s">
        <v>5297</v>
      </c>
      <c r="C566" t="s">
        <v>5298</v>
      </c>
      <c r="D566" s="13">
        <f>_xll.EditDistance($C$3,C566,2)</f>
        <v>10</v>
      </c>
      <c r="E566" s="13"/>
    </row>
    <row r="567" spans="2:5" x14ac:dyDescent="0.2">
      <c r="B567" t="s">
        <v>5322</v>
      </c>
      <c r="C567" t="s">
        <v>5323</v>
      </c>
      <c r="D567" s="13">
        <f>_xll.EditDistance($C$3,C567,2)</f>
        <v>10</v>
      </c>
      <c r="E567" s="13"/>
    </row>
    <row r="568" spans="2:5" x14ac:dyDescent="0.2">
      <c r="B568" t="s">
        <v>5330</v>
      </c>
      <c r="C568" t="s">
        <v>5331</v>
      </c>
      <c r="D568" s="13">
        <f>_xll.EditDistance($C$3,C568,2)</f>
        <v>10</v>
      </c>
      <c r="E568" s="13"/>
    </row>
    <row r="569" spans="2:5" x14ac:dyDescent="0.2">
      <c r="B569" t="s">
        <v>5408</v>
      </c>
      <c r="C569" t="s">
        <v>5409</v>
      </c>
      <c r="D569" s="13">
        <f>_xll.EditDistance($C$3,C569,2)</f>
        <v>10</v>
      </c>
      <c r="E569" s="13"/>
    </row>
    <row r="570" spans="2:5" x14ac:dyDescent="0.2">
      <c r="B570" t="s">
        <v>5417</v>
      </c>
      <c r="C570" t="s">
        <v>5418</v>
      </c>
      <c r="D570" s="13">
        <f>_xll.EditDistance($C$3,C570,2)</f>
        <v>10</v>
      </c>
      <c r="E570" s="13"/>
    </row>
    <row r="571" spans="2:5" x14ac:dyDescent="0.2">
      <c r="B571" t="s">
        <v>5469</v>
      </c>
      <c r="C571" t="s">
        <v>5470</v>
      </c>
      <c r="D571" s="13">
        <f>_xll.EditDistance($C$3,C571,2)</f>
        <v>10</v>
      </c>
      <c r="E571" s="13"/>
    </row>
    <row r="572" spans="2:5" x14ac:dyDescent="0.2">
      <c r="B572" t="s">
        <v>5473</v>
      </c>
      <c r="C572" t="s">
        <v>5474</v>
      </c>
      <c r="D572" s="13">
        <f>_xll.EditDistance($C$3,C572,2)</f>
        <v>10</v>
      </c>
      <c r="E572" s="13"/>
    </row>
    <row r="573" spans="2:5" x14ac:dyDescent="0.2">
      <c r="B573" t="s">
        <v>5491</v>
      </c>
      <c r="C573" t="s">
        <v>5492</v>
      </c>
      <c r="D573" s="13">
        <f>_xll.EditDistance($C$3,C573,2)</f>
        <v>20</v>
      </c>
      <c r="E573" s="13"/>
    </row>
    <row r="574" spans="2:5" x14ac:dyDescent="0.2">
      <c r="B574" t="s">
        <v>5521</v>
      </c>
      <c r="C574" t="s">
        <v>5522</v>
      </c>
      <c r="D574" s="13">
        <f>_xll.EditDistance($C$3,C574,2)</f>
        <v>10</v>
      </c>
      <c r="E574" s="13"/>
    </row>
    <row r="575" spans="2:5" x14ac:dyDescent="0.2">
      <c r="B575" t="s">
        <v>5535</v>
      </c>
      <c r="C575" t="s">
        <v>5536</v>
      </c>
      <c r="D575" s="13">
        <f>_xll.EditDistance($C$3,C575,2)</f>
        <v>10</v>
      </c>
      <c r="E575" s="13"/>
    </row>
    <row r="576" spans="2:5" x14ac:dyDescent="0.2">
      <c r="B576" t="s">
        <v>5690</v>
      </c>
      <c r="C576" t="s">
        <v>5691</v>
      </c>
      <c r="D576" s="13">
        <f>_xll.EditDistance($C$3,C576,2)</f>
        <v>10</v>
      </c>
      <c r="E576" s="13"/>
    </row>
    <row r="577" spans="2:5" x14ac:dyDescent="0.2">
      <c r="B577" t="s">
        <v>5698</v>
      </c>
      <c r="C577" t="s">
        <v>5699</v>
      </c>
      <c r="D577" s="13">
        <f>_xll.EditDistance($C$3,C577,2)</f>
        <v>10</v>
      </c>
      <c r="E577" s="13"/>
    </row>
    <row r="578" spans="2:5" x14ac:dyDescent="0.2">
      <c r="B578" t="s">
        <v>5719</v>
      </c>
      <c r="C578" t="s">
        <v>5720</v>
      </c>
      <c r="D578" s="13">
        <f>_xll.EditDistance($C$3,C578,2)</f>
        <v>10</v>
      </c>
      <c r="E578" s="13"/>
    </row>
    <row r="579" spans="2:5" x14ac:dyDescent="0.2">
      <c r="B579" t="s">
        <v>5719</v>
      </c>
      <c r="C579" t="s">
        <v>5721</v>
      </c>
      <c r="D579" s="13">
        <f>_xll.EditDistance($C$3,C579,2)</f>
        <v>10</v>
      </c>
      <c r="E579" s="13"/>
    </row>
    <row r="580" spans="2:5" x14ac:dyDescent="0.2">
      <c r="B580" t="s">
        <v>5722</v>
      </c>
      <c r="C580" t="s">
        <v>5723</v>
      </c>
      <c r="D580" s="13">
        <f>_xll.EditDistance($C$3,C580,2)</f>
        <v>10</v>
      </c>
      <c r="E580" s="13"/>
    </row>
    <row r="581" spans="2:5" x14ac:dyDescent="0.2">
      <c r="B581" t="s">
        <v>5779</v>
      </c>
      <c r="C581" t="s">
        <v>5780</v>
      </c>
      <c r="D581" s="13">
        <f>_xll.EditDistance($C$3,C581,2)</f>
        <v>10</v>
      </c>
      <c r="E581" s="13"/>
    </row>
    <row r="582" spans="2:5" x14ac:dyDescent="0.2">
      <c r="B582" t="s">
        <v>5792</v>
      </c>
      <c r="C582" t="s">
        <v>5793</v>
      </c>
      <c r="D582" s="13">
        <f>_xll.EditDistance($C$3,C582,2)</f>
        <v>10</v>
      </c>
      <c r="E582" s="13"/>
    </row>
    <row r="583" spans="2:5" x14ac:dyDescent="0.2">
      <c r="B583" t="s">
        <v>5808</v>
      </c>
      <c r="C583" t="s">
        <v>5809</v>
      </c>
      <c r="D583" s="13">
        <f>_xll.EditDistance($C$3,C583,2)</f>
        <v>10</v>
      </c>
      <c r="E583" s="13"/>
    </row>
    <row r="584" spans="2:5" x14ac:dyDescent="0.2">
      <c r="B584" t="s">
        <v>5860</v>
      </c>
      <c r="C584" t="s">
        <v>5861</v>
      </c>
      <c r="D584" s="13">
        <f>_xll.EditDistance($C$3,C584,2)</f>
        <v>10</v>
      </c>
      <c r="E584" s="13"/>
    </row>
    <row r="585" spans="2:5" x14ac:dyDescent="0.2">
      <c r="B585" t="s">
        <v>5870</v>
      </c>
      <c r="C585" t="s">
        <v>5871</v>
      </c>
      <c r="D585" s="13">
        <f>_xll.EditDistance($C$3,C585,2)</f>
        <v>10</v>
      </c>
      <c r="E585" s="13"/>
    </row>
    <row r="586" spans="2:5" x14ac:dyDescent="0.2">
      <c r="B586" t="s">
        <v>5891</v>
      </c>
      <c r="C586" t="s">
        <v>5893</v>
      </c>
      <c r="D586" s="13">
        <f>_xll.EditDistance($C$3,C586,2)</f>
        <v>10</v>
      </c>
      <c r="E586" s="13"/>
    </row>
    <row r="587" spans="2:5" x14ac:dyDescent="0.2">
      <c r="B587" t="s">
        <v>5918</v>
      </c>
      <c r="C587" t="s">
        <v>5920</v>
      </c>
      <c r="D587" s="13">
        <f>_xll.EditDistance($C$3,C587,2)</f>
        <v>20</v>
      </c>
      <c r="E587" s="13"/>
    </row>
    <row r="588" spans="2:5" x14ac:dyDescent="0.2">
      <c r="B588" t="s">
        <v>5973</v>
      </c>
      <c r="C588" t="s">
        <v>5974</v>
      </c>
      <c r="D588" s="13">
        <f>_xll.EditDistance($C$3,C588,2)</f>
        <v>10</v>
      </c>
      <c r="E588" s="13"/>
    </row>
    <row r="589" spans="2:5" x14ac:dyDescent="0.2">
      <c r="B589" t="s">
        <v>5979</v>
      </c>
      <c r="C589" t="s">
        <v>5980</v>
      </c>
      <c r="D589" s="13">
        <f>_xll.EditDistance($C$3,C589,2)</f>
        <v>20</v>
      </c>
      <c r="E589" s="13"/>
    </row>
    <row r="590" spans="2:5" x14ac:dyDescent="0.2">
      <c r="B590" t="s">
        <v>5987</v>
      </c>
      <c r="C590" t="s">
        <v>5989</v>
      </c>
      <c r="D590" s="13">
        <f>_xll.EditDistance($C$3,C590,2)</f>
        <v>10</v>
      </c>
      <c r="E590" s="13"/>
    </row>
    <row r="591" spans="2:5" x14ac:dyDescent="0.2">
      <c r="B591" t="s">
        <v>6043</v>
      </c>
      <c r="C591" t="s">
        <v>6044</v>
      </c>
      <c r="D591" s="13">
        <f>_xll.EditDistance($C$3,C591,2)</f>
        <v>10</v>
      </c>
      <c r="E591" s="13"/>
    </row>
    <row r="592" spans="2:5" x14ac:dyDescent="0.2">
      <c r="B592" t="s">
        <v>6067</v>
      </c>
      <c r="C592" t="s">
        <v>6068</v>
      </c>
      <c r="D592" s="13">
        <f>_xll.EditDistance($C$3,C592,2)</f>
        <v>10</v>
      </c>
      <c r="E592" s="13"/>
    </row>
    <row r="593" spans="2:5" x14ac:dyDescent="0.2">
      <c r="B593" t="s">
        <v>6089</v>
      </c>
      <c r="C593" t="s">
        <v>6091</v>
      </c>
      <c r="D593" s="13">
        <f>_xll.EditDistance($C$3,C593,2)</f>
        <v>10</v>
      </c>
      <c r="E593" s="13"/>
    </row>
    <row r="594" spans="2:5" x14ac:dyDescent="0.2">
      <c r="B594" t="s">
        <v>6098</v>
      </c>
      <c r="C594" t="s">
        <v>6099</v>
      </c>
      <c r="D594" s="13">
        <f>_xll.EditDistance($C$3,C594,2)</f>
        <v>10</v>
      </c>
      <c r="E594" s="13"/>
    </row>
    <row r="595" spans="2:5" x14ac:dyDescent="0.2">
      <c r="B595" t="s">
        <v>6115</v>
      </c>
      <c r="C595" t="s">
        <v>6116</v>
      </c>
      <c r="D595" s="13">
        <f>_xll.EditDistance($C$3,C595,2)</f>
        <v>10</v>
      </c>
      <c r="E595" s="13"/>
    </row>
    <row r="596" spans="2:5" x14ac:dyDescent="0.2">
      <c r="B596" t="s">
        <v>6119</v>
      </c>
      <c r="C596" t="s">
        <v>6120</v>
      </c>
      <c r="D596" s="13">
        <f>_xll.EditDistance($C$3,C596,2)</f>
        <v>10</v>
      </c>
      <c r="E596" s="13"/>
    </row>
    <row r="597" spans="2:5" x14ac:dyDescent="0.2">
      <c r="B597" t="s">
        <v>6268</v>
      </c>
      <c r="C597" t="s">
        <v>6269</v>
      </c>
      <c r="D597" s="13">
        <f>_xll.EditDistance($C$3,C597,2)</f>
        <v>10</v>
      </c>
      <c r="E597" s="13"/>
    </row>
    <row r="598" spans="2:5" x14ac:dyDescent="0.2">
      <c r="B598" t="s">
        <v>6316</v>
      </c>
      <c r="C598" t="s">
        <v>6317</v>
      </c>
      <c r="D598" s="13">
        <f>_xll.EditDistance($C$3,C598,2)</f>
        <v>10</v>
      </c>
      <c r="E598" s="13"/>
    </row>
    <row r="599" spans="2:5" x14ac:dyDescent="0.2">
      <c r="B599" t="s">
        <v>6336</v>
      </c>
      <c r="C599" t="s">
        <v>6337</v>
      </c>
      <c r="D599" s="13">
        <f>_xll.EditDistance($C$3,C599,2)</f>
        <v>10</v>
      </c>
      <c r="E599" s="13"/>
    </row>
    <row r="600" spans="2:5" x14ac:dyDescent="0.2">
      <c r="B600" t="s">
        <v>6347</v>
      </c>
      <c r="C600" t="s">
        <v>6348</v>
      </c>
      <c r="D600" s="13">
        <f>_xll.EditDistance($C$3,C600,2)</f>
        <v>10</v>
      </c>
      <c r="E600" s="13"/>
    </row>
    <row r="601" spans="2:5" x14ac:dyDescent="0.2">
      <c r="B601" t="s">
        <v>6388</v>
      </c>
      <c r="C601" t="s">
        <v>6389</v>
      </c>
      <c r="D601" s="13">
        <f>_xll.EditDistance($C$3,C601,2)</f>
        <v>10</v>
      </c>
      <c r="E601" s="13"/>
    </row>
    <row r="602" spans="2:5" x14ac:dyDescent="0.2">
      <c r="B602" t="s">
        <v>6390</v>
      </c>
      <c r="C602" t="s">
        <v>6391</v>
      </c>
      <c r="D602" s="13">
        <f>_xll.EditDistance($C$3,C602,2)</f>
        <v>54</v>
      </c>
      <c r="E602" s="13"/>
    </row>
    <row r="603" spans="2:5" x14ac:dyDescent="0.2">
      <c r="B603" t="s">
        <v>6413</v>
      </c>
      <c r="C603" t="s">
        <v>6414</v>
      </c>
      <c r="D603" s="13">
        <f>_xll.EditDistance($C$3,C603,2)</f>
        <v>30</v>
      </c>
      <c r="E603" s="13"/>
    </row>
    <row r="604" spans="2:5" x14ac:dyDescent="0.2">
      <c r="B604" t="s">
        <v>6415</v>
      </c>
      <c r="C604" t="s">
        <v>6416</v>
      </c>
      <c r="D604" s="13">
        <f>_xll.EditDistance($C$3,C604,2)</f>
        <v>10</v>
      </c>
      <c r="E604" s="13"/>
    </row>
    <row r="605" spans="2:5" x14ac:dyDescent="0.2">
      <c r="B605" t="s">
        <v>6427</v>
      </c>
      <c r="C605" t="s">
        <v>6429</v>
      </c>
      <c r="D605" s="13">
        <f>_xll.EditDistance($C$3,C605,2)</f>
        <v>10</v>
      </c>
      <c r="E605" s="13"/>
    </row>
    <row r="606" spans="2:5" x14ac:dyDescent="0.2">
      <c r="B606" t="s">
        <v>6442</v>
      </c>
      <c r="C606" t="s">
        <v>6443</v>
      </c>
      <c r="D606" s="13">
        <f>_xll.EditDistance($C$3,C606,2)</f>
        <v>10</v>
      </c>
      <c r="E606" s="13"/>
    </row>
    <row r="607" spans="2:5" x14ac:dyDescent="0.2">
      <c r="B607" t="s">
        <v>6576</v>
      </c>
      <c r="C607" t="s">
        <v>6577</v>
      </c>
      <c r="D607" s="13">
        <f>_xll.EditDistance($C$3,C607,2)</f>
        <v>10</v>
      </c>
      <c r="E607" s="13"/>
    </row>
    <row r="608" spans="2:5" x14ac:dyDescent="0.2">
      <c r="B608" t="s">
        <v>6638</v>
      </c>
      <c r="C608" t="s">
        <v>6639</v>
      </c>
      <c r="D608" s="13">
        <f>_xll.EditDistance($C$3,C608,2)</f>
        <v>10</v>
      </c>
      <c r="E608" s="13"/>
    </row>
    <row r="609" spans="2:5" x14ac:dyDescent="0.2">
      <c r="B609" t="s">
        <v>6679</v>
      </c>
      <c r="C609" t="s">
        <v>6680</v>
      </c>
      <c r="D609" s="13">
        <f>_xll.EditDistance($C$3,C609,2)</f>
        <v>20</v>
      </c>
      <c r="E609" s="13"/>
    </row>
    <row r="610" spans="2:5" x14ac:dyDescent="0.2">
      <c r="B610" t="s">
        <v>6693</v>
      </c>
      <c r="C610" t="s">
        <v>6694</v>
      </c>
      <c r="D610" s="13">
        <f>_xll.EditDistance($C$3,C610,2)</f>
        <v>10</v>
      </c>
      <c r="E610" s="13"/>
    </row>
    <row r="611" spans="2:5" x14ac:dyDescent="0.2">
      <c r="B611" t="s">
        <v>6705</v>
      </c>
      <c r="C611" t="s">
        <v>6706</v>
      </c>
      <c r="D611" s="13">
        <f>_xll.EditDistance($C$3,C611,2)</f>
        <v>10</v>
      </c>
      <c r="E611" s="13"/>
    </row>
    <row r="612" spans="2:5" x14ac:dyDescent="0.2">
      <c r="B612" t="s">
        <v>6715</v>
      </c>
      <c r="C612" t="s">
        <v>6716</v>
      </c>
      <c r="D612" s="13">
        <f>_xll.EditDistance($C$3,C612,2)</f>
        <v>10</v>
      </c>
      <c r="E612" s="13"/>
    </row>
    <row r="613" spans="2:5" x14ac:dyDescent="0.2">
      <c r="B613" t="s">
        <v>6788</v>
      </c>
      <c r="C613" t="s">
        <v>6789</v>
      </c>
      <c r="D613" s="13">
        <f>_xll.EditDistance($C$3,C613,2)</f>
        <v>10</v>
      </c>
      <c r="E613" s="13"/>
    </row>
    <row r="614" spans="2:5" x14ac:dyDescent="0.2">
      <c r="B614" t="s">
        <v>6832</v>
      </c>
      <c r="C614" t="s">
        <v>6834</v>
      </c>
      <c r="D614" s="13">
        <f>_xll.EditDistance($C$3,C614,2)</f>
        <v>10</v>
      </c>
      <c r="E614" s="13"/>
    </row>
    <row r="615" spans="2:5" x14ac:dyDescent="0.2">
      <c r="B615" t="s">
        <v>6893</v>
      </c>
      <c r="C615" t="s">
        <v>6894</v>
      </c>
      <c r="D615" s="13">
        <f>_xll.EditDistance($C$3,C615,2)</f>
        <v>10</v>
      </c>
      <c r="E615" s="13"/>
    </row>
    <row r="616" spans="2:5" x14ac:dyDescent="0.2">
      <c r="B616" t="s">
        <v>6932</v>
      </c>
      <c r="C616" t="s">
        <v>6933</v>
      </c>
      <c r="D616" s="13">
        <f>_xll.EditDistance($C$3,C616,2)</f>
        <v>10</v>
      </c>
      <c r="E616" s="13"/>
    </row>
    <row r="617" spans="2:5" x14ac:dyDescent="0.2">
      <c r="B617" t="s">
        <v>6943</v>
      </c>
      <c r="C617" t="s">
        <v>6944</v>
      </c>
      <c r="D617" s="13">
        <f>_xll.EditDistance($C$3,C617,2)</f>
        <v>20</v>
      </c>
      <c r="E617" s="13"/>
    </row>
    <row r="618" spans="2:5" x14ac:dyDescent="0.2">
      <c r="B618" t="s">
        <v>7004</v>
      </c>
      <c r="C618" t="s">
        <v>7005</v>
      </c>
      <c r="D618" s="13">
        <f>_xll.EditDistance($C$3,C618,2)</f>
        <v>10</v>
      </c>
      <c r="E618" s="13"/>
    </row>
    <row r="619" spans="2:5" x14ac:dyDescent="0.2">
      <c r="B619" t="s">
        <v>7036</v>
      </c>
      <c r="C619" t="s">
        <v>7037</v>
      </c>
      <c r="D619" s="13">
        <f>_xll.EditDistance($C$3,C619,2)</f>
        <v>10</v>
      </c>
      <c r="E619" s="13"/>
    </row>
    <row r="620" spans="2:5" x14ac:dyDescent="0.2">
      <c r="B620" t="s">
        <v>7077</v>
      </c>
      <c r="C620" t="s">
        <v>7078</v>
      </c>
      <c r="D620" s="13">
        <f>_xll.EditDistance($C$3,C620,2)</f>
        <v>10</v>
      </c>
      <c r="E620" s="13"/>
    </row>
    <row r="621" spans="2:5" x14ac:dyDescent="0.2">
      <c r="B621" t="s">
        <v>7090</v>
      </c>
      <c r="C621" t="s">
        <v>7091</v>
      </c>
      <c r="D621" s="13">
        <f>_xll.EditDistance($C$3,C621,2)</f>
        <v>10</v>
      </c>
      <c r="E621" s="13"/>
    </row>
    <row r="622" spans="2:5" x14ac:dyDescent="0.2">
      <c r="B622" t="s">
        <v>7131</v>
      </c>
      <c r="C622" t="s">
        <v>7132</v>
      </c>
      <c r="D622" s="13">
        <f>_xll.EditDistance($C$3,C622,2)</f>
        <v>10</v>
      </c>
      <c r="E622" s="13"/>
    </row>
    <row r="623" spans="2:5" x14ac:dyDescent="0.2">
      <c r="B623" t="s">
        <v>7143</v>
      </c>
      <c r="C623" t="s">
        <v>7144</v>
      </c>
      <c r="D623" s="13">
        <f>_xll.EditDistance($C$3,C623,2)</f>
        <v>10</v>
      </c>
      <c r="E623" s="13"/>
    </row>
    <row r="624" spans="2:5" x14ac:dyDescent="0.2">
      <c r="B624" t="s">
        <v>7145</v>
      </c>
      <c r="C624" t="s">
        <v>7146</v>
      </c>
      <c r="D624" s="13">
        <f>_xll.EditDistance($C$3,C624,2)</f>
        <v>10</v>
      </c>
      <c r="E624" s="13"/>
    </row>
    <row r="625" spans="2:5" x14ac:dyDescent="0.2">
      <c r="B625" t="s">
        <v>7153</v>
      </c>
      <c r="C625" t="s">
        <v>7154</v>
      </c>
      <c r="D625" s="13">
        <f>_xll.EditDistance($C$3,C625,2)</f>
        <v>10</v>
      </c>
      <c r="E625" s="13"/>
    </row>
    <row r="626" spans="2:5" x14ac:dyDescent="0.2">
      <c r="B626" t="s">
        <v>7271</v>
      </c>
      <c r="C626" t="s">
        <v>7272</v>
      </c>
      <c r="D626" s="13">
        <f>_xll.EditDistance($C$3,C626,2)</f>
        <v>10</v>
      </c>
      <c r="E626" s="13"/>
    </row>
    <row r="627" spans="2:5" x14ac:dyDescent="0.2">
      <c r="B627" t="s">
        <v>7277</v>
      </c>
      <c r="C627" t="s">
        <v>7278</v>
      </c>
      <c r="D627" s="13">
        <f>_xll.EditDistance($C$3,C627,2)</f>
        <v>10</v>
      </c>
      <c r="E627" s="13"/>
    </row>
    <row r="628" spans="2:5" x14ac:dyDescent="0.2">
      <c r="B628" t="s">
        <v>7281</v>
      </c>
      <c r="C628" t="s">
        <v>7282</v>
      </c>
      <c r="D628" s="13">
        <f>_xll.EditDistance($C$3,C628,2)</f>
        <v>10</v>
      </c>
      <c r="E628" s="13"/>
    </row>
    <row r="629" spans="2:5" x14ac:dyDescent="0.2">
      <c r="B629" t="s">
        <v>7334</v>
      </c>
      <c r="C629" t="s">
        <v>7335</v>
      </c>
      <c r="D629" s="13">
        <f>_xll.EditDistance($C$3,C629,2)</f>
        <v>10</v>
      </c>
      <c r="E629" s="13"/>
    </row>
    <row r="630" spans="2:5" x14ac:dyDescent="0.2">
      <c r="B630" t="s">
        <v>7510</v>
      </c>
      <c r="C630" t="s">
        <v>7511</v>
      </c>
      <c r="D630" s="13">
        <f>_xll.EditDistance($C$3,C630,2)</f>
        <v>10</v>
      </c>
      <c r="E630" s="13"/>
    </row>
    <row r="631" spans="2:5" x14ac:dyDescent="0.2">
      <c r="B631" t="s">
        <v>7573</v>
      </c>
      <c r="C631" t="s">
        <v>7574</v>
      </c>
      <c r="D631" s="13">
        <f>_xll.EditDistance($C$3,C631,2)</f>
        <v>10</v>
      </c>
      <c r="E631" s="13"/>
    </row>
    <row r="632" spans="2:5" x14ac:dyDescent="0.2">
      <c r="B632" t="s">
        <v>7617</v>
      </c>
      <c r="C632" t="s">
        <v>7618</v>
      </c>
      <c r="D632" s="13">
        <f>_xll.EditDistance($C$3,C632,2)</f>
        <v>20</v>
      </c>
      <c r="E632" s="13"/>
    </row>
    <row r="633" spans="2:5" x14ac:dyDescent="0.2">
      <c r="B633" t="s">
        <v>7650</v>
      </c>
      <c r="C633" t="s">
        <v>7651</v>
      </c>
      <c r="D633" s="13">
        <f>_xll.EditDistance($C$3,C633,2)</f>
        <v>20</v>
      </c>
      <c r="E633" s="13"/>
    </row>
    <row r="634" spans="2:5" x14ac:dyDescent="0.2">
      <c r="B634" t="s">
        <v>7720</v>
      </c>
      <c r="C634" t="s">
        <v>7721</v>
      </c>
      <c r="D634" s="13">
        <f>_xll.EditDistance($C$3,C634,2)</f>
        <v>10</v>
      </c>
      <c r="E634" s="13"/>
    </row>
    <row r="635" spans="2:5" x14ac:dyDescent="0.2">
      <c r="B635" t="s">
        <v>7762</v>
      </c>
      <c r="C635" t="s">
        <v>7763</v>
      </c>
      <c r="D635" s="13">
        <f>_xll.EditDistance($C$3,C635,2)</f>
        <v>10</v>
      </c>
      <c r="E635" s="13"/>
    </row>
    <row r="636" spans="2:5" x14ac:dyDescent="0.2">
      <c r="B636" t="s">
        <v>7766</v>
      </c>
      <c r="C636" t="s">
        <v>7767</v>
      </c>
      <c r="D636" s="13">
        <f>_xll.EditDistance($C$3,C636,2)</f>
        <v>10</v>
      </c>
      <c r="E636" s="13"/>
    </row>
    <row r="637" spans="2:5" x14ac:dyDescent="0.2">
      <c r="B637" t="s">
        <v>7822</v>
      </c>
      <c r="C637" t="s">
        <v>7823</v>
      </c>
      <c r="D637" s="13">
        <f>_xll.EditDistance($C$3,C637,2)</f>
        <v>10</v>
      </c>
      <c r="E637" s="13"/>
    </row>
    <row r="638" spans="2:5" x14ac:dyDescent="0.2">
      <c r="B638" t="s">
        <v>7852</v>
      </c>
      <c r="C638" t="s">
        <v>7853</v>
      </c>
      <c r="D638" s="13">
        <f>_xll.EditDistance($C$3,C638,2)</f>
        <v>10</v>
      </c>
      <c r="E638" s="13"/>
    </row>
    <row r="639" spans="2:5" x14ac:dyDescent="0.2">
      <c r="B639" t="s">
        <v>7871</v>
      </c>
      <c r="C639" t="s">
        <v>7872</v>
      </c>
      <c r="D639" s="13">
        <f>_xll.EditDistance($C$3,C639,2)</f>
        <v>10</v>
      </c>
      <c r="E639" s="13"/>
    </row>
    <row r="640" spans="2:5" x14ac:dyDescent="0.2">
      <c r="B640" t="s">
        <v>7881</v>
      </c>
      <c r="C640" t="s">
        <v>7882</v>
      </c>
      <c r="D640" s="13">
        <f>_xll.EditDistance($C$3,C640,2)</f>
        <v>20</v>
      </c>
      <c r="E640" s="13"/>
    </row>
    <row r="641" spans="2:5" x14ac:dyDescent="0.2">
      <c r="B641" t="s">
        <v>7897</v>
      </c>
      <c r="C641" t="s">
        <v>7898</v>
      </c>
      <c r="D641" s="13">
        <f>_xll.EditDistance($C$3,C641,2)</f>
        <v>10</v>
      </c>
      <c r="E641" s="13"/>
    </row>
    <row r="642" spans="2:5" x14ac:dyDescent="0.2">
      <c r="B642" t="s">
        <v>7948</v>
      </c>
      <c r="C642" t="s">
        <v>7949</v>
      </c>
      <c r="D642" s="13">
        <f>_xll.EditDistance($C$3,C642,2)</f>
        <v>18</v>
      </c>
      <c r="E642" s="13"/>
    </row>
    <row r="643" spans="2:5" x14ac:dyDescent="0.2">
      <c r="B643" t="s">
        <v>8039</v>
      </c>
      <c r="C643" t="s">
        <v>8040</v>
      </c>
      <c r="D643" s="13">
        <f>_xll.EditDistance($C$3,C643,2)</f>
        <v>10</v>
      </c>
      <c r="E643" s="13"/>
    </row>
    <row r="644" spans="2:5" x14ac:dyDescent="0.2">
      <c r="B644" t="s">
        <v>8044</v>
      </c>
      <c r="C644" t="s">
        <v>8045</v>
      </c>
      <c r="D644" s="13">
        <f>_xll.EditDistance($C$3,C644,2)</f>
        <v>10</v>
      </c>
      <c r="E644" s="13"/>
    </row>
    <row r="645" spans="2:5" x14ac:dyDescent="0.2">
      <c r="B645" t="s">
        <v>8066</v>
      </c>
      <c r="C645" t="s">
        <v>8067</v>
      </c>
      <c r="D645" s="13">
        <f>_xll.EditDistance($C$3,C645,2)</f>
        <v>10</v>
      </c>
      <c r="E645" s="13"/>
    </row>
    <row r="646" spans="2:5" x14ac:dyDescent="0.2">
      <c r="B646" t="s">
        <v>8088</v>
      </c>
      <c r="C646" t="s">
        <v>8089</v>
      </c>
      <c r="D646" s="13">
        <f>_xll.EditDistance($C$3,C646,2)</f>
        <v>10</v>
      </c>
      <c r="E646" s="13"/>
    </row>
    <row r="647" spans="2:5" x14ac:dyDescent="0.2">
      <c r="B647" t="s">
        <v>8108</v>
      </c>
      <c r="C647" t="s">
        <v>8109</v>
      </c>
      <c r="D647" s="13">
        <f>_xll.EditDistance($C$3,C647,2)</f>
        <v>10</v>
      </c>
      <c r="E647" s="13"/>
    </row>
    <row r="648" spans="2:5" x14ac:dyDescent="0.2">
      <c r="B648" t="s">
        <v>8120</v>
      </c>
      <c r="C648" t="s">
        <v>8121</v>
      </c>
      <c r="D648" s="13">
        <f>_xll.EditDistance($C$3,C648,2)</f>
        <v>10</v>
      </c>
      <c r="E648" s="13"/>
    </row>
    <row r="649" spans="2:5" x14ac:dyDescent="0.2">
      <c r="B649" t="s">
        <v>8200</v>
      </c>
      <c r="C649" t="s">
        <v>8201</v>
      </c>
      <c r="D649" s="13">
        <f>_xll.EditDistance($C$3,C649,2)</f>
        <v>10</v>
      </c>
      <c r="E649" s="13"/>
    </row>
    <row r="650" spans="2:5" x14ac:dyDescent="0.2">
      <c r="B650" t="s">
        <v>8343</v>
      </c>
      <c r="C650" t="s">
        <v>8344</v>
      </c>
      <c r="D650" s="13">
        <f>_xll.EditDistance($C$3,C650,2)</f>
        <v>10</v>
      </c>
      <c r="E650" s="13"/>
    </row>
    <row r="651" spans="2:5" x14ac:dyDescent="0.2">
      <c r="B651" t="s">
        <v>8429</v>
      </c>
      <c r="C651" t="s">
        <v>8430</v>
      </c>
      <c r="D651" s="13">
        <f>_xll.EditDistance($C$3,C651,2)</f>
        <v>10</v>
      </c>
      <c r="E651" s="13"/>
    </row>
    <row r="652" spans="2:5" x14ac:dyDescent="0.2">
      <c r="B652" t="s">
        <v>8461</v>
      </c>
      <c r="C652" t="s">
        <v>8462</v>
      </c>
      <c r="D652" s="13">
        <f>_xll.EditDistance($C$3,C652,2)</f>
        <v>10</v>
      </c>
      <c r="E652" s="13"/>
    </row>
    <row r="653" spans="2:5" x14ac:dyDescent="0.2">
      <c r="B653" t="s">
        <v>8467</v>
      </c>
      <c r="C653" t="s">
        <v>8468</v>
      </c>
      <c r="D653" s="13">
        <f>_xll.EditDistance($C$3,C653,2)</f>
        <v>10</v>
      </c>
      <c r="E653" s="13"/>
    </row>
    <row r="654" spans="2:5" x14ac:dyDescent="0.2">
      <c r="B654" t="s">
        <v>8467</v>
      </c>
      <c r="C654" t="s">
        <v>8469</v>
      </c>
      <c r="D654" s="13">
        <f>_xll.EditDistance($C$3,C654,2)</f>
        <v>10</v>
      </c>
      <c r="E654" s="13"/>
    </row>
    <row r="655" spans="2:5" x14ac:dyDescent="0.2">
      <c r="B655" t="s">
        <v>8536</v>
      </c>
      <c r="C655" t="s">
        <v>8538</v>
      </c>
      <c r="D655" s="13">
        <f>_xll.EditDistance($C$3,C655,2)</f>
        <v>10</v>
      </c>
      <c r="E655" s="13"/>
    </row>
    <row r="656" spans="2:5" x14ac:dyDescent="0.2">
      <c r="B656" t="s">
        <v>8555</v>
      </c>
      <c r="C656" t="s">
        <v>8556</v>
      </c>
      <c r="D656" s="13">
        <f>_xll.EditDistance($C$3,C656,2)</f>
        <v>10</v>
      </c>
      <c r="E656" s="13"/>
    </row>
    <row r="657" spans="2:5" x14ac:dyDescent="0.2">
      <c r="B657" t="s">
        <v>8570</v>
      </c>
      <c r="C657" t="s">
        <v>8571</v>
      </c>
      <c r="D657" s="13">
        <f>_xll.EditDistance($C$3,C657,2)</f>
        <v>10</v>
      </c>
      <c r="E657" s="13"/>
    </row>
    <row r="658" spans="2:5" x14ac:dyDescent="0.2">
      <c r="B658" t="s">
        <v>8594</v>
      </c>
      <c r="C658" t="s">
        <v>8595</v>
      </c>
      <c r="D658" s="13">
        <f>_xll.EditDistance($C$3,C658,2)</f>
        <v>20</v>
      </c>
      <c r="E658" s="13"/>
    </row>
    <row r="659" spans="2:5" x14ac:dyDescent="0.2">
      <c r="B659" t="s">
        <v>8596</v>
      </c>
      <c r="C659" t="s">
        <v>8597</v>
      </c>
      <c r="D659" s="13">
        <f>_xll.EditDistance($C$3,C659,2)</f>
        <v>10</v>
      </c>
      <c r="E659" s="13"/>
    </row>
    <row r="660" spans="2:5" x14ac:dyDescent="0.2">
      <c r="B660" t="s">
        <v>8600</v>
      </c>
      <c r="C660" t="s">
        <v>8601</v>
      </c>
      <c r="D660" s="13">
        <f>_xll.EditDistance($C$3,C660,2)</f>
        <v>20</v>
      </c>
      <c r="E660" s="13"/>
    </row>
    <row r="661" spans="2:5" x14ac:dyDescent="0.2">
      <c r="B661" t="s">
        <v>8659</v>
      </c>
      <c r="C661" t="s">
        <v>8660</v>
      </c>
      <c r="D661" s="13">
        <f>_xll.EditDistance($C$3,C661,2)</f>
        <v>10</v>
      </c>
      <c r="E661" s="13"/>
    </row>
    <row r="662" spans="2:5" x14ac:dyDescent="0.2">
      <c r="B662" t="s">
        <v>8703</v>
      </c>
      <c r="C662" t="s">
        <v>8704</v>
      </c>
      <c r="D662" s="13">
        <f>_xll.EditDistance($C$3,C662,2)</f>
        <v>10</v>
      </c>
      <c r="E662" s="13"/>
    </row>
    <row r="663" spans="2:5" x14ac:dyDescent="0.2">
      <c r="B663" t="s">
        <v>277</v>
      </c>
      <c r="C663" t="s">
        <v>278</v>
      </c>
      <c r="D663" s="13">
        <f>_xll.EditDistance($C$3,C663,2)</f>
        <v>10</v>
      </c>
      <c r="E663" s="13"/>
    </row>
    <row r="664" spans="2:5" x14ac:dyDescent="0.2">
      <c r="B664" t="s">
        <v>452</v>
      </c>
      <c r="C664" t="s">
        <v>453</v>
      </c>
      <c r="D664" s="13">
        <f>_xll.EditDistance($C$3,C664,2)</f>
        <v>20</v>
      </c>
      <c r="E664" s="13"/>
    </row>
    <row r="665" spans="2:5" x14ac:dyDescent="0.2">
      <c r="B665" t="s">
        <v>486</v>
      </c>
      <c r="C665" t="s">
        <v>487</v>
      </c>
      <c r="D665" s="13">
        <f>_xll.EditDistance($C$3,C665,2)</f>
        <v>10</v>
      </c>
      <c r="E665" s="13"/>
    </row>
    <row r="666" spans="2:5" x14ac:dyDescent="0.2">
      <c r="B666" t="s">
        <v>789</v>
      </c>
      <c r="C666" t="s">
        <v>790</v>
      </c>
      <c r="D666" s="13">
        <f>_xll.EditDistance($C$3,C666,2)</f>
        <v>10</v>
      </c>
      <c r="E666" s="13"/>
    </row>
    <row r="667" spans="2:5" x14ac:dyDescent="0.2">
      <c r="B667" t="s">
        <v>859</v>
      </c>
      <c r="C667" t="s">
        <v>860</v>
      </c>
      <c r="D667" s="13">
        <f>_xll.EditDistance($C$3,C667,2)</f>
        <v>10</v>
      </c>
      <c r="E667" s="13"/>
    </row>
    <row r="668" spans="2:5" x14ac:dyDescent="0.2">
      <c r="B668" t="s">
        <v>877</v>
      </c>
      <c r="C668" t="s">
        <v>878</v>
      </c>
      <c r="D668" s="13">
        <f>_xll.EditDistance($C$3,C668,2)</f>
        <v>10</v>
      </c>
      <c r="E668" s="13"/>
    </row>
    <row r="669" spans="2:5" x14ac:dyDescent="0.2">
      <c r="B669" t="s">
        <v>1018</v>
      </c>
      <c r="C669" t="s">
        <v>1019</v>
      </c>
      <c r="D669" s="13">
        <f>_xll.EditDistance($C$3,C669,2)</f>
        <v>10</v>
      </c>
      <c r="E669" s="13"/>
    </row>
    <row r="670" spans="2:5" x14ac:dyDescent="0.2">
      <c r="B670" t="s">
        <v>1050</v>
      </c>
      <c r="C670" t="s">
        <v>1051</v>
      </c>
      <c r="D670" s="13">
        <f>_xll.EditDistance($C$3,C670,2)</f>
        <v>10</v>
      </c>
      <c r="E670" s="13"/>
    </row>
    <row r="671" spans="2:5" x14ac:dyDescent="0.2">
      <c r="B671" t="s">
        <v>1338</v>
      </c>
      <c r="C671" t="s">
        <v>1339</v>
      </c>
      <c r="D671" s="13">
        <f>_xll.EditDistance($C$3,C671,2)</f>
        <v>10</v>
      </c>
      <c r="E671" s="13"/>
    </row>
    <row r="672" spans="2:5" x14ac:dyDescent="0.2">
      <c r="B672" t="s">
        <v>1610</v>
      </c>
      <c r="C672" t="s">
        <v>1611</v>
      </c>
      <c r="D672" s="13">
        <f>_xll.EditDistance($C$3,C672,2)</f>
        <v>10</v>
      </c>
      <c r="E672" s="13"/>
    </row>
    <row r="673" spans="2:5" x14ac:dyDescent="0.2">
      <c r="B673" t="s">
        <v>2229</v>
      </c>
      <c r="C673" t="s">
        <v>2230</v>
      </c>
      <c r="D673" s="13">
        <f>_xll.EditDistance($C$3,C673,2)</f>
        <v>10</v>
      </c>
      <c r="E673" s="13"/>
    </row>
    <row r="674" spans="2:5" x14ac:dyDescent="0.2">
      <c r="B674" t="s">
        <v>2426</v>
      </c>
      <c r="C674" t="s">
        <v>2427</v>
      </c>
      <c r="D674" s="13">
        <f>_xll.EditDistance($C$3,C674,2)</f>
        <v>10</v>
      </c>
      <c r="E674" s="13"/>
    </row>
    <row r="675" spans="2:5" x14ac:dyDescent="0.2">
      <c r="B675" t="s">
        <v>2462</v>
      </c>
      <c r="C675" t="s">
        <v>2463</v>
      </c>
      <c r="D675" s="13">
        <f>_xll.EditDistance($C$3,C675,2)</f>
        <v>10</v>
      </c>
      <c r="E675" s="13"/>
    </row>
    <row r="676" spans="2:5" x14ac:dyDescent="0.2">
      <c r="B676" s="22" t="s">
        <v>2552</v>
      </c>
      <c r="C676" t="s">
        <v>2553</v>
      </c>
      <c r="D676" s="13">
        <f>_xll.EditDistance($C$3,C676,2)</f>
        <v>20</v>
      </c>
      <c r="E676" s="13"/>
    </row>
    <row r="677" spans="2:5" x14ac:dyDescent="0.2">
      <c r="B677" t="s">
        <v>2665</v>
      </c>
      <c r="C677" t="s">
        <v>2666</v>
      </c>
      <c r="D677" s="13">
        <f>_xll.EditDistance($C$3,C677,2)</f>
        <v>10</v>
      </c>
      <c r="E677" s="13"/>
    </row>
    <row r="678" spans="2:5" x14ac:dyDescent="0.2">
      <c r="B678" t="s">
        <v>2672</v>
      </c>
      <c r="C678" t="s">
        <v>2673</v>
      </c>
      <c r="D678" s="13">
        <f>_xll.EditDistance($C$3,C678,2)</f>
        <v>10</v>
      </c>
      <c r="E678" s="13"/>
    </row>
    <row r="679" spans="2:5" x14ac:dyDescent="0.2">
      <c r="B679" t="s">
        <v>2873</v>
      </c>
      <c r="C679" t="s">
        <v>2874</v>
      </c>
      <c r="D679" s="13">
        <f>_xll.EditDistance($C$3,C679,2)</f>
        <v>20</v>
      </c>
      <c r="E679" s="13"/>
    </row>
    <row r="680" spans="2:5" x14ac:dyDescent="0.2">
      <c r="B680" t="s">
        <v>2877</v>
      </c>
      <c r="C680" t="s">
        <v>2878</v>
      </c>
      <c r="D680" s="13">
        <f>_xll.EditDistance($C$3,C680,2)</f>
        <v>10</v>
      </c>
      <c r="E680" s="13"/>
    </row>
    <row r="681" spans="2:5" x14ac:dyDescent="0.2">
      <c r="B681" t="s">
        <v>2898</v>
      </c>
      <c r="C681" t="s">
        <v>2900</v>
      </c>
      <c r="D681" s="13">
        <f>_xll.EditDistance($C$3,C681,2)</f>
        <v>20</v>
      </c>
      <c r="E681" s="13"/>
    </row>
    <row r="682" spans="2:5" x14ac:dyDescent="0.2">
      <c r="B682" t="s">
        <v>3025</v>
      </c>
      <c r="C682" t="s">
        <v>3026</v>
      </c>
      <c r="D682" s="13">
        <f>_xll.EditDistance($C$3,C682,2)</f>
        <v>10</v>
      </c>
      <c r="E682" s="13"/>
    </row>
    <row r="683" spans="2:5" x14ac:dyDescent="0.2">
      <c r="B683" t="s">
        <v>3124</v>
      </c>
      <c r="C683" t="s">
        <v>3125</v>
      </c>
      <c r="D683" s="13">
        <f>_xll.EditDistance($C$3,C683,2)</f>
        <v>10</v>
      </c>
      <c r="E683" s="13"/>
    </row>
    <row r="684" spans="2:5" x14ac:dyDescent="0.2">
      <c r="B684" t="s">
        <v>3263</v>
      </c>
      <c r="C684" t="s">
        <v>3264</v>
      </c>
      <c r="D684" s="13">
        <f>_xll.EditDistance($C$3,C684,2)</f>
        <v>20</v>
      </c>
      <c r="E684" s="13"/>
    </row>
    <row r="685" spans="2:5" x14ac:dyDescent="0.2">
      <c r="B685" t="s">
        <v>3318</v>
      </c>
      <c r="C685" t="s">
        <v>3319</v>
      </c>
      <c r="D685" s="13">
        <f>_xll.EditDistance($C$3,C685,2)</f>
        <v>10</v>
      </c>
      <c r="E685" s="13"/>
    </row>
    <row r="686" spans="2:5" x14ac:dyDescent="0.2">
      <c r="B686" t="s">
        <v>3380</v>
      </c>
      <c r="C686" t="s">
        <v>3381</v>
      </c>
      <c r="D686" s="13">
        <f>_xll.EditDistance($C$3,C686,2)</f>
        <v>10</v>
      </c>
      <c r="E686" s="13"/>
    </row>
    <row r="687" spans="2:5" x14ac:dyDescent="0.2">
      <c r="B687" t="s">
        <v>3392</v>
      </c>
      <c r="C687" t="s">
        <v>3393</v>
      </c>
      <c r="D687" s="13">
        <f>_xll.EditDistance($C$3,C687,2)</f>
        <v>20</v>
      </c>
      <c r="E687" s="13"/>
    </row>
    <row r="688" spans="2:5" x14ac:dyDescent="0.2">
      <c r="B688" t="s">
        <v>3655</v>
      </c>
      <c r="C688" t="s">
        <v>3656</v>
      </c>
      <c r="D688" s="13">
        <f>_xll.EditDistance($C$3,C688,2)</f>
        <v>10</v>
      </c>
      <c r="E688" s="13"/>
    </row>
    <row r="689" spans="2:5" x14ac:dyDescent="0.2">
      <c r="B689" t="s">
        <v>3716</v>
      </c>
      <c r="C689" t="s">
        <v>3717</v>
      </c>
      <c r="D689" s="13">
        <f>_xll.EditDistance($C$3,C689,2)</f>
        <v>10</v>
      </c>
      <c r="E689" s="13"/>
    </row>
    <row r="690" spans="2:5" x14ac:dyDescent="0.2">
      <c r="B690" t="s">
        <v>4248</v>
      </c>
      <c r="C690" t="s">
        <v>4249</v>
      </c>
      <c r="D690" s="13">
        <f>_xll.EditDistance($C$3,C690,2)</f>
        <v>10</v>
      </c>
      <c r="E690" s="13"/>
    </row>
    <row r="691" spans="2:5" x14ac:dyDescent="0.2">
      <c r="B691" t="s">
        <v>4372</v>
      </c>
      <c r="C691" t="s">
        <v>4373</v>
      </c>
      <c r="D691" s="13">
        <f>_xll.EditDistance($C$3,C691,2)</f>
        <v>10</v>
      </c>
      <c r="E691" s="13"/>
    </row>
    <row r="692" spans="2:5" x14ac:dyDescent="0.2">
      <c r="B692" t="s">
        <v>4563</v>
      </c>
      <c r="C692" t="s">
        <v>4564</v>
      </c>
      <c r="D692" s="13">
        <f>_xll.EditDistance($C$3,C692,2)</f>
        <v>10</v>
      </c>
      <c r="E692" s="13"/>
    </row>
    <row r="693" spans="2:5" x14ac:dyDescent="0.2">
      <c r="B693" t="s">
        <v>4865</v>
      </c>
      <c r="C693" t="s">
        <v>4866</v>
      </c>
      <c r="D693" s="13">
        <f>_xll.EditDistance($C$3,C693,2)</f>
        <v>20</v>
      </c>
      <c r="E693" s="13"/>
    </row>
    <row r="694" spans="2:5" x14ac:dyDescent="0.2">
      <c r="B694" t="s">
        <v>4867</v>
      </c>
      <c r="C694" t="s">
        <v>4868</v>
      </c>
      <c r="D694" s="13">
        <f>_xll.EditDistance($C$3,C694,2)</f>
        <v>10</v>
      </c>
      <c r="E694" s="13"/>
    </row>
    <row r="695" spans="2:5" x14ac:dyDescent="0.2">
      <c r="B695" t="s">
        <v>4926</v>
      </c>
      <c r="C695" t="s">
        <v>4927</v>
      </c>
      <c r="D695" s="13">
        <f>_xll.EditDistance($C$3,C695,2)</f>
        <v>10</v>
      </c>
      <c r="E695" s="13"/>
    </row>
    <row r="696" spans="2:5" x14ac:dyDescent="0.2">
      <c r="B696" t="s">
        <v>4995</v>
      </c>
      <c r="C696" t="s">
        <v>4996</v>
      </c>
      <c r="D696" s="13">
        <f>_xll.EditDistance($C$3,C696,2)</f>
        <v>10</v>
      </c>
      <c r="E696" s="13"/>
    </row>
    <row r="697" spans="2:5" x14ac:dyDescent="0.2">
      <c r="B697" t="s">
        <v>5134</v>
      </c>
      <c r="C697" t="s">
        <v>5135</v>
      </c>
      <c r="D697" s="13">
        <f>_xll.EditDistance($C$3,C697,2)</f>
        <v>10</v>
      </c>
      <c r="E697" s="13"/>
    </row>
    <row r="698" spans="2:5" x14ac:dyDescent="0.2">
      <c r="B698" t="s">
        <v>5314</v>
      </c>
      <c r="C698" t="s">
        <v>5315</v>
      </c>
      <c r="D698" s="13">
        <f>_xll.EditDistance($C$3,C698,2)</f>
        <v>10</v>
      </c>
      <c r="E698" s="13"/>
    </row>
    <row r="699" spans="2:5" x14ac:dyDescent="0.2">
      <c r="B699" t="s">
        <v>5485</v>
      </c>
      <c r="C699" t="s">
        <v>5486</v>
      </c>
      <c r="D699" s="13">
        <f>_xll.EditDistance($C$3,C699,2)</f>
        <v>10</v>
      </c>
      <c r="E699" s="13"/>
    </row>
    <row r="700" spans="2:5" x14ac:dyDescent="0.2">
      <c r="B700" t="s">
        <v>5552</v>
      </c>
      <c r="C700" t="s">
        <v>5553</v>
      </c>
      <c r="D700" s="13">
        <f>_xll.EditDistance($C$3,C700,2)</f>
        <v>10</v>
      </c>
      <c r="E700" s="13"/>
    </row>
    <row r="701" spans="2:5" x14ac:dyDescent="0.2">
      <c r="B701" t="s">
        <v>5567</v>
      </c>
      <c r="C701" t="s">
        <v>5568</v>
      </c>
      <c r="D701" s="13">
        <f>_xll.EditDistance($C$3,C701,2)</f>
        <v>10</v>
      </c>
      <c r="E701" s="13"/>
    </row>
    <row r="702" spans="2:5" x14ac:dyDescent="0.2">
      <c r="B702" t="s">
        <v>5694</v>
      </c>
      <c r="C702" t="s">
        <v>5695</v>
      </c>
      <c r="D702" s="13">
        <f>_xll.EditDistance($C$3,C702,2)</f>
        <v>10</v>
      </c>
      <c r="E702" s="13"/>
    </row>
    <row r="703" spans="2:5" x14ac:dyDescent="0.2">
      <c r="B703" t="s">
        <v>5710</v>
      </c>
      <c r="C703" t="s">
        <v>5711</v>
      </c>
      <c r="D703" s="13">
        <f>_xll.EditDistance($C$3,C703,2)</f>
        <v>20</v>
      </c>
      <c r="E703" s="13"/>
    </row>
    <row r="704" spans="2:5" x14ac:dyDescent="0.2">
      <c r="B704" t="s">
        <v>5761</v>
      </c>
      <c r="C704" t="s">
        <v>5762</v>
      </c>
      <c r="D704" s="13">
        <f>_xll.EditDistance($C$3,C704,2)</f>
        <v>10</v>
      </c>
      <c r="E704" s="13"/>
    </row>
    <row r="705" spans="2:5" x14ac:dyDescent="0.2">
      <c r="B705" t="s">
        <v>5832</v>
      </c>
      <c r="C705" t="s">
        <v>5833</v>
      </c>
      <c r="D705" s="13">
        <f>_xll.EditDistance($C$3,C705,2)</f>
        <v>10</v>
      </c>
      <c r="E705" s="13"/>
    </row>
    <row r="706" spans="2:5" x14ac:dyDescent="0.2">
      <c r="B706" t="s">
        <v>5887</v>
      </c>
      <c r="C706" t="s">
        <v>5888</v>
      </c>
      <c r="D706" s="13">
        <f>_xll.EditDistance($C$3,C706,2)</f>
        <v>20</v>
      </c>
      <c r="E706" s="13"/>
    </row>
    <row r="707" spans="2:5" x14ac:dyDescent="0.2">
      <c r="B707" t="s">
        <v>6069</v>
      </c>
      <c r="C707" t="s">
        <v>6072</v>
      </c>
      <c r="D707" s="13">
        <f>_xll.EditDistance($C$3,C707,2)</f>
        <v>10</v>
      </c>
      <c r="E707" s="13"/>
    </row>
    <row r="708" spans="2:5" x14ac:dyDescent="0.2">
      <c r="B708" t="s">
        <v>6299</v>
      </c>
      <c r="C708" t="s">
        <v>6300</v>
      </c>
      <c r="D708" s="13">
        <f>_xll.EditDistance($C$3,C708,2)</f>
        <v>10</v>
      </c>
      <c r="E708" s="13"/>
    </row>
    <row r="709" spans="2:5" x14ac:dyDescent="0.2">
      <c r="B709" t="s">
        <v>6436</v>
      </c>
      <c r="C709" t="s">
        <v>6437</v>
      </c>
      <c r="D709" s="13">
        <f>_xll.EditDistance($C$3,C709,2)</f>
        <v>10</v>
      </c>
      <c r="E709" s="13"/>
    </row>
    <row r="710" spans="2:5" x14ac:dyDescent="0.2">
      <c r="B710" t="s">
        <v>6527</v>
      </c>
      <c r="C710" t="s">
        <v>6528</v>
      </c>
      <c r="D710" s="13">
        <f>_xll.EditDistance($C$3,C710,2)</f>
        <v>10</v>
      </c>
      <c r="E710" s="13"/>
    </row>
    <row r="711" spans="2:5" x14ac:dyDescent="0.2">
      <c r="B711" t="s">
        <v>6572</v>
      </c>
      <c r="C711" t="s">
        <v>6573</v>
      </c>
      <c r="D711" s="13">
        <f>_xll.EditDistance($C$3,C711,2)</f>
        <v>10</v>
      </c>
      <c r="E711" s="13"/>
    </row>
    <row r="712" spans="2:5" x14ac:dyDescent="0.2">
      <c r="B712" t="s">
        <v>6642</v>
      </c>
      <c r="C712" t="s">
        <v>6643</v>
      </c>
      <c r="D712" s="13">
        <f>_xll.EditDistance($C$3,C712,2)</f>
        <v>10</v>
      </c>
      <c r="E712" s="13"/>
    </row>
    <row r="713" spans="2:5" x14ac:dyDescent="0.2">
      <c r="B713" t="s">
        <v>6763</v>
      </c>
      <c r="C713" t="s">
        <v>6764</v>
      </c>
      <c r="D713" s="13">
        <f>_xll.EditDistance($C$3,C713,2)</f>
        <v>20</v>
      </c>
      <c r="E713" s="13"/>
    </row>
    <row r="714" spans="2:5" x14ac:dyDescent="0.2">
      <c r="B714" t="s">
        <v>6974</v>
      </c>
      <c r="C714" t="s">
        <v>6975</v>
      </c>
      <c r="D714" s="13">
        <f>_xll.EditDistance($C$3,C714,2)</f>
        <v>10</v>
      </c>
      <c r="E714" s="13"/>
    </row>
    <row r="715" spans="2:5" x14ac:dyDescent="0.2">
      <c r="B715" t="s">
        <v>7161</v>
      </c>
      <c r="C715" t="s">
        <v>7162</v>
      </c>
      <c r="D715" s="13">
        <f>_xll.EditDistance($C$3,C715,2)</f>
        <v>20</v>
      </c>
      <c r="E715" s="13"/>
    </row>
    <row r="716" spans="2:5" x14ac:dyDescent="0.2">
      <c r="B716" t="s">
        <v>7355</v>
      </c>
      <c r="C716" t="s">
        <v>7356</v>
      </c>
      <c r="D716" s="13">
        <f>_xll.EditDistance($C$3,C716,2)</f>
        <v>10</v>
      </c>
      <c r="E716" s="13"/>
    </row>
    <row r="717" spans="2:5" x14ac:dyDescent="0.2">
      <c r="B717" t="s">
        <v>7415</v>
      </c>
      <c r="C717" t="s">
        <v>7416</v>
      </c>
      <c r="D717" s="13">
        <f>_xll.EditDistance($C$3,C717,2)</f>
        <v>10</v>
      </c>
      <c r="E717" s="13"/>
    </row>
    <row r="718" spans="2:5" x14ac:dyDescent="0.2">
      <c r="B718" t="s">
        <v>7417</v>
      </c>
      <c r="C718" t="s">
        <v>7418</v>
      </c>
      <c r="D718" s="13">
        <f>_xll.EditDistance($C$3,C718,2)</f>
        <v>10</v>
      </c>
      <c r="E718" s="13"/>
    </row>
    <row r="719" spans="2:5" x14ac:dyDescent="0.2">
      <c r="B719" t="s">
        <v>7480</v>
      </c>
      <c r="C719" t="s">
        <v>7481</v>
      </c>
      <c r="D719" s="13">
        <f>_xll.EditDistance($C$3,C719,2)</f>
        <v>10</v>
      </c>
      <c r="E719" s="13"/>
    </row>
    <row r="720" spans="2:5" x14ac:dyDescent="0.2">
      <c r="B720" t="s">
        <v>7994</v>
      </c>
      <c r="C720" t="s">
        <v>7995</v>
      </c>
      <c r="D720" s="13">
        <f>_xll.EditDistance($C$3,C720,2)</f>
        <v>10</v>
      </c>
      <c r="E720" s="13"/>
    </row>
    <row r="721" spans="2:5" x14ac:dyDescent="0.2">
      <c r="B721" t="s">
        <v>8216</v>
      </c>
      <c r="C721" t="s">
        <v>8217</v>
      </c>
      <c r="D721" s="13">
        <f>_xll.EditDistance($C$3,C721,2)</f>
        <v>10</v>
      </c>
      <c r="E721" s="13"/>
    </row>
    <row r="722" spans="2:5" x14ac:dyDescent="0.2">
      <c r="B722" t="s">
        <v>8292</v>
      </c>
      <c r="C722" t="s">
        <v>8293</v>
      </c>
      <c r="D722" s="13">
        <f>_xll.EditDistance($C$3,C722,2)</f>
        <v>10</v>
      </c>
      <c r="E722" s="13"/>
    </row>
    <row r="723" spans="2:5" x14ac:dyDescent="0.2">
      <c r="B723" t="s">
        <v>8333</v>
      </c>
      <c r="C723" t="s">
        <v>8334</v>
      </c>
      <c r="D723" s="13">
        <f>_xll.EditDistance($C$3,C723,2)</f>
        <v>10</v>
      </c>
      <c r="E723" s="13"/>
    </row>
    <row r="724" spans="2:5" x14ac:dyDescent="0.2">
      <c r="B724" t="s">
        <v>8449</v>
      </c>
      <c r="C724" t="s">
        <v>8450</v>
      </c>
      <c r="D724" s="13">
        <f>_xll.EditDistance($C$3,C724,2)</f>
        <v>10</v>
      </c>
      <c r="E724" s="13"/>
    </row>
    <row r="725" spans="2:5" x14ac:dyDescent="0.2">
      <c r="B725" t="s">
        <v>8505</v>
      </c>
      <c r="C725" t="s">
        <v>8506</v>
      </c>
      <c r="D725" s="13">
        <f>_xll.EditDistance($C$3,C725,2)</f>
        <v>10</v>
      </c>
      <c r="E725" s="13"/>
    </row>
    <row r="726" spans="2:5" x14ac:dyDescent="0.2">
      <c r="B726" t="s">
        <v>8617</v>
      </c>
      <c r="C726" t="s">
        <v>8618</v>
      </c>
      <c r="D726" s="13">
        <f>_xll.EditDistance($C$3,C726,2)</f>
        <v>10</v>
      </c>
      <c r="E726" s="13"/>
    </row>
    <row r="727" spans="2:5" x14ac:dyDescent="0.2">
      <c r="B727" t="s">
        <v>267</v>
      </c>
      <c r="C727" t="s">
        <v>268</v>
      </c>
      <c r="D727" s="13">
        <f>_xll.EditDistance($C$3,C727,2)</f>
        <v>10</v>
      </c>
      <c r="E727" s="13"/>
    </row>
    <row r="728" spans="2:5" x14ac:dyDescent="0.2">
      <c r="B728" t="s">
        <v>492</v>
      </c>
      <c r="C728" t="s">
        <v>493</v>
      </c>
      <c r="D728" s="13">
        <f>_xll.EditDistance($C$3,C728,2)</f>
        <v>10</v>
      </c>
      <c r="E728" s="13"/>
    </row>
    <row r="729" spans="2:5" x14ac:dyDescent="0.2">
      <c r="B729" t="s">
        <v>599</v>
      </c>
      <c r="C729" t="s">
        <v>600</v>
      </c>
      <c r="D729" s="13">
        <f>_xll.EditDistance($C$3,C729,2)</f>
        <v>10</v>
      </c>
      <c r="E729" s="13"/>
    </row>
    <row r="730" spans="2:5" x14ac:dyDescent="0.2">
      <c r="B730" t="s">
        <v>808</v>
      </c>
      <c r="C730" t="s">
        <v>809</v>
      </c>
      <c r="D730" s="13">
        <f>_xll.EditDistance($C$3,C730,2)</f>
        <v>10</v>
      </c>
      <c r="E730" s="13"/>
    </row>
    <row r="731" spans="2:5" x14ac:dyDescent="0.2">
      <c r="B731" t="s">
        <v>836</v>
      </c>
      <c r="C731" t="s">
        <v>837</v>
      </c>
      <c r="D731" s="13">
        <f>_xll.EditDistance($C$3,C731,2)</f>
        <v>10</v>
      </c>
      <c r="E731" s="13"/>
    </row>
    <row r="732" spans="2:5" x14ac:dyDescent="0.2">
      <c r="B732" t="s">
        <v>838</v>
      </c>
      <c r="C732" t="s">
        <v>839</v>
      </c>
      <c r="D732" s="13">
        <f>_xll.EditDistance($C$3,C732,2)</f>
        <v>10</v>
      </c>
      <c r="E732" s="13"/>
    </row>
    <row r="733" spans="2:5" x14ac:dyDescent="0.2">
      <c r="B733" t="s">
        <v>1127</v>
      </c>
      <c r="C733" t="s">
        <v>1128</v>
      </c>
      <c r="D733" s="13">
        <f>_xll.EditDistance($C$3,C733,2)</f>
        <v>20</v>
      </c>
      <c r="E733" s="13"/>
    </row>
    <row r="734" spans="2:5" x14ac:dyDescent="0.2">
      <c r="B734" t="s">
        <v>1131</v>
      </c>
      <c r="C734" t="s">
        <v>1132</v>
      </c>
      <c r="D734" s="13">
        <f>_xll.EditDistance($C$3,C734,2)</f>
        <v>10</v>
      </c>
      <c r="E734" s="13"/>
    </row>
    <row r="735" spans="2:5" x14ac:dyDescent="0.2">
      <c r="B735" t="s">
        <v>1505</v>
      </c>
      <c r="C735" t="s">
        <v>1506</v>
      </c>
      <c r="D735" s="13">
        <f>_xll.EditDistance($C$3,C735,2)</f>
        <v>16</v>
      </c>
      <c r="E735" s="13"/>
    </row>
    <row r="736" spans="2:5" x14ac:dyDescent="0.2">
      <c r="B736" t="s">
        <v>1558</v>
      </c>
      <c r="C736" t="s">
        <v>1559</v>
      </c>
      <c r="D736" s="13">
        <f>_xll.EditDistance($C$3,C736,2)</f>
        <v>10</v>
      </c>
      <c r="E736" s="13"/>
    </row>
    <row r="737" spans="2:5" x14ac:dyDescent="0.2">
      <c r="B737" t="s">
        <v>1680</v>
      </c>
      <c r="C737" t="s">
        <v>1681</v>
      </c>
      <c r="D737" s="13">
        <f>_xll.EditDistance($C$3,C737,2)</f>
        <v>10</v>
      </c>
      <c r="E737" s="13"/>
    </row>
    <row r="738" spans="2:5" x14ac:dyDescent="0.2">
      <c r="B738" t="s">
        <v>1694</v>
      </c>
      <c r="C738" t="s">
        <v>1695</v>
      </c>
      <c r="D738" s="13">
        <f>_xll.EditDistance($C$3,C738,2)</f>
        <v>10</v>
      </c>
      <c r="E738" s="13"/>
    </row>
    <row r="739" spans="2:5" x14ac:dyDescent="0.2">
      <c r="B739" t="s">
        <v>1777</v>
      </c>
      <c r="C739" t="s">
        <v>1778</v>
      </c>
      <c r="D739" s="13">
        <f>_xll.EditDistance($C$3,C739,2)</f>
        <v>10</v>
      </c>
      <c r="E739" s="13"/>
    </row>
    <row r="740" spans="2:5" x14ac:dyDescent="0.2">
      <c r="B740" t="s">
        <v>1960</v>
      </c>
      <c r="C740" t="s">
        <v>1961</v>
      </c>
      <c r="D740" s="13">
        <f>_xll.EditDistance($C$3,C740,2)</f>
        <v>10</v>
      </c>
      <c r="E740" s="13"/>
    </row>
    <row r="741" spans="2:5" x14ac:dyDescent="0.2">
      <c r="B741" t="s">
        <v>2160</v>
      </c>
      <c r="C741" t="s">
        <v>2161</v>
      </c>
      <c r="D741" s="13">
        <f>_xll.EditDistance($C$3,C741,2)</f>
        <v>10</v>
      </c>
      <c r="E741" s="13"/>
    </row>
    <row r="742" spans="2:5" x14ac:dyDescent="0.2">
      <c r="B742" t="s">
        <v>2430</v>
      </c>
      <c r="C742" t="s">
        <v>2431</v>
      </c>
      <c r="D742" s="13">
        <f>_xll.EditDistance($C$3,C742,2)</f>
        <v>10</v>
      </c>
      <c r="E742" s="13"/>
    </row>
    <row r="743" spans="2:5" x14ac:dyDescent="0.2">
      <c r="B743" t="s">
        <v>2490</v>
      </c>
      <c r="C743" t="s">
        <v>2491</v>
      </c>
      <c r="D743" s="13">
        <f>_xll.EditDistance($C$3,C743,2)</f>
        <v>10</v>
      </c>
      <c r="E743" s="13"/>
    </row>
    <row r="744" spans="2:5" x14ac:dyDescent="0.2">
      <c r="B744" t="s">
        <v>2492</v>
      </c>
      <c r="C744" t="s">
        <v>2493</v>
      </c>
      <c r="D744" s="13">
        <f>_xll.EditDistance($C$3,C744,2)</f>
        <v>10</v>
      </c>
      <c r="E744" s="13"/>
    </row>
    <row r="745" spans="2:5" x14ac:dyDescent="0.2">
      <c r="B745" t="s">
        <v>2544</v>
      </c>
      <c r="C745" t="s">
        <v>2545</v>
      </c>
      <c r="D745" s="13">
        <f>_xll.EditDistance($C$3,C745,2)</f>
        <v>10</v>
      </c>
      <c r="E745" s="13"/>
    </row>
    <row r="746" spans="2:5" x14ac:dyDescent="0.2">
      <c r="B746" t="s">
        <v>2949</v>
      </c>
      <c r="C746" t="s">
        <v>2950</v>
      </c>
      <c r="D746" s="13">
        <f>_xll.EditDistance($C$3,C746,2)</f>
        <v>30</v>
      </c>
      <c r="E746" s="13"/>
    </row>
    <row r="747" spans="2:5" x14ac:dyDescent="0.2">
      <c r="B747" t="s">
        <v>2984</v>
      </c>
      <c r="C747" t="s">
        <v>2985</v>
      </c>
      <c r="D747" s="13">
        <f>_xll.EditDistance($C$3,C747,2)</f>
        <v>10</v>
      </c>
      <c r="E747" s="13"/>
    </row>
    <row r="748" spans="2:5" x14ac:dyDescent="0.2">
      <c r="B748" t="s">
        <v>3089</v>
      </c>
      <c r="C748" t="s">
        <v>3090</v>
      </c>
      <c r="D748" s="13">
        <f>_xll.EditDistance($C$3,C748,2)</f>
        <v>18</v>
      </c>
      <c r="E748" s="13"/>
    </row>
    <row r="749" spans="2:5" x14ac:dyDescent="0.2">
      <c r="B749" t="s">
        <v>3298</v>
      </c>
      <c r="C749" t="s">
        <v>3299</v>
      </c>
      <c r="D749" s="13">
        <f>_xll.EditDistance($C$3,C749,2)</f>
        <v>10</v>
      </c>
      <c r="E749" s="13"/>
    </row>
    <row r="750" spans="2:5" x14ac:dyDescent="0.2">
      <c r="B750" t="s">
        <v>3464</v>
      </c>
      <c r="C750" t="s">
        <v>3465</v>
      </c>
      <c r="D750" s="13">
        <f>_xll.EditDistance($C$3,C750,2)</f>
        <v>10</v>
      </c>
      <c r="E750" s="13"/>
    </row>
    <row r="751" spans="2:5" x14ac:dyDescent="0.2">
      <c r="B751" t="s">
        <v>3588</v>
      </c>
      <c r="C751" t="s">
        <v>3589</v>
      </c>
      <c r="D751" s="13">
        <f>_xll.EditDistance($C$3,C751,2)</f>
        <v>10</v>
      </c>
      <c r="E751" s="13"/>
    </row>
    <row r="752" spans="2:5" x14ac:dyDescent="0.2">
      <c r="B752" t="s">
        <v>3600</v>
      </c>
      <c r="C752" t="s">
        <v>3601</v>
      </c>
      <c r="D752" s="13">
        <f>_xll.EditDistance($C$3,C752,2)</f>
        <v>10</v>
      </c>
      <c r="E752" s="13"/>
    </row>
    <row r="753" spans="2:5" x14ac:dyDescent="0.2">
      <c r="B753" t="s">
        <v>3995</v>
      </c>
      <c r="C753" t="s">
        <v>3996</v>
      </c>
      <c r="D753" s="13">
        <f>_xll.EditDistance($C$3,C753,2)</f>
        <v>10</v>
      </c>
      <c r="E753" s="13"/>
    </row>
    <row r="754" spans="2:5" x14ac:dyDescent="0.2">
      <c r="B754" t="s">
        <v>3995</v>
      </c>
      <c r="C754" t="s">
        <v>3997</v>
      </c>
      <c r="D754" s="13">
        <f>_xll.EditDistance($C$3,C754,2)</f>
        <v>10</v>
      </c>
      <c r="E754" s="13"/>
    </row>
    <row r="755" spans="2:5" x14ac:dyDescent="0.2">
      <c r="B755" t="s">
        <v>4048</v>
      </c>
      <c r="C755" t="s">
        <v>4050</v>
      </c>
      <c r="D755" s="13">
        <f>_xll.EditDistance($C$3,C755,2)</f>
        <v>20</v>
      </c>
      <c r="E755" s="13"/>
    </row>
    <row r="756" spans="2:5" x14ac:dyDescent="0.2">
      <c r="B756" t="s">
        <v>4067</v>
      </c>
      <c r="C756" t="s">
        <v>4068</v>
      </c>
      <c r="D756" s="13">
        <f>_xll.EditDistance($C$3,C756,2)</f>
        <v>10</v>
      </c>
      <c r="E756" s="13"/>
    </row>
    <row r="757" spans="2:5" x14ac:dyDescent="0.2">
      <c r="B757" t="s">
        <v>4110</v>
      </c>
      <c r="C757" t="s">
        <v>4111</v>
      </c>
      <c r="D757" s="13">
        <f>_xll.EditDistance($C$3,C757,2)</f>
        <v>10</v>
      </c>
      <c r="E757" s="13"/>
    </row>
    <row r="758" spans="2:5" x14ac:dyDescent="0.2">
      <c r="B758" t="s">
        <v>4292</v>
      </c>
      <c r="C758" t="s">
        <v>4293</v>
      </c>
      <c r="D758" s="13">
        <f>_xll.EditDistance($C$3,C758,2)</f>
        <v>20</v>
      </c>
      <c r="E758" s="13"/>
    </row>
    <row r="759" spans="2:5" x14ac:dyDescent="0.2">
      <c r="B759" t="s">
        <v>4342</v>
      </c>
      <c r="C759" t="s">
        <v>4343</v>
      </c>
      <c r="D759" s="13">
        <f>_xll.EditDistance($C$3,C759,2)</f>
        <v>10</v>
      </c>
      <c r="E759" s="13"/>
    </row>
    <row r="760" spans="2:5" x14ac:dyDescent="0.2">
      <c r="B760" t="s">
        <v>4541</v>
      </c>
      <c r="C760" t="s">
        <v>4542</v>
      </c>
      <c r="D760" s="13">
        <f>_xll.EditDistance($C$3,C760,2)</f>
        <v>24</v>
      </c>
      <c r="E760" s="13"/>
    </row>
    <row r="761" spans="2:5" x14ac:dyDescent="0.2">
      <c r="B761" t="s">
        <v>4647</v>
      </c>
      <c r="C761" t="s">
        <v>4648</v>
      </c>
      <c r="D761" s="13">
        <f>_xll.EditDistance($C$3,C761,2)</f>
        <v>10</v>
      </c>
      <c r="E761" s="13"/>
    </row>
    <row r="762" spans="2:5" x14ac:dyDescent="0.2">
      <c r="B762" t="s">
        <v>5144</v>
      </c>
      <c r="C762" t="s">
        <v>5145</v>
      </c>
      <c r="D762" s="13">
        <f>_xll.EditDistance($C$3,C762,2)</f>
        <v>10</v>
      </c>
      <c r="E762" s="13"/>
    </row>
    <row r="763" spans="2:5" x14ac:dyDescent="0.2">
      <c r="B763" t="s">
        <v>5291</v>
      </c>
      <c r="C763" t="s">
        <v>5292</v>
      </c>
      <c r="D763" s="13">
        <f>_xll.EditDistance($C$3,C763,2)</f>
        <v>10</v>
      </c>
      <c r="E763" s="13"/>
    </row>
    <row r="764" spans="2:5" x14ac:dyDescent="0.2">
      <c r="B764" t="s">
        <v>5332</v>
      </c>
      <c r="C764" t="s">
        <v>5333</v>
      </c>
      <c r="D764" s="13">
        <f>_xll.EditDistance($C$3,C764,2)</f>
        <v>10</v>
      </c>
      <c r="E764" s="13"/>
    </row>
    <row r="765" spans="2:5" x14ac:dyDescent="0.2">
      <c r="B765" t="s">
        <v>5367</v>
      </c>
      <c r="C765" t="s">
        <v>5368</v>
      </c>
      <c r="D765" s="13">
        <f>_xll.EditDistance($C$3,C765,2)</f>
        <v>10</v>
      </c>
      <c r="E765" s="13"/>
    </row>
    <row r="766" spans="2:5" x14ac:dyDescent="0.2">
      <c r="B766" t="s">
        <v>5594</v>
      </c>
      <c r="C766" t="s">
        <v>5595</v>
      </c>
      <c r="D766" s="13">
        <f>_xll.EditDistance($C$3,C766,2)</f>
        <v>10</v>
      </c>
      <c r="E766" s="13"/>
    </row>
    <row r="767" spans="2:5" x14ac:dyDescent="0.2">
      <c r="B767" t="s">
        <v>5692</v>
      </c>
      <c r="C767" t="s">
        <v>5693</v>
      </c>
      <c r="D767" s="13">
        <f>_xll.EditDistance($C$3,C767,2)</f>
        <v>10</v>
      </c>
      <c r="E767" s="13"/>
    </row>
    <row r="768" spans="2:5" x14ac:dyDescent="0.2">
      <c r="B768" t="s">
        <v>6057</v>
      </c>
      <c r="C768" t="s">
        <v>6058</v>
      </c>
      <c r="D768" s="13">
        <f>_xll.EditDistance($C$3,C768,2)</f>
        <v>10</v>
      </c>
      <c r="E768" s="13"/>
    </row>
    <row r="769" spans="2:5" x14ac:dyDescent="0.2">
      <c r="B769" t="s">
        <v>6092</v>
      </c>
      <c r="C769" t="s">
        <v>6094</v>
      </c>
      <c r="D769" s="13">
        <f>_xll.EditDistance($C$3,C769,2)</f>
        <v>10</v>
      </c>
      <c r="E769" s="13"/>
    </row>
    <row r="770" spans="2:5" x14ac:dyDescent="0.2">
      <c r="B770" t="s">
        <v>6553</v>
      </c>
      <c r="C770" t="s">
        <v>6554</v>
      </c>
      <c r="D770" s="13">
        <f>_xll.EditDistance($C$3,C770,2)</f>
        <v>20</v>
      </c>
      <c r="E770" s="13"/>
    </row>
    <row r="771" spans="2:5" x14ac:dyDescent="0.2">
      <c r="B771" t="s">
        <v>6615</v>
      </c>
      <c r="C771" t="s">
        <v>6616</v>
      </c>
      <c r="D771" s="13">
        <f>_xll.EditDistance($C$3,C771,2)</f>
        <v>10</v>
      </c>
      <c r="E771" s="13"/>
    </row>
    <row r="772" spans="2:5" x14ac:dyDescent="0.2">
      <c r="B772" t="s">
        <v>6785</v>
      </c>
      <c r="C772" t="s">
        <v>6787</v>
      </c>
      <c r="D772" s="13">
        <f>_xll.EditDistance($C$3,C772,2)</f>
        <v>10</v>
      </c>
      <c r="E772" s="13"/>
    </row>
    <row r="773" spans="2:5" x14ac:dyDescent="0.2">
      <c r="B773" t="s">
        <v>6881</v>
      </c>
      <c r="C773" t="s">
        <v>6882</v>
      </c>
      <c r="D773" s="13">
        <f>_xll.EditDistance($C$3,C773,2)</f>
        <v>10</v>
      </c>
      <c r="E773" s="13"/>
    </row>
    <row r="774" spans="2:5" x14ac:dyDescent="0.2">
      <c r="B774" t="s">
        <v>6924</v>
      </c>
      <c r="C774" t="s">
        <v>6925</v>
      </c>
      <c r="D774" s="13">
        <f>_xll.EditDistance($C$3,C774,2)</f>
        <v>10</v>
      </c>
      <c r="E774" s="13"/>
    </row>
    <row r="775" spans="2:5" x14ac:dyDescent="0.2">
      <c r="B775" t="s">
        <v>6980</v>
      </c>
      <c r="C775" t="s">
        <v>6981</v>
      </c>
      <c r="D775" s="13">
        <f>_xll.EditDistance($C$3,C775,2)</f>
        <v>10</v>
      </c>
      <c r="E775" s="13"/>
    </row>
    <row r="776" spans="2:5" x14ac:dyDescent="0.2">
      <c r="B776" t="s">
        <v>7026</v>
      </c>
      <c r="C776" t="s">
        <v>7027</v>
      </c>
      <c r="D776" s="13">
        <f>_xll.EditDistance($C$3,C776,2)</f>
        <v>10</v>
      </c>
      <c r="E776" s="13"/>
    </row>
    <row r="777" spans="2:5" x14ac:dyDescent="0.2">
      <c r="B777" t="s">
        <v>7149</v>
      </c>
      <c r="C777" t="s">
        <v>7150</v>
      </c>
      <c r="D777" s="13">
        <f>_xll.EditDistance($C$3,C777,2)</f>
        <v>10</v>
      </c>
      <c r="E777" s="13"/>
    </row>
    <row r="778" spans="2:5" x14ac:dyDescent="0.2">
      <c r="B778" t="s">
        <v>7256</v>
      </c>
      <c r="C778" t="s">
        <v>7260</v>
      </c>
      <c r="D778" s="13">
        <f>_xll.EditDistance($C$3,C778,2)</f>
        <v>10</v>
      </c>
      <c r="E778" s="13"/>
    </row>
    <row r="779" spans="2:5" x14ac:dyDescent="0.2">
      <c r="B779" t="s">
        <v>7312</v>
      </c>
      <c r="C779" t="s">
        <v>7313</v>
      </c>
      <c r="D779" s="13">
        <f>_xll.EditDistance($C$3,C779,2)</f>
        <v>10</v>
      </c>
      <c r="E779" s="13"/>
    </row>
    <row r="780" spans="2:5" x14ac:dyDescent="0.2">
      <c r="B780" t="s">
        <v>7559</v>
      </c>
      <c r="C780" t="s">
        <v>7560</v>
      </c>
      <c r="D780" s="13">
        <f>_xll.EditDistance($C$3,C780,2)</f>
        <v>10</v>
      </c>
      <c r="E780" s="13"/>
    </row>
    <row r="781" spans="2:5" x14ac:dyDescent="0.2">
      <c r="B781" t="s">
        <v>7806</v>
      </c>
      <c r="C781" t="s">
        <v>7807</v>
      </c>
      <c r="D781" s="13">
        <f>_xll.EditDistance($C$3,C781,2)</f>
        <v>20</v>
      </c>
      <c r="E781" s="13"/>
    </row>
    <row r="782" spans="2:5" x14ac:dyDescent="0.2">
      <c r="B782" t="s">
        <v>8014</v>
      </c>
      <c r="C782" t="s">
        <v>8015</v>
      </c>
      <c r="D782" s="13">
        <f>_xll.EditDistance($C$3,C782,2)</f>
        <v>20</v>
      </c>
      <c r="E782" s="13"/>
    </row>
    <row r="783" spans="2:5" x14ac:dyDescent="0.2">
      <c r="B783" t="s">
        <v>8072</v>
      </c>
      <c r="C783" t="s">
        <v>8073</v>
      </c>
      <c r="D783" s="13">
        <f>_xll.EditDistance($C$3,C783,2)</f>
        <v>10</v>
      </c>
      <c r="E783" s="13"/>
    </row>
    <row r="784" spans="2:5" x14ac:dyDescent="0.2">
      <c r="B784" t="s">
        <v>8194</v>
      </c>
      <c r="C784" t="s">
        <v>8196</v>
      </c>
      <c r="D784" s="13">
        <f>_xll.EditDistance($C$3,C784,2)</f>
        <v>10</v>
      </c>
      <c r="E784" s="13"/>
    </row>
    <row r="785" spans="2:5" x14ac:dyDescent="0.2">
      <c r="B785" t="s">
        <v>8197</v>
      </c>
      <c r="C785" t="s">
        <v>8199</v>
      </c>
      <c r="D785" s="13">
        <f>_xll.EditDistance($C$3,C785,2)</f>
        <v>10</v>
      </c>
      <c r="E785" s="13"/>
    </row>
    <row r="786" spans="2:5" x14ac:dyDescent="0.2">
      <c r="B786" t="s">
        <v>8549</v>
      </c>
      <c r="C786" t="s">
        <v>8550</v>
      </c>
      <c r="D786" s="13">
        <f>_xll.EditDistance($C$3,C786,2)</f>
        <v>10</v>
      </c>
      <c r="E786" s="13"/>
    </row>
    <row r="787" spans="2:5" x14ac:dyDescent="0.2">
      <c r="B787" t="s">
        <v>8621</v>
      </c>
      <c r="C787" t="s">
        <v>8622</v>
      </c>
      <c r="D787" s="13">
        <f>_xll.EditDistance($C$3,C787,2)</f>
        <v>10</v>
      </c>
      <c r="E787" s="13"/>
    </row>
    <row r="788" spans="2:5" x14ac:dyDescent="0.2">
      <c r="B788" t="s">
        <v>8692</v>
      </c>
      <c r="C788" t="s">
        <v>8693</v>
      </c>
      <c r="D788" s="13">
        <f>_xll.EditDistance($C$3,C788,2)</f>
        <v>10</v>
      </c>
      <c r="E788" s="13"/>
    </row>
    <row r="789" spans="2:5" x14ac:dyDescent="0.2">
      <c r="B789" t="s">
        <v>8699</v>
      </c>
      <c r="C789" t="s">
        <v>8700</v>
      </c>
      <c r="D789" s="13">
        <f>_xll.EditDistance($C$3,C789,2)</f>
        <v>10</v>
      </c>
      <c r="E789" s="13"/>
    </row>
    <row r="790" spans="2:5" x14ac:dyDescent="0.2">
      <c r="B790" t="s">
        <v>124</v>
      </c>
      <c r="C790" t="s">
        <v>125</v>
      </c>
      <c r="D790" s="13">
        <f>_xll.EditDistance($C$3,C790,2)</f>
        <v>30</v>
      </c>
      <c r="E790" s="13"/>
    </row>
    <row r="791" spans="2:5" x14ac:dyDescent="0.2">
      <c r="B791" t="s">
        <v>4079</v>
      </c>
      <c r="C791" t="s">
        <v>4080</v>
      </c>
      <c r="D791" s="13">
        <f>_xll.EditDistance($C$3,C791,2)</f>
        <v>10</v>
      </c>
      <c r="E791" s="13"/>
    </row>
    <row r="792" spans="2:5" x14ac:dyDescent="0.2">
      <c r="B792" s="22" t="s">
        <v>4451</v>
      </c>
      <c r="C792" t="s">
        <v>4452</v>
      </c>
      <c r="D792" s="13">
        <f>_xll.EditDistance($C$3,C792,2)</f>
        <v>10</v>
      </c>
      <c r="E792" s="13"/>
    </row>
    <row r="793" spans="2:5" x14ac:dyDescent="0.2">
      <c r="B793" t="s">
        <v>6155</v>
      </c>
      <c r="C793" t="s">
        <v>6156</v>
      </c>
      <c r="D793" s="13">
        <f>_xll.EditDistance($C$3,C793,2)</f>
        <v>10</v>
      </c>
      <c r="E793" s="13"/>
    </row>
    <row r="794" spans="2:5" x14ac:dyDescent="0.2">
      <c r="B794" t="s">
        <v>6183</v>
      </c>
      <c r="C794" t="s">
        <v>6184</v>
      </c>
      <c r="D794" s="13">
        <f>_xll.EditDistance($C$3,C794,2)</f>
        <v>10</v>
      </c>
      <c r="E794" s="13"/>
    </row>
    <row r="795" spans="2:5" x14ac:dyDescent="0.2">
      <c r="B795" t="s">
        <v>6461</v>
      </c>
      <c r="C795" t="s">
        <v>6462</v>
      </c>
      <c r="D795" s="13">
        <f>_xll.EditDistance($C$3,C795,2)</f>
        <v>20</v>
      </c>
      <c r="E795" s="13"/>
    </row>
    <row r="796" spans="2:5" x14ac:dyDescent="0.2">
      <c r="B796" t="s">
        <v>6609</v>
      </c>
      <c r="C796" t="s">
        <v>6610</v>
      </c>
      <c r="D796" s="13">
        <f>_xll.EditDistance($C$3,C796,2)</f>
        <v>10</v>
      </c>
      <c r="E796" s="13"/>
    </row>
    <row r="797" spans="2:5" x14ac:dyDescent="0.2">
      <c r="B797" t="s">
        <v>6956</v>
      </c>
      <c r="C797" t="s">
        <v>6957</v>
      </c>
      <c r="D797" s="13">
        <f>_xll.EditDistance($C$3,C797,2)</f>
        <v>10</v>
      </c>
      <c r="E797" s="13"/>
    </row>
    <row r="798" spans="2:5" x14ac:dyDescent="0.2">
      <c r="B798" t="s">
        <v>7583</v>
      </c>
      <c r="C798" t="s">
        <v>7585</v>
      </c>
      <c r="D798" s="13">
        <f>_xll.EditDistance($C$3,C798,2)</f>
        <v>20</v>
      </c>
      <c r="E798" s="13"/>
    </row>
    <row r="799" spans="2:5" x14ac:dyDescent="0.2">
      <c r="B799" t="s">
        <v>8194</v>
      </c>
      <c r="C799" t="s">
        <v>8195</v>
      </c>
      <c r="D799" s="13">
        <f>_xll.EditDistance($C$3,C799,2)</f>
        <v>10</v>
      </c>
      <c r="E799" s="13"/>
    </row>
    <row r="800" spans="2:5" x14ac:dyDescent="0.2">
      <c r="B800" t="s">
        <v>729</v>
      </c>
      <c r="C800" t="s">
        <v>730</v>
      </c>
      <c r="D800" s="13">
        <f>_xll.EditDistance($C$3,C800,2)</f>
        <v>10</v>
      </c>
      <c r="E800" s="13"/>
    </row>
    <row r="801" spans="2:5" x14ac:dyDescent="0.2">
      <c r="B801" t="s">
        <v>1420</v>
      </c>
      <c r="C801" t="s">
        <v>1421</v>
      </c>
      <c r="D801" s="13">
        <f>_xll.EditDistance($C$3,C801,2)</f>
        <v>10</v>
      </c>
      <c r="E801" s="13"/>
    </row>
    <row r="802" spans="2:5" x14ac:dyDescent="0.2">
      <c r="B802" t="s">
        <v>1754</v>
      </c>
      <c r="C802" t="s">
        <v>1755</v>
      </c>
      <c r="D802" s="13">
        <f>_xll.EditDistance($C$3,C802,2)</f>
        <v>20</v>
      </c>
      <c r="E802" s="13"/>
    </row>
    <row r="803" spans="2:5" x14ac:dyDescent="0.2">
      <c r="B803" t="s">
        <v>2168</v>
      </c>
      <c r="C803" t="s">
        <v>2169</v>
      </c>
      <c r="D803" s="13">
        <f>_xll.EditDistance($C$3,C803,2)</f>
        <v>10</v>
      </c>
      <c r="E803" s="13"/>
    </row>
    <row r="804" spans="2:5" x14ac:dyDescent="0.2">
      <c r="B804" t="s">
        <v>2355</v>
      </c>
      <c r="C804" t="s">
        <v>2356</v>
      </c>
      <c r="D804" s="13">
        <f>_xll.EditDistance($C$3,C804,2)</f>
        <v>10</v>
      </c>
      <c r="E804" s="13"/>
    </row>
    <row r="805" spans="2:5" x14ac:dyDescent="0.2">
      <c r="B805" t="s">
        <v>2556</v>
      </c>
      <c r="C805" t="s">
        <v>2557</v>
      </c>
      <c r="D805" s="13">
        <f>_xll.EditDistance($C$3,C805,2)</f>
        <v>10</v>
      </c>
      <c r="E805" s="13"/>
    </row>
    <row r="806" spans="2:5" x14ac:dyDescent="0.2">
      <c r="B806" t="s">
        <v>3394</v>
      </c>
      <c r="C806" t="s">
        <v>3395</v>
      </c>
      <c r="D806" s="13">
        <f>_xll.EditDistance($C$3,C806,2)</f>
        <v>10</v>
      </c>
      <c r="E806" s="13"/>
    </row>
    <row r="807" spans="2:5" x14ac:dyDescent="0.2">
      <c r="B807" t="s">
        <v>5203</v>
      </c>
      <c r="C807" t="s">
        <v>5204</v>
      </c>
      <c r="D807" s="13">
        <f>_xll.EditDistance($C$3,C807,2)</f>
        <v>20</v>
      </c>
      <c r="E807" s="13"/>
    </row>
    <row r="808" spans="2:5" x14ac:dyDescent="0.2">
      <c r="B808" t="s">
        <v>6231</v>
      </c>
      <c r="C808" t="s">
        <v>6234</v>
      </c>
      <c r="D808" s="13">
        <f>_xll.EditDistance($C$3,C808,2)</f>
        <v>10</v>
      </c>
      <c r="E808" s="13"/>
    </row>
    <row r="809" spans="2:5" x14ac:dyDescent="0.2">
      <c r="B809" t="s">
        <v>7030</v>
      </c>
      <c r="C809" t="s">
        <v>7031</v>
      </c>
      <c r="D809" s="13">
        <f>_xll.EditDistance($C$3,C809,2)</f>
        <v>10</v>
      </c>
      <c r="E809" s="13"/>
    </row>
    <row r="810" spans="2:5" x14ac:dyDescent="0.2">
      <c r="B810" t="s">
        <v>7172</v>
      </c>
      <c r="C810" t="s">
        <v>7173</v>
      </c>
      <c r="D810" s="13">
        <f>_xll.EditDistance($C$3,C810,2)</f>
        <v>10</v>
      </c>
      <c r="E810" s="13"/>
    </row>
    <row r="811" spans="2:5" x14ac:dyDescent="0.2">
      <c r="B811" t="s">
        <v>7512</v>
      </c>
      <c r="C811" t="s">
        <v>7514</v>
      </c>
      <c r="D811" s="13">
        <f>_xll.EditDistance($C$3,C811,2)</f>
        <v>20</v>
      </c>
      <c r="E811" s="13"/>
    </row>
    <row r="812" spans="2:5" x14ac:dyDescent="0.2">
      <c r="B812" t="s">
        <v>7650</v>
      </c>
      <c r="C812" t="s">
        <v>7652</v>
      </c>
      <c r="D812" s="13">
        <f>_xll.EditDistance($C$3,C812,2)</f>
        <v>20</v>
      </c>
      <c r="E812" s="13"/>
    </row>
    <row r="813" spans="2:5" x14ac:dyDescent="0.2">
      <c r="B813" t="s">
        <v>224</v>
      </c>
      <c r="C813" t="s">
        <v>225</v>
      </c>
      <c r="D813" s="13">
        <f>_xll.EditDistance($C$3,C813,2)</f>
        <v>10</v>
      </c>
      <c r="E813" s="13"/>
    </row>
    <row r="814" spans="2:5" x14ac:dyDescent="0.2">
      <c r="B814" t="s">
        <v>290</v>
      </c>
      <c r="C814" t="s">
        <v>291</v>
      </c>
      <c r="D814" s="13">
        <f>_xll.EditDistance($C$3,C814,2)</f>
        <v>20</v>
      </c>
      <c r="E814" s="13"/>
    </row>
    <row r="815" spans="2:5" x14ac:dyDescent="0.2">
      <c r="B815" t="s">
        <v>574</v>
      </c>
      <c r="C815" t="s">
        <v>575</v>
      </c>
      <c r="D815" s="13">
        <f>_xll.EditDistance($C$3,C815,2)</f>
        <v>20</v>
      </c>
      <c r="E815" s="13"/>
    </row>
    <row r="816" spans="2:5" x14ac:dyDescent="0.2">
      <c r="B816" t="s">
        <v>716</v>
      </c>
      <c r="C816" t="s">
        <v>717</v>
      </c>
      <c r="D816" s="13">
        <f>_xll.EditDistance($C$3,C816,2)</f>
        <v>10</v>
      </c>
      <c r="E816" s="13"/>
    </row>
    <row r="817" spans="2:5" x14ac:dyDescent="0.2">
      <c r="B817" t="s">
        <v>716</v>
      </c>
      <c r="C817" t="s">
        <v>718</v>
      </c>
      <c r="D817" s="13">
        <f>_xll.EditDistance($C$3,C817,2)</f>
        <v>10</v>
      </c>
      <c r="E817" s="13"/>
    </row>
    <row r="818" spans="2:5" x14ac:dyDescent="0.2">
      <c r="B818" t="s">
        <v>1836</v>
      </c>
      <c r="C818" t="s">
        <v>1837</v>
      </c>
      <c r="D818" s="13">
        <f>_xll.EditDistance($C$3,C818,2)</f>
        <v>10</v>
      </c>
      <c r="E818" s="13"/>
    </row>
    <row r="819" spans="2:5" x14ac:dyDescent="0.2">
      <c r="B819" t="s">
        <v>2006</v>
      </c>
      <c r="C819" t="s">
        <v>2007</v>
      </c>
      <c r="D819" s="13">
        <f>_xll.EditDistance($C$3,C819,2)</f>
        <v>20</v>
      </c>
      <c r="E819" s="13"/>
    </row>
    <row r="820" spans="2:5" x14ac:dyDescent="0.2">
      <c r="B820" t="s">
        <v>2319</v>
      </c>
      <c r="C820" t="s">
        <v>2321</v>
      </c>
      <c r="D820" s="13">
        <f>_xll.EditDistance($C$3,C820,2)</f>
        <v>10</v>
      </c>
      <c r="E820" s="13"/>
    </row>
    <row r="821" spans="2:5" x14ac:dyDescent="0.2">
      <c r="B821" t="s">
        <v>2782</v>
      </c>
      <c r="C821" t="s">
        <v>2783</v>
      </c>
      <c r="D821" s="13">
        <f>_xll.EditDistance($C$3,C821,2)</f>
        <v>16</v>
      </c>
      <c r="E821" s="13"/>
    </row>
    <row r="822" spans="2:5" x14ac:dyDescent="0.2">
      <c r="B822" t="s">
        <v>3060</v>
      </c>
      <c r="C822" t="s">
        <v>3061</v>
      </c>
      <c r="D822" s="13">
        <f>_xll.EditDistance($C$3,C822,2)</f>
        <v>10</v>
      </c>
      <c r="E822" s="13"/>
    </row>
    <row r="823" spans="2:5" x14ac:dyDescent="0.2">
      <c r="B823" t="s">
        <v>3079</v>
      </c>
      <c r="C823" t="s">
        <v>3080</v>
      </c>
      <c r="D823" s="13">
        <f>_xll.EditDistance($C$3,C823,2)</f>
        <v>20</v>
      </c>
      <c r="E823" s="13"/>
    </row>
    <row r="824" spans="2:5" x14ac:dyDescent="0.2">
      <c r="B824" t="s">
        <v>4201</v>
      </c>
      <c r="C824" t="s">
        <v>4202</v>
      </c>
      <c r="D824" s="13">
        <f>_xll.EditDistance($C$3,C824,2)</f>
        <v>10</v>
      </c>
      <c r="E824" s="13"/>
    </row>
    <row r="825" spans="2:5" x14ac:dyDescent="0.2">
      <c r="B825" t="s">
        <v>4554</v>
      </c>
      <c r="C825" t="s">
        <v>4555</v>
      </c>
      <c r="D825" s="13">
        <f>_xll.EditDistance($C$3,C825,2)</f>
        <v>10</v>
      </c>
      <c r="E825" s="13"/>
    </row>
    <row r="826" spans="2:5" x14ac:dyDescent="0.2">
      <c r="B826" t="s">
        <v>5765</v>
      </c>
      <c r="C826" t="s">
        <v>5766</v>
      </c>
      <c r="D826" s="13">
        <f>_xll.EditDistance($C$3,C826,2)</f>
        <v>10</v>
      </c>
      <c r="E826" s="13"/>
    </row>
    <row r="827" spans="2:5" x14ac:dyDescent="0.2">
      <c r="B827" t="s">
        <v>5961</v>
      </c>
      <c r="C827" t="s">
        <v>5962</v>
      </c>
      <c r="D827" s="13">
        <f>_xll.EditDistance($C$3,C827,2)</f>
        <v>10</v>
      </c>
      <c r="E827" s="13"/>
    </row>
    <row r="828" spans="2:5" x14ac:dyDescent="0.2">
      <c r="B828" t="s">
        <v>6340</v>
      </c>
      <c r="C828" t="s">
        <v>6342</v>
      </c>
      <c r="D828" s="13">
        <f>_xll.EditDistance($C$3,C828,2)</f>
        <v>10</v>
      </c>
      <c r="E828" s="13"/>
    </row>
    <row r="829" spans="2:5" x14ac:dyDescent="0.2">
      <c r="B829" t="s">
        <v>6347</v>
      </c>
      <c r="C829" t="s">
        <v>6349</v>
      </c>
      <c r="D829" s="13">
        <f>_xll.EditDistance($C$3,C829,2)</f>
        <v>20</v>
      </c>
      <c r="E829" s="13"/>
    </row>
    <row r="830" spans="2:5" x14ac:dyDescent="0.2">
      <c r="B830" t="s">
        <v>6653</v>
      </c>
      <c r="C830" t="s">
        <v>6654</v>
      </c>
      <c r="D830" s="13">
        <f>_xll.EditDistance($C$3,C830,2)</f>
        <v>30</v>
      </c>
      <c r="E830" s="13"/>
    </row>
    <row r="831" spans="2:5" x14ac:dyDescent="0.2">
      <c r="B831" t="s">
        <v>7062</v>
      </c>
      <c r="C831" t="s">
        <v>7063</v>
      </c>
      <c r="D831" s="13">
        <f>_xll.EditDistance($C$3,C831,2)</f>
        <v>10</v>
      </c>
      <c r="E831" s="13"/>
    </row>
    <row r="832" spans="2:5" x14ac:dyDescent="0.2">
      <c r="B832" t="s">
        <v>7873</v>
      </c>
      <c r="C832" t="s">
        <v>7874</v>
      </c>
      <c r="D832" s="13">
        <f>_xll.EditDistance($C$3,C832,2)</f>
        <v>10</v>
      </c>
      <c r="E832" s="13"/>
    </row>
    <row r="833" spans="2:5" x14ac:dyDescent="0.2">
      <c r="B833" t="s">
        <v>7925</v>
      </c>
      <c r="C833" t="s">
        <v>7926</v>
      </c>
      <c r="D833" s="13">
        <f>_xll.EditDistance($C$3,C833,2)</f>
        <v>20</v>
      </c>
      <c r="E833" s="13"/>
    </row>
    <row r="834" spans="2:5" x14ac:dyDescent="0.2">
      <c r="B834" t="s">
        <v>8229</v>
      </c>
      <c r="C834" t="s">
        <v>8231</v>
      </c>
      <c r="D834" s="13">
        <f>_xll.EditDistance($C$3,C834,2)</f>
        <v>20</v>
      </c>
      <c r="E834" s="13"/>
    </row>
    <row r="835" spans="2:5" x14ac:dyDescent="0.2">
      <c r="B835" t="s">
        <v>8553</v>
      </c>
      <c r="C835" t="s">
        <v>8554</v>
      </c>
      <c r="D835" s="13">
        <f>_xll.EditDistance($C$3,C835,2)</f>
        <v>20</v>
      </c>
      <c r="E835" s="13"/>
    </row>
    <row r="836" spans="2:5" x14ac:dyDescent="0.2">
      <c r="B836" t="s">
        <v>119</v>
      </c>
      <c r="C836" t="s">
        <v>123</v>
      </c>
      <c r="D836" s="13">
        <f>_xll.EditDistance($C$3,C836,2)</f>
        <v>20</v>
      </c>
      <c r="E836" s="13"/>
    </row>
    <row r="837" spans="2:5" x14ac:dyDescent="0.2">
      <c r="B837" t="s">
        <v>153</v>
      </c>
      <c r="C837" t="s">
        <v>154</v>
      </c>
      <c r="D837" s="13">
        <f>_xll.EditDistance($C$3,C837,2)</f>
        <v>10</v>
      </c>
      <c r="E837" s="13"/>
    </row>
    <row r="838" spans="2:5" x14ac:dyDescent="0.2">
      <c r="B838" t="s">
        <v>184</v>
      </c>
      <c r="C838" t="s">
        <v>185</v>
      </c>
      <c r="D838" s="13">
        <f>_xll.EditDistance($C$3,C838,2)</f>
        <v>10</v>
      </c>
      <c r="E838" s="13"/>
    </row>
    <row r="839" spans="2:5" x14ac:dyDescent="0.2">
      <c r="B839" t="s">
        <v>251</v>
      </c>
      <c r="C839" t="s">
        <v>252</v>
      </c>
      <c r="D839" s="13">
        <f>_xll.EditDistance($C$3,C839,2)</f>
        <v>10</v>
      </c>
      <c r="E839" s="13"/>
    </row>
    <row r="840" spans="2:5" x14ac:dyDescent="0.2">
      <c r="B840" t="s">
        <v>301</v>
      </c>
      <c r="C840" t="s">
        <v>302</v>
      </c>
      <c r="D840" s="13">
        <f>_xll.EditDistance($C$3,C840,2)</f>
        <v>10</v>
      </c>
      <c r="E840" s="13"/>
    </row>
    <row r="841" spans="2:5" x14ac:dyDescent="0.2">
      <c r="B841" t="s">
        <v>331</v>
      </c>
      <c r="C841" t="s">
        <v>332</v>
      </c>
      <c r="D841" s="13">
        <f>_xll.EditDistance($C$3,C841,2)</f>
        <v>10</v>
      </c>
      <c r="E841" s="13"/>
    </row>
    <row r="842" spans="2:5" x14ac:dyDescent="0.2">
      <c r="B842" t="s">
        <v>366</v>
      </c>
      <c r="C842" t="s">
        <v>367</v>
      </c>
      <c r="D842" s="13">
        <f>_xll.EditDistance($C$3,C842,2)</f>
        <v>10</v>
      </c>
      <c r="E842" s="13"/>
    </row>
    <row r="843" spans="2:5" x14ac:dyDescent="0.2">
      <c r="B843" t="s">
        <v>418</v>
      </c>
      <c r="C843" t="s">
        <v>419</v>
      </c>
      <c r="D843" s="13">
        <f>_xll.EditDistance($C$3,C843,2)</f>
        <v>10</v>
      </c>
      <c r="E843" s="13"/>
    </row>
    <row r="844" spans="2:5" x14ac:dyDescent="0.2">
      <c r="B844" t="s">
        <v>434</v>
      </c>
      <c r="C844" t="s">
        <v>435</v>
      </c>
      <c r="D844" s="13">
        <f>_xll.EditDistance($C$3,C844,2)</f>
        <v>30</v>
      </c>
      <c r="E844" s="13"/>
    </row>
    <row r="845" spans="2:5" x14ac:dyDescent="0.2">
      <c r="B845" t="s">
        <v>450</v>
      </c>
      <c r="C845" t="s">
        <v>451</v>
      </c>
      <c r="D845" s="13">
        <f>_xll.EditDistance($C$3,C845,2)</f>
        <v>10</v>
      </c>
      <c r="E845" s="13"/>
    </row>
    <row r="846" spans="2:5" x14ac:dyDescent="0.2">
      <c r="B846" t="s">
        <v>885</v>
      </c>
      <c r="C846" t="s">
        <v>886</v>
      </c>
      <c r="D846" s="13">
        <f>_xll.EditDistance($C$3,C846,2)</f>
        <v>10</v>
      </c>
      <c r="E846" s="13"/>
    </row>
    <row r="847" spans="2:5" x14ac:dyDescent="0.2">
      <c r="B847" t="s">
        <v>1129</v>
      </c>
      <c r="C847" t="s">
        <v>1130</v>
      </c>
      <c r="D847" s="13">
        <f>_xll.EditDistance($C$3,C847,2)</f>
        <v>10</v>
      </c>
      <c r="E847" s="13"/>
    </row>
    <row r="848" spans="2:5" x14ac:dyDescent="0.2">
      <c r="B848" t="s">
        <v>1178</v>
      </c>
      <c r="C848" t="s">
        <v>1179</v>
      </c>
      <c r="D848" s="13">
        <f>_xll.EditDistance($C$3,C848,2)</f>
        <v>10</v>
      </c>
      <c r="E848" s="13"/>
    </row>
    <row r="849" spans="2:5" x14ac:dyDescent="0.2">
      <c r="B849" t="s">
        <v>1214</v>
      </c>
      <c r="C849" t="s">
        <v>1215</v>
      </c>
      <c r="D849" s="13">
        <f>_xll.EditDistance($C$3,C849,2)</f>
        <v>10</v>
      </c>
      <c r="E849" s="13"/>
    </row>
    <row r="850" spans="2:5" x14ac:dyDescent="0.2">
      <c r="B850" t="s">
        <v>1216</v>
      </c>
      <c r="C850" t="s">
        <v>1217</v>
      </c>
      <c r="D850" s="13">
        <f>_xll.EditDistance($C$3,C850,2)</f>
        <v>10</v>
      </c>
      <c r="E850" s="13"/>
    </row>
    <row r="851" spans="2:5" x14ac:dyDescent="0.2">
      <c r="B851" t="s">
        <v>1298</v>
      </c>
      <c r="C851" t="s">
        <v>1299</v>
      </c>
      <c r="D851" s="13">
        <f>_xll.EditDistance($C$3,C851,2)</f>
        <v>10</v>
      </c>
      <c r="E851" s="13"/>
    </row>
    <row r="852" spans="2:5" x14ac:dyDescent="0.2">
      <c r="B852" t="s">
        <v>1314</v>
      </c>
      <c r="C852" t="s">
        <v>1315</v>
      </c>
      <c r="D852" s="13">
        <f>_xll.EditDistance($C$3,C852,2)</f>
        <v>10</v>
      </c>
      <c r="E852" s="13"/>
    </row>
    <row r="853" spans="2:5" x14ac:dyDescent="0.2">
      <c r="B853" t="s">
        <v>1426</v>
      </c>
      <c r="C853" t="s">
        <v>1427</v>
      </c>
      <c r="D853" s="13">
        <f>_xll.EditDistance($C$3,C853,2)</f>
        <v>10</v>
      </c>
      <c r="E853" s="13"/>
    </row>
    <row r="854" spans="2:5" x14ac:dyDescent="0.2">
      <c r="B854" t="s">
        <v>1554</v>
      </c>
      <c r="C854" t="s">
        <v>1555</v>
      </c>
      <c r="D854" s="13">
        <f>_xll.EditDistance($C$3,C854,2)</f>
        <v>10</v>
      </c>
      <c r="E854" s="13"/>
    </row>
    <row r="855" spans="2:5" x14ac:dyDescent="0.2">
      <c r="B855" t="s">
        <v>1586</v>
      </c>
      <c r="C855" t="s">
        <v>1587</v>
      </c>
      <c r="D855" s="13">
        <f>_xll.EditDistance($C$3,C855,2)</f>
        <v>10</v>
      </c>
      <c r="E855" s="13"/>
    </row>
    <row r="856" spans="2:5" x14ac:dyDescent="0.2">
      <c r="B856" t="s">
        <v>1632</v>
      </c>
      <c r="C856" t="s">
        <v>1633</v>
      </c>
      <c r="D856" s="13">
        <f>_xll.EditDistance($C$3,C856,2)</f>
        <v>10</v>
      </c>
      <c r="E856" s="13"/>
    </row>
    <row r="857" spans="2:5" x14ac:dyDescent="0.2">
      <c r="B857" t="s">
        <v>1826</v>
      </c>
      <c r="C857" t="s">
        <v>1827</v>
      </c>
      <c r="D857" s="13">
        <f>_xll.EditDistance($C$3,C857,2)</f>
        <v>10</v>
      </c>
      <c r="E857" s="13"/>
    </row>
    <row r="858" spans="2:5" x14ac:dyDescent="0.2">
      <c r="B858" t="s">
        <v>1877</v>
      </c>
      <c r="C858" t="s">
        <v>1878</v>
      </c>
      <c r="D858" s="13">
        <f>_xll.EditDistance($C$3,C858,2)</f>
        <v>10</v>
      </c>
      <c r="E858" s="13"/>
    </row>
    <row r="859" spans="2:5" x14ac:dyDescent="0.2">
      <c r="B859" t="s">
        <v>1944</v>
      </c>
      <c r="C859" t="s">
        <v>1945</v>
      </c>
      <c r="D859" s="13">
        <f>_xll.EditDistance($C$3,C859,2)</f>
        <v>10</v>
      </c>
      <c r="E859" s="13"/>
    </row>
    <row r="860" spans="2:5" x14ac:dyDescent="0.2">
      <c r="B860" t="s">
        <v>1990</v>
      </c>
      <c r="C860" t="s">
        <v>1991</v>
      </c>
      <c r="D860" s="13">
        <f>_xll.EditDistance($C$3,C860,2)</f>
        <v>10</v>
      </c>
      <c r="E860" s="13"/>
    </row>
    <row r="861" spans="2:5" x14ac:dyDescent="0.2">
      <c r="B861" t="s">
        <v>1998</v>
      </c>
      <c r="C861" t="s">
        <v>1999</v>
      </c>
      <c r="D861" s="13">
        <f>_xll.EditDistance($C$3,C861,2)</f>
        <v>10</v>
      </c>
      <c r="E861" s="13"/>
    </row>
    <row r="862" spans="2:5" x14ac:dyDescent="0.2">
      <c r="B862" t="s">
        <v>2390</v>
      </c>
      <c r="C862" t="s">
        <v>2391</v>
      </c>
      <c r="D862" s="13">
        <f>_xll.EditDistance($C$3,C862,2)</f>
        <v>10</v>
      </c>
      <c r="E862" s="13"/>
    </row>
    <row r="863" spans="2:5" x14ac:dyDescent="0.2">
      <c r="B863" t="s">
        <v>2470</v>
      </c>
      <c r="C863" t="s">
        <v>2471</v>
      </c>
      <c r="D863" s="13">
        <f>_xll.EditDistance($C$3,C863,2)</f>
        <v>10</v>
      </c>
      <c r="E863" s="13"/>
    </row>
    <row r="864" spans="2:5" x14ac:dyDescent="0.2">
      <c r="B864" t="s">
        <v>2494</v>
      </c>
      <c r="C864" t="s">
        <v>2495</v>
      </c>
      <c r="D864" s="13">
        <f>_xll.EditDistance($C$3,C864,2)</f>
        <v>10</v>
      </c>
      <c r="E864" s="13"/>
    </row>
    <row r="865" spans="2:5" x14ac:dyDescent="0.2">
      <c r="B865" t="s">
        <v>2502</v>
      </c>
      <c r="C865" t="s">
        <v>2503</v>
      </c>
      <c r="D865" s="13">
        <f>_xll.EditDistance($C$3,C865,2)</f>
        <v>10</v>
      </c>
      <c r="E865" s="13"/>
    </row>
    <row r="866" spans="2:5" x14ac:dyDescent="0.2">
      <c r="B866" t="s">
        <v>2506</v>
      </c>
      <c r="C866" t="s">
        <v>2507</v>
      </c>
      <c r="D866" s="13">
        <f>_xll.EditDistance($C$3,C866,2)</f>
        <v>10</v>
      </c>
      <c r="E866" s="13"/>
    </row>
    <row r="867" spans="2:5" x14ac:dyDescent="0.2">
      <c r="B867" t="s">
        <v>2848</v>
      </c>
      <c r="C867" t="s">
        <v>2849</v>
      </c>
      <c r="D867" s="13">
        <f>_xll.EditDistance($C$3,C867,2)</f>
        <v>10</v>
      </c>
      <c r="E867" s="13"/>
    </row>
    <row r="868" spans="2:5" x14ac:dyDescent="0.2">
      <c r="B868" t="s">
        <v>2894</v>
      </c>
      <c r="C868" t="s">
        <v>2895</v>
      </c>
      <c r="D868" s="13">
        <f>_xll.EditDistance($C$3,C868,2)</f>
        <v>10</v>
      </c>
      <c r="E868" s="13"/>
    </row>
    <row r="869" spans="2:5" x14ac:dyDescent="0.2">
      <c r="B869" t="s">
        <v>2961</v>
      </c>
      <c r="C869" t="s">
        <v>2962</v>
      </c>
      <c r="D869" s="13">
        <f>_xll.EditDistance($C$3,C869,2)</f>
        <v>10</v>
      </c>
      <c r="E869" s="13"/>
    </row>
    <row r="870" spans="2:5" x14ac:dyDescent="0.2">
      <c r="B870" t="s">
        <v>2978</v>
      </c>
      <c r="C870" t="s">
        <v>2979</v>
      </c>
      <c r="D870" s="13">
        <f>_xll.EditDistance($C$3,C870,2)</f>
        <v>10</v>
      </c>
      <c r="E870" s="13"/>
    </row>
    <row r="871" spans="2:5" x14ac:dyDescent="0.2">
      <c r="B871" t="s">
        <v>3017</v>
      </c>
      <c r="C871" t="s">
        <v>3018</v>
      </c>
      <c r="D871" s="13">
        <f>_xll.EditDistance($C$3,C871,2)</f>
        <v>10</v>
      </c>
      <c r="E871" s="13"/>
    </row>
    <row r="872" spans="2:5" x14ac:dyDescent="0.2">
      <c r="B872" t="s">
        <v>3033</v>
      </c>
      <c r="C872" t="s">
        <v>3034</v>
      </c>
      <c r="D872" s="13">
        <f>_xll.EditDistance($C$3,C872,2)</f>
        <v>10</v>
      </c>
      <c r="E872" s="13"/>
    </row>
    <row r="873" spans="2:5" x14ac:dyDescent="0.2">
      <c r="B873" t="s">
        <v>3145</v>
      </c>
      <c r="C873" t="s">
        <v>3146</v>
      </c>
      <c r="D873" s="13">
        <f>_xll.EditDistance($C$3,C873,2)</f>
        <v>10</v>
      </c>
      <c r="E873" s="13"/>
    </row>
    <row r="874" spans="2:5" x14ac:dyDescent="0.2">
      <c r="B874" t="s">
        <v>3338</v>
      </c>
      <c r="C874" t="s">
        <v>3339</v>
      </c>
      <c r="D874" s="13">
        <f>_xll.EditDistance($C$3,C874,2)</f>
        <v>10</v>
      </c>
      <c r="E874" s="13"/>
    </row>
    <row r="875" spans="2:5" x14ac:dyDescent="0.2">
      <c r="B875" t="s">
        <v>3484</v>
      </c>
      <c r="C875" t="s">
        <v>3485</v>
      </c>
      <c r="D875" s="13">
        <f>_xll.EditDistance($C$3,C875,2)</f>
        <v>10</v>
      </c>
      <c r="E875" s="13"/>
    </row>
    <row r="876" spans="2:5" x14ac:dyDescent="0.2">
      <c r="B876" t="s">
        <v>3648</v>
      </c>
      <c r="C876" t="s">
        <v>3649</v>
      </c>
      <c r="D876" s="13">
        <f>_xll.EditDistance($C$3,C876,2)</f>
        <v>10</v>
      </c>
      <c r="E876" s="13"/>
    </row>
    <row r="877" spans="2:5" x14ac:dyDescent="0.2">
      <c r="B877" t="s">
        <v>3778</v>
      </c>
      <c r="C877" t="s">
        <v>3779</v>
      </c>
      <c r="D877" s="13">
        <f>_xll.EditDistance($C$3,C877,2)</f>
        <v>20</v>
      </c>
      <c r="E877" s="13"/>
    </row>
    <row r="878" spans="2:5" x14ac:dyDescent="0.2">
      <c r="B878" t="s">
        <v>3862</v>
      </c>
      <c r="C878" t="s">
        <v>3863</v>
      </c>
      <c r="D878" s="13">
        <f>_xll.EditDistance($C$3,C878,2)</f>
        <v>18</v>
      </c>
      <c r="E878" s="13"/>
    </row>
    <row r="879" spans="2:5" x14ac:dyDescent="0.2">
      <c r="B879" t="s">
        <v>3963</v>
      </c>
      <c r="C879" t="s">
        <v>3964</v>
      </c>
      <c r="D879" s="13">
        <f>_xll.EditDistance($C$3,C879,2)</f>
        <v>10</v>
      </c>
      <c r="E879" s="13"/>
    </row>
    <row r="880" spans="2:5" x14ac:dyDescent="0.2">
      <c r="B880" t="s">
        <v>4177</v>
      </c>
      <c r="C880" t="s">
        <v>4178</v>
      </c>
      <c r="D880" s="13">
        <f>_xll.EditDistance($C$3,C880,2)</f>
        <v>10</v>
      </c>
      <c r="E880" s="13"/>
    </row>
    <row r="881" spans="2:5" x14ac:dyDescent="0.2">
      <c r="B881" t="s">
        <v>4205</v>
      </c>
      <c r="C881" t="s">
        <v>4206</v>
      </c>
      <c r="D881" s="13">
        <f>_xll.EditDistance($C$3,C881,2)</f>
        <v>20</v>
      </c>
      <c r="E881" s="13"/>
    </row>
    <row r="882" spans="2:5" x14ac:dyDescent="0.2">
      <c r="B882" t="s">
        <v>4347</v>
      </c>
      <c r="C882" t="s">
        <v>4348</v>
      </c>
      <c r="D882" s="13">
        <f>_xll.EditDistance($C$3,C882,2)</f>
        <v>10</v>
      </c>
      <c r="E882" s="13"/>
    </row>
    <row r="883" spans="2:5" x14ac:dyDescent="0.2">
      <c r="B883" t="s">
        <v>4357</v>
      </c>
      <c r="C883" t="s">
        <v>4358</v>
      </c>
      <c r="D883" s="13">
        <f>_xll.EditDistance($C$3,C883,2)</f>
        <v>10</v>
      </c>
      <c r="E883" s="13"/>
    </row>
    <row r="884" spans="2:5" x14ac:dyDescent="0.2">
      <c r="B884" t="s">
        <v>4728</v>
      </c>
      <c r="C884" t="s">
        <v>4729</v>
      </c>
      <c r="D884" s="13">
        <f>_xll.EditDistance($C$3,C884,2)</f>
        <v>10</v>
      </c>
      <c r="E884" s="13"/>
    </row>
    <row r="885" spans="2:5" x14ac:dyDescent="0.2">
      <c r="B885" t="s">
        <v>4761</v>
      </c>
      <c r="C885" t="s">
        <v>4762</v>
      </c>
      <c r="D885" s="13">
        <f>_xll.EditDistance($C$3,C885,2)</f>
        <v>20</v>
      </c>
      <c r="E885" s="13"/>
    </row>
    <row r="886" spans="2:5" x14ac:dyDescent="0.2">
      <c r="B886" t="s">
        <v>4877</v>
      </c>
      <c r="C886" t="s">
        <v>4878</v>
      </c>
      <c r="D886" s="13">
        <f>_xll.EditDistance($C$3,C886,2)</f>
        <v>10</v>
      </c>
      <c r="E886" s="13"/>
    </row>
    <row r="887" spans="2:5" x14ac:dyDescent="0.2">
      <c r="B887" t="s">
        <v>4908</v>
      </c>
      <c r="C887" t="s">
        <v>4909</v>
      </c>
      <c r="D887" s="13">
        <f>_xll.EditDistance($C$3,C887,2)</f>
        <v>20</v>
      </c>
      <c r="E887" s="13"/>
    </row>
    <row r="888" spans="2:5" x14ac:dyDescent="0.2">
      <c r="B888" t="s">
        <v>4983</v>
      </c>
      <c r="C888" t="s">
        <v>4984</v>
      </c>
      <c r="D888" s="13">
        <f>_xll.EditDistance($C$3,C888,2)</f>
        <v>10</v>
      </c>
      <c r="E888" s="13"/>
    </row>
    <row r="889" spans="2:5" x14ac:dyDescent="0.2">
      <c r="B889" t="s">
        <v>5136</v>
      </c>
      <c r="C889" t="s">
        <v>5137</v>
      </c>
      <c r="D889" s="13">
        <f>_xll.EditDistance($C$3,C889,2)</f>
        <v>10</v>
      </c>
      <c r="E889" s="13"/>
    </row>
    <row r="890" spans="2:5" x14ac:dyDescent="0.2">
      <c r="B890" t="s">
        <v>5211</v>
      </c>
      <c r="C890" t="s">
        <v>5213</v>
      </c>
      <c r="D890" s="13">
        <f>_xll.EditDistance($C$3,C890,2)</f>
        <v>54</v>
      </c>
      <c r="E890" s="13"/>
    </row>
    <row r="891" spans="2:5" x14ac:dyDescent="0.2">
      <c r="B891" t="s">
        <v>5275</v>
      </c>
      <c r="C891" t="s">
        <v>5276</v>
      </c>
      <c r="D891" s="13">
        <f>_xll.EditDistance($C$3,C891,2)</f>
        <v>10</v>
      </c>
      <c r="E891" s="13"/>
    </row>
    <row r="892" spans="2:5" x14ac:dyDescent="0.2">
      <c r="B892" t="s">
        <v>5324</v>
      </c>
      <c r="C892" t="s">
        <v>5325</v>
      </c>
      <c r="D892" s="13">
        <f>_xll.EditDistance($C$3,C892,2)</f>
        <v>10</v>
      </c>
      <c r="E892" s="13"/>
    </row>
    <row r="893" spans="2:5" x14ac:dyDescent="0.2">
      <c r="B893" t="s">
        <v>5487</v>
      </c>
      <c r="C893" t="s">
        <v>5488</v>
      </c>
      <c r="D893" s="13">
        <f>_xll.EditDistance($C$3,C893,2)</f>
        <v>20</v>
      </c>
      <c r="E893" s="13"/>
    </row>
    <row r="894" spans="2:5" x14ac:dyDescent="0.2">
      <c r="B894" t="s">
        <v>5590</v>
      </c>
      <c r="C894" t="s">
        <v>5591</v>
      </c>
      <c r="D894" s="13">
        <f>_xll.EditDistance($C$3,C894,2)</f>
        <v>10</v>
      </c>
      <c r="E894" s="13"/>
    </row>
    <row r="895" spans="2:5" x14ac:dyDescent="0.2">
      <c r="B895" t="s">
        <v>5670</v>
      </c>
      <c r="C895" t="s">
        <v>5671</v>
      </c>
      <c r="D895" s="13">
        <f>_xll.EditDistance($C$3,C895,2)</f>
        <v>10</v>
      </c>
      <c r="E895" s="13"/>
    </row>
    <row r="896" spans="2:5" x14ac:dyDescent="0.2">
      <c r="B896" t="s">
        <v>5756</v>
      </c>
      <c r="C896" t="s">
        <v>5757</v>
      </c>
      <c r="D896" s="13">
        <f>_xll.EditDistance($C$3,C896,2)</f>
        <v>20</v>
      </c>
      <c r="E896" s="13"/>
    </row>
    <row r="897" spans="2:5" x14ac:dyDescent="0.2">
      <c r="B897" t="s">
        <v>5769</v>
      </c>
      <c r="C897" t="s">
        <v>5770</v>
      </c>
      <c r="D897" s="13">
        <f>_xll.EditDistance($C$3,C897,2)</f>
        <v>10</v>
      </c>
      <c r="E897" s="13"/>
    </row>
    <row r="898" spans="2:5" x14ac:dyDescent="0.2">
      <c r="B898" t="s">
        <v>5852</v>
      </c>
      <c r="C898" t="s">
        <v>5853</v>
      </c>
      <c r="D898" s="13">
        <f>_xll.EditDistance($C$3,C898,2)</f>
        <v>10</v>
      </c>
      <c r="E898" s="13"/>
    </row>
    <row r="899" spans="2:5" x14ac:dyDescent="0.2">
      <c r="B899" t="s">
        <v>5881</v>
      </c>
      <c r="C899" t="s">
        <v>5882</v>
      </c>
      <c r="D899" s="13">
        <f>_xll.EditDistance($C$3,C899,2)</f>
        <v>10</v>
      </c>
      <c r="E899" s="13"/>
    </row>
    <row r="900" spans="2:5" x14ac:dyDescent="0.2">
      <c r="B900" t="s">
        <v>6049</v>
      </c>
      <c r="C900" t="s">
        <v>6050</v>
      </c>
      <c r="D900" s="13">
        <f>_xll.EditDistance($C$3,C900,2)</f>
        <v>10</v>
      </c>
      <c r="E900" s="13"/>
    </row>
    <row r="901" spans="2:5" x14ac:dyDescent="0.2">
      <c r="B901" t="s">
        <v>6087</v>
      </c>
      <c r="C901" t="s">
        <v>6088</v>
      </c>
      <c r="D901" s="13">
        <f>_xll.EditDistance($C$3,C901,2)</f>
        <v>30</v>
      </c>
      <c r="E901" s="13"/>
    </row>
    <row r="902" spans="2:5" x14ac:dyDescent="0.2">
      <c r="B902" t="s">
        <v>6177</v>
      </c>
      <c r="C902" t="s">
        <v>6178</v>
      </c>
      <c r="D902" s="13">
        <f>_xll.EditDistance($C$3,C902,2)</f>
        <v>10</v>
      </c>
      <c r="E902" s="13"/>
    </row>
    <row r="903" spans="2:5" x14ac:dyDescent="0.2">
      <c r="B903" t="s">
        <v>6192</v>
      </c>
      <c r="C903" t="s">
        <v>6193</v>
      </c>
      <c r="D903" s="13">
        <f>_xll.EditDistance($C$3,C903,2)</f>
        <v>10</v>
      </c>
      <c r="E903" s="13"/>
    </row>
    <row r="904" spans="2:5" x14ac:dyDescent="0.2">
      <c r="B904" t="s">
        <v>6198</v>
      </c>
      <c r="C904" t="s">
        <v>6199</v>
      </c>
      <c r="D904" s="13">
        <f>_xll.EditDistance($C$3,C904,2)</f>
        <v>10</v>
      </c>
      <c r="E904" s="13"/>
    </row>
    <row r="905" spans="2:5" x14ac:dyDescent="0.2">
      <c r="B905" t="s">
        <v>6231</v>
      </c>
      <c r="C905" t="s">
        <v>6233</v>
      </c>
      <c r="D905" s="13">
        <f>_xll.EditDistance($C$3,C905,2)</f>
        <v>10</v>
      </c>
      <c r="E905" s="13"/>
    </row>
    <row r="906" spans="2:5" x14ac:dyDescent="0.2">
      <c r="B906" t="s">
        <v>6248</v>
      </c>
      <c r="C906" t="s">
        <v>6249</v>
      </c>
      <c r="D906" s="13">
        <f>_xll.EditDistance($C$3,C906,2)</f>
        <v>10</v>
      </c>
      <c r="E906" s="13"/>
    </row>
    <row r="907" spans="2:5" x14ac:dyDescent="0.2">
      <c r="B907" t="s">
        <v>6340</v>
      </c>
      <c r="C907" t="s">
        <v>6341</v>
      </c>
      <c r="D907" s="13">
        <f>_xll.EditDistance($C$3,C907,2)</f>
        <v>10</v>
      </c>
      <c r="E907" s="13"/>
    </row>
    <row r="908" spans="2:5" x14ac:dyDescent="0.2">
      <c r="B908" t="s">
        <v>6446</v>
      </c>
      <c r="C908" t="s">
        <v>6447</v>
      </c>
      <c r="D908" s="13">
        <f>_xll.EditDistance($C$3,C908,2)</f>
        <v>10</v>
      </c>
      <c r="E908" s="13"/>
    </row>
    <row r="909" spans="2:5" x14ac:dyDescent="0.2">
      <c r="B909" t="s">
        <v>6446</v>
      </c>
      <c r="C909" t="s">
        <v>6448</v>
      </c>
      <c r="D909" s="13">
        <f>_xll.EditDistance($C$3,C909,2)</f>
        <v>10</v>
      </c>
      <c r="E909" s="13"/>
    </row>
    <row r="910" spans="2:5" x14ac:dyDescent="0.2">
      <c r="B910" t="s">
        <v>6553</v>
      </c>
      <c r="C910" t="s">
        <v>6555</v>
      </c>
      <c r="D910" s="13">
        <f>_xll.EditDistance($C$3,C910,2)</f>
        <v>20</v>
      </c>
      <c r="E910" s="13"/>
    </row>
    <row r="911" spans="2:5" x14ac:dyDescent="0.2">
      <c r="B911" t="s">
        <v>6721</v>
      </c>
      <c r="C911" t="s">
        <v>6722</v>
      </c>
      <c r="D911" s="13">
        <f>_xll.EditDistance($C$3,C911,2)</f>
        <v>10</v>
      </c>
      <c r="E911" s="13"/>
    </row>
    <row r="912" spans="2:5" x14ac:dyDescent="0.2">
      <c r="B912" t="s">
        <v>6721</v>
      </c>
      <c r="C912" t="s">
        <v>6723</v>
      </c>
      <c r="D912" s="13">
        <f>_xll.EditDistance($C$3,C912,2)</f>
        <v>10</v>
      </c>
      <c r="E912" s="13"/>
    </row>
    <row r="913" spans="2:5" x14ac:dyDescent="0.2">
      <c r="B913" t="s">
        <v>6804</v>
      </c>
      <c r="C913" t="s">
        <v>6805</v>
      </c>
      <c r="D913" s="13">
        <f>_xll.EditDistance($C$3,C913,2)</f>
        <v>10</v>
      </c>
      <c r="E913" s="13"/>
    </row>
    <row r="914" spans="2:5" x14ac:dyDescent="0.2">
      <c r="B914" t="s">
        <v>6864</v>
      </c>
      <c r="C914" t="s">
        <v>6865</v>
      </c>
      <c r="D914" s="13">
        <f>_xll.EditDistance($C$3,C914,2)</f>
        <v>10</v>
      </c>
      <c r="E914" s="13"/>
    </row>
    <row r="915" spans="2:5" x14ac:dyDescent="0.2">
      <c r="B915" t="s">
        <v>7113</v>
      </c>
      <c r="C915" t="s">
        <v>7114</v>
      </c>
      <c r="D915" s="13">
        <f>_xll.EditDistance($C$3,C915,2)</f>
        <v>10</v>
      </c>
      <c r="E915" s="13"/>
    </row>
    <row r="916" spans="2:5" x14ac:dyDescent="0.2">
      <c r="B916" t="s">
        <v>7446</v>
      </c>
      <c r="C916" t="s">
        <v>7447</v>
      </c>
      <c r="D916" s="13">
        <f>_xll.EditDistance($C$3,C916,2)</f>
        <v>20</v>
      </c>
      <c r="E916" s="13"/>
    </row>
    <row r="917" spans="2:5" x14ac:dyDescent="0.2">
      <c r="B917" t="s">
        <v>7808</v>
      </c>
      <c r="C917" t="s">
        <v>7809</v>
      </c>
      <c r="D917" s="13">
        <f>_xll.EditDistance($C$3,C917,2)</f>
        <v>10</v>
      </c>
      <c r="E917" s="13"/>
    </row>
    <row r="918" spans="2:5" x14ac:dyDescent="0.2">
      <c r="B918" t="s">
        <v>7830</v>
      </c>
      <c r="C918" t="s">
        <v>7831</v>
      </c>
      <c r="D918" s="13">
        <f>_xll.EditDistance($C$3,C918,2)</f>
        <v>10</v>
      </c>
      <c r="E918" s="13"/>
    </row>
    <row r="919" spans="2:5" x14ac:dyDescent="0.2">
      <c r="B919" t="s">
        <v>7879</v>
      </c>
      <c r="C919" t="s">
        <v>7880</v>
      </c>
      <c r="D919" s="13">
        <f>_xll.EditDistance($C$3,C919,2)</f>
        <v>10</v>
      </c>
      <c r="E919" s="13"/>
    </row>
    <row r="920" spans="2:5" x14ac:dyDescent="0.2">
      <c r="B920" t="s">
        <v>7956</v>
      </c>
      <c r="C920" t="s">
        <v>7957</v>
      </c>
      <c r="D920" s="13">
        <f>_xll.EditDistance($C$3,C920,2)</f>
        <v>10</v>
      </c>
      <c r="E920" s="13"/>
    </row>
    <row r="921" spans="2:5" x14ac:dyDescent="0.2">
      <c r="B921" t="s">
        <v>8064</v>
      </c>
      <c r="C921" t="s">
        <v>8065</v>
      </c>
      <c r="D921" s="13">
        <f>_xll.EditDistance($C$3,C921,2)</f>
        <v>10</v>
      </c>
      <c r="E921" s="13"/>
    </row>
    <row r="922" spans="2:5" x14ac:dyDescent="0.2">
      <c r="B922" t="s">
        <v>8174</v>
      </c>
      <c r="C922" t="s">
        <v>8175</v>
      </c>
      <c r="D922" s="13">
        <f>_xll.EditDistance($C$3,C922,2)</f>
        <v>10</v>
      </c>
      <c r="E922" s="13"/>
    </row>
    <row r="923" spans="2:5" x14ac:dyDescent="0.2">
      <c r="B923" t="s">
        <v>8252</v>
      </c>
      <c r="C923" t="s">
        <v>8253</v>
      </c>
      <c r="D923" s="13">
        <f>_xll.EditDistance($C$3,C923,2)</f>
        <v>10</v>
      </c>
      <c r="E923" s="13"/>
    </row>
    <row r="924" spans="2:5" x14ac:dyDescent="0.2">
      <c r="B924" t="s">
        <v>8254</v>
      </c>
      <c r="C924" t="s">
        <v>8255</v>
      </c>
      <c r="D924" s="13">
        <f>_xll.EditDistance($C$3,C924,2)</f>
        <v>20</v>
      </c>
      <c r="E924" s="13"/>
    </row>
    <row r="925" spans="2:5" x14ac:dyDescent="0.2">
      <c r="B925" t="s">
        <v>8294</v>
      </c>
      <c r="C925" t="s">
        <v>8295</v>
      </c>
      <c r="D925" s="13">
        <f>_xll.EditDistance($C$3,C925,2)</f>
        <v>20</v>
      </c>
      <c r="E925" s="13"/>
    </row>
    <row r="926" spans="2:5" x14ac:dyDescent="0.2">
      <c r="B926" t="s">
        <v>8361</v>
      </c>
      <c r="C926" t="s">
        <v>8362</v>
      </c>
      <c r="D926" s="13">
        <f>_xll.EditDistance($C$3,C926,2)</f>
        <v>10</v>
      </c>
      <c r="E926" s="13"/>
    </row>
    <row r="927" spans="2:5" x14ac:dyDescent="0.2">
      <c r="B927" t="s">
        <v>8445</v>
      </c>
      <c r="C927" t="s">
        <v>8446</v>
      </c>
      <c r="D927" s="13">
        <f>_xll.EditDistance($C$3,C927,2)</f>
        <v>10</v>
      </c>
      <c r="E927" s="13"/>
    </row>
    <row r="928" spans="2:5" x14ac:dyDescent="0.2">
      <c r="B928" t="s">
        <v>8470</v>
      </c>
      <c r="C928" t="s">
        <v>8471</v>
      </c>
      <c r="D928" s="13">
        <f>_xll.EditDistance($C$3,C928,2)</f>
        <v>10</v>
      </c>
      <c r="E928" s="13"/>
    </row>
    <row r="929" spans="2:5" x14ac:dyDescent="0.2">
      <c r="B929" t="s">
        <v>8559</v>
      </c>
      <c r="C929" t="s">
        <v>8560</v>
      </c>
      <c r="D929" s="13">
        <f>_xll.EditDistance($C$3,C929,2)</f>
        <v>20</v>
      </c>
      <c r="E929" s="13"/>
    </row>
    <row r="930" spans="2:5" x14ac:dyDescent="0.2">
      <c r="B930" t="s">
        <v>231</v>
      </c>
      <c r="C930" t="s">
        <v>232</v>
      </c>
      <c r="D930" s="13">
        <f>_xll.EditDistance($C$3,C930,2)</f>
        <v>20</v>
      </c>
      <c r="E930" s="13"/>
    </row>
    <row r="931" spans="2:5" x14ac:dyDescent="0.2">
      <c r="B931" t="s">
        <v>333</v>
      </c>
      <c r="C931" t="s">
        <v>334</v>
      </c>
      <c r="D931" s="13">
        <f>_xll.EditDistance($C$3,C931,2)</f>
        <v>10</v>
      </c>
      <c r="E931" s="13"/>
    </row>
    <row r="932" spans="2:5" x14ac:dyDescent="0.2">
      <c r="B932" t="s">
        <v>568</v>
      </c>
      <c r="C932" t="s">
        <v>569</v>
      </c>
      <c r="D932" s="13">
        <f>_xll.EditDistance($C$3,C932,2)</f>
        <v>10</v>
      </c>
      <c r="E932" s="13"/>
    </row>
    <row r="933" spans="2:5" x14ac:dyDescent="0.2">
      <c r="B933" t="s">
        <v>617</v>
      </c>
      <c r="C933" t="s">
        <v>618</v>
      </c>
      <c r="D933" s="13">
        <f>_xll.EditDistance($C$3,C933,2)</f>
        <v>10</v>
      </c>
      <c r="E933" s="13"/>
    </row>
    <row r="934" spans="2:5" x14ac:dyDescent="0.2">
      <c r="B934" t="s">
        <v>677</v>
      </c>
      <c r="C934" t="s">
        <v>678</v>
      </c>
      <c r="D934" s="13">
        <f>_xll.EditDistance($C$3,C934,2)</f>
        <v>10</v>
      </c>
      <c r="E934" s="13"/>
    </row>
    <row r="935" spans="2:5" x14ac:dyDescent="0.2">
      <c r="B935" t="s">
        <v>716</v>
      </c>
      <c r="C935" t="s">
        <v>720</v>
      </c>
      <c r="D935" s="13">
        <f>_xll.EditDistance($C$3,C935,2)</f>
        <v>20</v>
      </c>
      <c r="E935" s="13"/>
    </row>
    <row r="936" spans="2:5" x14ac:dyDescent="0.2">
      <c r="B936" t="s">
        <v>995</v>
      </c>
      <c r="C936" t="s">
        <v>997</v>
      </c>
      <c r="D936" s="13">
        <f>_xll.EditDistance($C$3,C936,2)</f>
        <v>10</v>
      </c>
      <c r="E936" s="13"/>
    </row>
    <row r="937" spans="2:5" x14ac:dyDescent="0.2">
      <c r="B937" t="s">
        <v>1304</v>
      </c>
      <c r="C937" t="s">
        <v>1305</v>
      </c>
      <c r="D937" s="13">
        <f>_xll.EditDistance($C$3,C937,2)</f>
        <v>10</v>
      </c>
      <c r="E937" s="13"/>
    </row>
    <row r="938" spans="2:5" x14ac:dyDescent="0.2">
      <c r="B938" t="s">
        <v>1432</v>
      </c>
      <c r="C938" t="s">
        <v>1433</v>
      </c>
      <c r="D938" s="13">
        <f>_xll.EditDistance($C$3,C938,2)</f>
        <v>10</v>
      </c>
      <c r="E938" s="13"/>
    </row>
    <row r="939" spans="2:5" x14ac:dyDescent="0.2">
      <c r="B939" t="s">
        <v>1760</v>
      </c>
      <c r="C939" t="s">
        <v>1761</v>
      </c>
      <c r="D939" s="13">
        <f>_xll.EditDistance($C$3,C939,2)</f>
        <v>10</v>
      </c>
      <c r="E939" s="13"/>
    </row>
    <row r="940" spans="2:5" x14ac:dyDescent="0.2">
      <c r="B940" t="s">
        <v>1779</v>
      </c>
      <c r="C940" t="s">
        <v>1780</v>
      </c>
      <c r="D940" s="13">
        <f>_xll.EditDistance($C$3,C940,2)</f>
        <v>10</v>
      </c>
      <c r="E940" s="13"/>
    </row>
    <row r="941" spans="2:5" x14ac:dyDescent="0.2">
      <c r="B941" t="s">
        <v>2018</v>
      </c>
      <c r="C941" t="s">
        <v>2019</v>
      </c>
      <c r="D941" s="13">
        <f>_xll.EditDistance($C$3,C941,2)</f>
        <v>10</v>
      </c>
      <c r="E941" s="13"/>
    </row>
    <row r="942" spans="2:5" x14ac:dyDescent="0.2">
      <c r="B942" t="s">
        <v>2184</v>
      </c>
      <c r="C942" t="s">
        <v>2185</v>
      </c>
      <c r="D942" s="13">
        <f>_xll.EditDistance($C$3,C942,2)</f>
        <v>10</v>
      </c>
      <c r="E942" s="13"/>
    </row>
    <row r="943" spans="2:5" x14ac:dyDescent="0.2">
      <c r="B943" t="s">
        <v>2381</v>
      </c>
      <c r="C943" t="s">
        <v>2382</v>
      </c>
      <c r="D943" s="13">
        <f>_xll.EditDistance($C$3,C943,2)</f>
        <v>30</v>
      </c>
      <c r="E943" s="13"/>
    </row>
    <row r="944" spans="2:5" x14ac:dyDescent="0.2">
      <c r="B944" t="s">
        <v>2903</v>
      </c>
      <c r="C944" t="s">
        <v>2904</v>
      </c>
      <c r="D944" s="13">
        <f>_xll.EditDistance($C$3,C944,2)</f>
        <v>20</v>
      </c>
      <c r="E944" s="13"/>
    </row>
    <row r="945" spans="2:5" x14ac:dyDescent="0.2">
      <c r="B945" t="s">
        <v>3058</v>
      </c>
      <c r="C945" t="s">
        <v>3059</v>
      </c>
      <c r="D945" s="13">
        <f>_xll.EditDistance($C$3,C945,2)</f>
        <v>10</v>
      </c>
      <c r="E945" s="13"/>
    </row>
    <row r="946" spans="2:5" x14ac:dyDescent="0.2">
      <c r="B946" t="s">
        <v>3221</v>
      </c>
      <c r="C946" t="s">
        <v>3222</v>
      </c>
      <c r="D946" s="13">
        <f>_xll.EditDistance($C$3,C946,2)</f>
        <v>10</v>
      </c>
      <c r="E946" s="13"/>
    </row>
    <row r="947" spans="2:5" x14ac:dyDescent="0.2">
      <c r="B947" t="s">
        <v>3326</v>
      </c>
      <c r="C947" t="s">
        <v>3327</v>
      </c>
      <c r="D947" s="13">
        <f>_xll.EditDistance($C$3,C947,2)</f>
        <v>30</v>
      </c>
      <c r="E947" s="13"/>
    </row>
    <row r="948" spans="2:5" x14ac:dyDescent="0.2">
      <c r="B948" t="s">
        <v>3438</v>
      </c>
      <c r="C948" t="s">
        <v>3439</v>
      </c>
      <c r="D948" s="13">
        <f>_xll.EditDistance($C$3,C948,2)</f>
        <v>10</v>
      </c>
      <c r="E948" s="13"/>
    </row>
    <row r="949" spans="2:5" x14ac:dyDescent="0.2">
      <c r="B949" t="s">
        <v>3448</v>
      </c>
      <c r="C949" t="s">
        <v>3449</v>
      </c>
      <c r="D949" s="13">
        <f>_xll.EditDistance($C$3,C949,2)</f>
        <v>10</v>
      </c>
      <c r="E949" s="13"/>
    </row>
    <row r="950" spans="2:5" x14ac:dyDescent="0.2">
      <c r="B950" t="s">
        <v>3871</v>
      </c>
      <c r="C950" t="s">
        <v>3873</v>
      </c>
      <c r="D950" s="13">
        <f>_xll.EditDistance($C$3,C950,2)</f>
        <v>10</v>
      </c>
      <c r="E950" s="13"/>
    </row>
    <row r="951" spans="2:5" x14ac:dyDescent="0.2">
      <c r="B951" s="22" t="s">
        <v>3908</v>
      </c>
      <c r="C951" t="s">
        <v>3909</v>
      </c>
      <c r="D951" s="13">
        <f>_xll.EditDistance($C$3,C951,2)</f>
        <v>20</v>
      </c>
      <c r="E951" s="13"/>
    </row>
    <row r="952" spans="2:5" x14ac:dyDescent="0.2">
      <c r="B952" t="s">
        <v>4089</v>
      </c>
      <c r="C952" t="s">
        <v>4090</v>
      </c>
      <c r="D952" s="13">
        <f>_xll.EditDistance($C$3,C952,2)</f>
        <v>10</v>
      </c>
      <c r="E952" s="13"/>
    </row>
    <row r="953" spans="2:5" x14ac:dyDescent="0.2">
      <c r="B953" t="s">
        <v>4290</v>
      </c>
      <c r="C953" t="s">
        <v>4291</v>
      </c>
      <c r="D953" s="13">
        <f>_xll.EditDistance($C$3,C953,2)</f>
        <v>20</v>
      </c>
      <c r="E953" s="13"/>
    </row>
    <row r="954" spans="2:5" x14ac:dyDescent="0.2">
      <c r="B954" t="s">
        <v>4389</v>
      </c>
      <c r="C954" t="s">
        <v>4390</v>
      </c>
      <c r="D954" s="13">
        <f>_xll.EditDistance($C$3,C954,2)</f>
        <v>10</v>
      </c>
      <c r="E954" s="13"/>
    </row>
    <row r="955" spans="2:5" x14ac:dyDescent="0.2">
      <c r="B955" t="s">
        <v>4623</v>
      </c>
      <c r="C955" t="s">
        <v>4624</v>
      </c>
      <c r="D955" s="13">
        <f>_xll.EditDistance($C$3,C955,2)</f>
        <v>10</v>
      </c>
      <c r="E955" s="13"/>
    </row>
    <row r="956" spans="2:5" x14ac:dyDescent="0.2">
      <c r="B956" t="s">
        <v>4943</v>
      </c>
      <c r="C956" t="s">
        <v>4944</v>
      </c>
      <c r="D956" s="13">
        <f>_xll.EditDistance($C$3,C956,2)</f>
        <v>10</v>
      </c>
      <c r="E956" s="13"/>
    </row>
    <row r="957" spans="2:5" x14ac:dyDescent="0.2">
      <c r="B957" t="s">
        <v>5073</v>
      </c>
      <c r="C957" t="s">
        <v>5074</v>
      </c>
      <c r="D957" s="13">
        <f>_xll.EditDistance($C$3,C957,2)</f>
        <v>10</v>
      </c>
      <c r="E957" s="13"/>
    </row>
    <row r="958" spans="2:5" x14ac:dyDescent="0.2">
      <c r="B958" t="s">
        <v>5340</v>
      </c>
      <c r="C958" t="s">
        <v>5341</v>
      </c>
      <c r="D958" s="13">
        <f>_xll.EditDistance($C$3,C958,2)</f>
        <v>10</v>
      </c>
      <c r="E958" s="13"/>
    </row>
    <row r="959" spans="2:5" x14ac:dyDescent="0.2">
      <c r="B959" t="s">
        <v>5342</v>
      </c>
      <c r="C959" t="s">
        <v>5343</v>
      </c>
      <c r="D959" s="13">
        <f>_xll.EditDistance($C$3,C959,2)</f>
        <v>10</v>
      </c>
      <c r="E959" s="13"/>
    </row>
    <row r="960" spans="2:5" x14ac:dyDescent="0.2">
      <c r="B960" t="s">
        <v>5400</v>
      </c>
      <c r="C960" t="s">
        <v>5401</v>
      </c>
      <c r="D960" s="13">
        <f>_xll.EditDistance($C$3,C960,2)</f>
        <v>10</v>
      </c>
      <c r="E960" s="13"/>
    </row>
    <row r="961" spans="2:5" x14ac:dyDescent="0.2">
      <c r="B961" t="s">
        <v>5826</v>
      </c>
      <c r="C961" t="s">
        <v>5827</v>
      </c>
      <c r="D961" s="13">
        <f>_xll.EditDistance($C$3,C961,2)</f>
        <v>18</v>
      </c>
      <c r="E961" s="13"/>
    </row>
    <row r="962" spans="2:5" x14ac:dyDescent="0.2">
      <c r="B962" t="s">
        <v>5876</v>
      </c>
      <c r="C962" t="s">
        <v>5877</v>
      </c>
      <c r="D962" s="13">
        <f>_xll.EditDistance($C$3,C962,2)</f>
        <v>10</v>
      </c>
      <c r="E962" s="13"/>
    </row>
    <row r="963" spans="2:5" x14ac:dyDescent="0.2">
      <c r="B963" t="s">
        <v>6163</v>
      </c>
      <c r="C963" t="s">
        <v>6164</v>
      </c>
      <c r="D963" s="13">
        <f>_xll.EditDistance($C$3,C963,2)</f>
        <v>10</v>
      </c>
      <c r="E963" s="13"/>
    </row>
    <row r="964" spans="2:5" x14ac:dyDescent="0.2">
      <c r="B964" t="s">
        <v>6210</v>
      </c>
      <c r="C964" t="s">
        <v>6211</v>
      </c>
      <c r="D964" s="13">
        <f>_xll.EditDistance($C$3,C964,2)</f>
        <v>10</v>
      </c>
      <c r="E964" s="13"/>
    </row>
    <row r="965" spans="2:5" x14ac:dyDescent="0.2">
      <c r="B965" t="s">
        <v>6231</v>
      </c>
      <c r="C965" t="s">
        <v>6232</v>
      </c>
      <c r="D965" s="13">
        <f>_xll.EditDistance($C$3,C965,2)</f>
        <v>10</v>
      </c>
      <c r="E965" s="13"/>
    </row>
    <row r="966" spans="2:5" x14ac:dyDescent="0.2">
      <c r="B966" t="s">
        <v>6546</v>
      </c>
      <c r="C966" t="s">
        <v>6547</v>
      </c>
      <c r="D966" s="13">
        <f>_xll.EditDistance($C$3,C966,2)</f>
        <v>10</v>
      </c>
      <c r="E966" s="13"/>
    </row>
    <row r="967" spans="2:5" x14ac:dyDescent="0.2">
      <c r="B967" t="s">
        <v>6887</v>
      </c>
      <c r="C967" t="s">
        <v>6888</v>
      </c>
      <c r="D967" s="13">
        <f>_xll.EditDistance($C$3,C967,2)</f>
        <v>10</v>
      </c>
      <c r="E967" s="13"/>
    </row>
    <row r="968" spans="2:5" x14ac:dyDescent="0.2">
      <c r="B968" t="s">
        <v>6936</v>
      </c>
      <c r="C968" t="s">
        <v>6938</v>
      </c>
      <c r="D968" s="13">
        <f>_xll.EditDistance($C$3,C968,2)</f>
        <v>10</v>
      </c>
      <c r="E968" s="13"/>
    </row>
    <row r="969" spans="2:5" x14ac:dyDescent="0.2">
      <c r="B969" t="s">
        <v>7054</v>
      </c>
      <c r="C969" t="s">
        <v>7055</v>
      </c>
      <c r="D969" s="13">
        <f>_xll.EditDistance($C$3,C969,2)</f>
        <v>10</v>
      </c>
      <c r="E969" s="13"/>
    </row>
    <row r="970" spans="2:5" x14ac:dyDescent="0.2">
      <c r="B970" t="s">
        <v>7424</v>
      </c>
      <c r="C970" t="s">
        <v>7427</v>
      </c>
      <c r="D970" s="13">
        <f>_xll.EditDistance($C$3,C970,2)</f>
        <v>10</v>
      </c>
      <c r="E970" s="13"/>
    </row>
    <row r="971" spans="2:5" x14ac:dyDescent="0.2">
      <c r="B971" t="s">
        <v>7659</v>
      </c>
      <c r="C971" t="s">
        <v>7660</v>
      </c>
      <c r="D971" s="13">
        <f>_xll.EditDistance($C$3,C971,2)</f>
        <v>10</v>
      </c>
      <c r="E971" s="13"/>
    </row>
    <row r="972" spans="2:5" x14ac:dyDescent="0.2">
      <c r="B972" t="s">
        <v>7998</v>
      </c>
      <c r="C972" t="s">
        <v>7999</v>
      </c>
      <c r="D972" s="13">
        <f>_xll.EditDistance($C$3,C972,2)</f>
        <v>10</v>
      </c>
      <c r="E972" s="13"/>
    </row>
    <row r="973" spans="2:5" x14ac:dyDescent="0.2">
      <c r="B973" t="s">
        <v>8006</v>
      </c>
      <c r="C973" t="s">
        <v>8008</v>
      </c>
      <c r="D973" s="13">
        <f>_xll.EditDistance($C$3,C973,2)</f>
        <v>10</v>
      </c>
      <c r="E973" s="13"/>
    </row>
    <row r="974" spans="2:5" x14ac:dyDescent="0.2">
      <c r="B974" t="s">
        <v>8006</v>
      </c>
      <c r="C974" t="s">
        <v>8009</v>
      </c>
      <c r="D974" s="13">
        <f>_xll.EditDistance($C$3,C974,2)</f>
        <v>10</v>
      </c>
      <c r="E974" s="13"/>
    </row>
    <row r="975" spans="2:5" x14ac:dyDescent="0.2">
      <c r="B975" t="s">
        <v>8261</v>
      </c>
      <c r="C975" t="s">
        <v>8262</v>
      </c>
      <c r="D975" s="13">
        <f>_xll.EditDistance($C$3,C975,2)</f>
        <v>10</v>
      </c>
      <c r="E975" s="13"/>
    </row>
    <row r="976" spans="2:5" x14ac:dyDescent="0.2">
      <c r="B976" t="s">
        <v>8476</v>
      </c>
      <c r="C976" t="s">
        <v>8477</v>
      </c>
      <c r="D976" s="13">
        <f>_xll.EditDistance($C$3,C976,2)</f>
        <v>10</v>
      </c>
      <c r="E976" s="13"/>
    </row>
    <row r="977" spans="2:5" x14ac:dyDescent="0.2">
      <c r="B977" t="s">
        <v>8563</v>
      </c>
      <c r="C977" t="s">
        <v>8565</v>
      </c>
      <c r="D977" s="13">
        <f>_xll.EditDistance($C$3,C977,2)</f>
        <v>10</v>
      </c>
      <c r="E977" s="13"/>
    </row>
    <row r="978" spans="2:5" x14ac:dyDescent="0.2">
      <c r="B978" t="s">
        <v>210</v>
      </c>
      <c r="C978" t="s">
        <v>211</v>
      </c>
      <c r="D978" s="13">
        <f>_xll.EditDistance($C$3,C978,2)</f>
        <v>10</v>
      </c>
      <c r="E978" s="13"/>
    </row>
    <row r="979" spans="2:5" x14ac:dyDescent="0.2">
      <c r="B979" t="s">
        <v>765</v>
      </c>
      <c r="C979" t="s">
        <v>766</v>
      </c>
      <c r="D979" s="13">
        <f>_xll.EditDistance($C$3,C979,2)</f>
        <v>10</v>
      </c>
      <c r="E979" s="13"/>
    </row>
    <row r="980" spans="2:5" x14ac:dyDescent="0.2">
      <c r="B980" t="s">
        <v>1016</v>
      </c>
      <c r="C980" t="s">
        <v>1017</v>
      </c>
      <c r="D980" s="13">
        <f>_xll.EditDistance($C$3,C980,2)</f>
        <v>10</v>
      </c>
      <c r="E980" s="13"/>
    </row>
    <row r="981" spans="2:5" x14ac:dyDescent="0.2">
      <c r="B981" t="s">
        <v>1651</v>
      </c>
      <c r="C981" t="s">
        <v>1652</v>
      </c>
      <c r="D981" s="13">
        <f>_xll.EditDistance($C$3,C981,2)</f>
        <v>10</v>
      </c>
      <c r="E981" s="13"/>
    </row>
    <row r="982" spans="2:5" x14ac:dyDescent="0.2">
      <c r="B982" t="s">
        <v>1732</v>
      </c>
      <c r="C982" t="s">
        <v>1734</v>
      </c>
      <c r="D982" s="13">
        <f>_xll.EditDistance($C$3,C982,2)</f>
        <v>10</v>
      </c>
      <c r="E982" s="13"/>
    </row>
    <row r="983" spans="2:5" x14ac:dyDescent="0.2">
      <c r="B983" t="s">
        <v>1925</v>
      </c>
      <c r="C983" t="s">
        <v>1926</v>
      </c>
      <c r="D983" s="13">
        <f>_xll.EditDistance($C$3,C983,2)</f>
        <v>10</v>
      </c>
      <c r="E983" s="13"/>
    </row>
    <row r="984" spans="2:5" x14ac:dyDescent="0.2">
      <c r="B984" t="s">
        <v>2263</v>
      </c>
      <c r="C984" t="s">
        <v>2264</v>
      </c>
      <c r="D984" s="13">
        <f>_xll.EditDistance($C$3,C984,2)</f>
        <v>10</v>
      </c>
      <c r="E984" s="13"/>
    </row>
    <row r="985" spans="2:5" x14ac:dyDescent="0.2">
      <c r="B985" t="s">
        <v>2383</v>
      </c>
      <c r="C985" t="s">
        <v>2384</v>
      </c>
      <c r="D985" s="13">
        <f>_xll.EditDistance($C$3,C985,2)</f>
        <v>10</v>
      </c>
      <c r="E985" s="13"/>
    </row>
    <row r="986" spans="2:5" x14ac:dyDescent="0.2">
      <c r="B986" t="s">
        <v>2428</v>
      </c>
      <c r="C986" t="s">
        <v>2429</v>
      </c>
      <c r="D986" s="13">
        <f>_xll.EditDistance($C$3,C986,2)</f>
        <v>10</v>
      </c>
      <c r="E986" s="13"/>
    </row>
    <row r="987" spans="2:5" x14ac:dyDescent="0.2">
      <c r="B987" t="s">
        <v>3201</v>
      </c>
      <c r="C987" t="s">
        <v>3202</v>
      </c>
      <c r="D987" s="13">
        <f>_xll.EditDistance($C$3,C987,2)</f>
        <v>10</v>
      </c>
      <c r="E987" s="13"/>
    </row>
    <row r="988" spans="2:5" x14ac:dyDescent="0.2">
      <c r="B988" t="s">
        <v>3456</v>
      </c>
      <c r="C988" t="s">
        <v>3457</v>
      </c>
      <c r="D988" s="13">
        <f>_xll.EditDistance($C$3,C988,2)</f>
        <v>10</v>
      </c>
      <c r="E988" s="13"/>
    </row>
    <row r="989" spans="2:5" x14ac:dyDescent="0.2">
      <c r="B989" t="s">
        <v>3814</v>
      </c>
      <c r="C989" t="s">
        <v>3815</v>
      </c>
      <c r="D989" s="13">
        <f>_xll.EditDistance($C$3,C989,2)</f>
        <v>10</v>
      </c>
      <c r="E989" s="13"/>
    </row>
    <row r="990" spans="2:5" x14ac:dyDescent="0.2">
      <c r="B990" t="s">
        <v>3969</v>
      </c>
      <c r="C990" t="s">
        <v>3970</v>
      </c>
      <c r="D990" s="13">
        <f>_xll.EditDistance($C$3,C990,2)</f>
        <v>10</v>
      </c>
      <c r="E990" s="13"/>
    </row>
    <row r="991" spans="2:5" x14ac:dyDescent="0.2">
      <c r="B991" t="s">
        <v>4128</v>
      </c>
      <c r="C991" t="s">
        <v>4129</v>
      </c>
      <c r="D991" s="13">
        <f>_xll.EditDistance($C$3,C991,2)</f>
        <v>20</v>
      </c>
      <c r="E991" s="13"/>
    </row>
    <row r="992" spans="2:5" x14ac:dyDescent="0.2">
      <c r="B992" t="s">
        <v>4365</v>
      </c>
      <c r="C992" t="s">
        <v>4366</v>
      </c>
      <c r="D992" s="13">
        <f>_xll.EditDistance($C$3,C992,2)</f>
        <v>10</v>
      </c>
      <c r="E992" s="13"/>
    </row>
    <row r="993" spans="2:5" x14ac:dyDescent="0.2">
      <c r="B993" t="s">
        <v>4676</v>
      </c>
      <c r="C993" t="s">
        <v>4677</v>
      </c>
      <c r="D993" s="13">
        <f>_xll.EditDistance($C$3,C993,2)</f>
        <v>10</v>
      </c>
      <c r="E993" s="13"/>
    </row>
    <row r="994" spans="2:5" x14ac:dyDescent="0.2">
      <c r="B994" t="s">
        <v>4698</v>
      </c>
      <c r="C994" t="s">
        <v>4699</v>
      </c>
      <c r="D994" s="13">
        <f>_xll.EditDistance($C$3,C994,2)</f>
        <v>20</v>
      </c>
      <c r="E994" s="13"/>
    </row>
    <row r="995" spans="2:5" x14ac:dyDescent="0.2">
      <c r="B995" t="s">
        <v>4863</v>
      </c>
      <c r="C995" t="s">
        <v>4864</v>
      </c>
      <c r="D995" s="13">
        <f>_xll.EditDistance($C$3,C995,2)</f>
        <v>10</v>
      </c>
      <c r="E995" s="13"/>
    </row>
    <row r="996" spans="2:5" x14ac:dyDescent="0.2">
      <c r="B996" s="22" t="s">
        <v>4967</v>
      </c>
      <c r="C996" t="s">
        <v>4969</v>
      </c>
      <c r="D996" s="13">
        <f>_xll.EditDistance($C$3,C996,2)</f>
        <v>10</v>
      </c>
      <c r="E996" s="13"/>
    </row>
    <row r="997" spans="2:5" x14ac:dyDescent="0.2">
      <c r="B997" t="s">
        <v>5004</v>
      </c>
      <c r="C997" t="s">
        <v>5005</v>
      </c>
      <c r="D997" s="13">
        <f>_xll.EditDistance($C$3,C997,2)</f>
        <v>10</v>
      </c>
      <c r="E997" s="13"/>
    </row>
    <row r="998" spans="2:5" x14ac:dyDescent="0.2">
      <c r="B998" t="s">
        <v>5066</v>
      </c>
      <c r="C998" t="s">
        <v>5067</v>
      </c>
      <c r="D998" s="13">
        <f>_xll.EditDistance($C$3,C998,2)</f>
        <v>10</v>
      </c>
      <c r="E998" s="13"/>
    </row>
    <row r="999" spans="2:5" x14ac:dyDescent="0.2">
      <c r="B999" t="s">
        <v>5085</v>
      </c>
      <c r="C999" t="s">
        <v>5086</v>
      </c>
      <c r="D999" s="13">
        <f>_xll.EditDistance($C$3,C999,2)</f>
        <v>10</v>
      </c>
      <c r="E999" s="13"/>
    </row>
    <row r="1000" spans="2:5" x14ac:dyDescent="0.2">
      <c r="B1000" t="s">
        <v>5622</v>
      </c>
      <c r="C1000" t="s">
        <v>5623</v>
      </c>
      <c r="D1000" s="13">
        <f>_xll.EditDistance($C$3,C1000,2)</f>
        <v>10</v>
      </c>
      <c r="E1000" s="13"/>
    </row>
    <row r="1001" spans="2:5" x14ac:dyDescent="0.2">
      <c r="B1001" t="s">
        <v>5646</v>
      </c>
      <c r="C1001" t="s">
        <v>5647</v>
      </c>
      <c r="D1001" s="13">
        <f>_xll.EditDistance($C$3,C1001,2)</f>
        <v>10</v>
      </c>
      <c r="E1001" s="13"/>
    </row>
    <row r="1002" spans="2:5" x14ac:dyDescent="0.2">
      <c r="B1002" t="s">
        <v>6023</v>
      </c>
      <c r="C1002" t="s">
        <v>6024</v>
      </c>
      <c r="D1002" s="13">
        <f>_xll.EditDistance($C$3,C1002,2)</f>
        <v>10</v>
      </c>
      <c r="E1002" s="13"/>
    </row>
    <row r="1003" spans="2:5" x14ac:dyDescent="0.2">
      <c r="B1003" t="s">
        <v>6027</v>
      </c>
      <c r="C1003" t="s">
        <v>6028</v>
      </c>
      <c r="D1003" s="13">
        <f>_xll.EditDistance($C$3,C1003,2)</f>
        <v>10</v>
      </c>
      <c r="E1003" s="13"/>
    </row>
    <row r="1004" spans="2:5" x14ac:dyDescent="0.2">
      <c r="B1004" t="s">
        <v>6069</v>
      </c>
      <c r="C1004" t="s">
        <v>6071</v>
      </c>
      <c r="D1004" s="13">
        <f>_xll.EditDistance($C$3,C1004,2)</f>
        <v>10</v>
      </c>
      <c r="E1004" s="13"/>
    </row>
    <row r="1005" spans="2:5" x14ac:dyDescent="0.2">
      <c r="B1005" t="s">
        <v>6320</v>
      </c>
      <c r="C1005" t="s">
        <v>6321</v>
      </c>
      <c r="D1005" s="13">
        <f>_xll.EditDistance($C$3,C1005,2)</f>
        <v>10</v>
      </c>
      <c r="E1005" s="13"/>
    </row>
    <row r="1006" spans="2:5" x14ac:dyDescent="0.2">
      <c r="B1006" t="s">
        <v>6588</v>
      </c>
      <c r="C1006" t="s">
        <v>6589</v>
      </c>
      <c r="D1006" s="13">
        <f>_xll.EditDistance($C$3,C1006,2)</f>
        <v>10</v>
      </c>
      <c r="E1006" s="13"/>
    </row>
    <row r="1007" spans="2:5" x14ac:dyDescent="0.2">
      <c r="B1007" t="s">
        <v>6599</v>
      </c>
      <c r="C1007" t="s">
        <v>6600</v>
      </c>
      <c r="D1007" s="13">
        <f>_xll.EditDistance($C$3,C1007,2)</f>
        <v>10</v>
      </c>
      <c r="E1007" s="13"/>
    </row>
    <row r="1008" spans="2:5" x14ac:dyDescent="0.2">
      <c r="B1008" t="s">
        <v>6611</v>
      </c>
      <c r="C1008" t="s">
        <v>6612</v>
      </c>
      <c r="D1008" s="13">
        <f>_xll.EditDistance($C$3,C1008,2)</f>
        <v>10</v>
      </c>
      <c r="E1008" s="13"/>
    </row>
    <row r="1009" spans="2:5" x14ac:dyDescent="0.2">
      <c r="B1009" t="s">
        <v>6619</v>
      </c>
      <c r="C1009" t="s">
        <v>6620</v>
      </c>
      <c r="D1009" s="13">
        <f>_xll.EditDistance($C$3,C1009,2)</f>
        <v>10</v>
      </c>
      <c r="E1009" s="13"/>
    </row>
    <row r="1010" spans="2:5" x14ac:dyDescent="0.2">
      <c r="B1010" t="s">
        <v>6773</v>
      </c>
      <c r="C1010" t="s">
        <v>6774</v>
      </c>
      <c r="D1010" s="13">
        <f>_xll.EditDistance($C$3,C1010,2)</f>
        <v>10</v>
      </c>
      <c r="E1010" s="13"/>
    </row>
    <row r="1011" spans="2:5" x14ac:dyDescent="0.2">
      <c r="B1011" t="s">
        <v>6860</v>
      </c>
      <c r="C1011" t="s">
        <v>6861</v>
      </c>
      <c r="D1011" s="13">
        <f>_xll.EditDistance($C$3,C1011,2)</f>
        <v>10</v>
      </c>
      <c r="E1011" s="13"/>
    </row>
    <row r="1012" spans="2:5" x14ac:dyDescent="0.2">
      <c r="B1012" t="s">
        <v>6928</v>
      </c>
      <c r="C1012" t="s">
        <v>6929</v>
      </c>
      <c r="D1012" s="13">
        <f>_xll.EditDistance($C$3,C1012,2)</f>
        <v>10</v>
      </c>
      <c r="E1012" s="13"/>
    </row>
    <row r="1013" spans="2:5" x14ac:dyDescent="0.2">
      <c r="B1013" t="s">
        <v>7245</v>
      </c>
      <c r="C1013" t="s">
        <v>7247</v>
      </c>
      <c r="D1013" s="13">
        <f>_xll.EditDistance($C$3,C1013,2)</f>
        <v>10</v>
      </c>
      <c r="E1013" s="13"/>
    </row>
    <row r="1014" spans="2:5" x14ac:dyDescent="0.2">
      <c r="B1014" t="s">
        <v>7400</v>
      </c>
      <c r="C1014" t="s">
        <v>7402</v>
      </c>
      <c r="D1014" s="13">
        <f>_xll.EditDistance($C$3,C1014,2)</f>
        <v>130</v>
      </c>
      <c r="E1014" s="13"/>
    </row>
    <row r="1015" spans="2:5" x14ac:dyDescent="0.2">
      <c r="B1015" t="s">
        <v>7449</v>
      </c>
      <c r="C1015" t="s">
        <v>7450</v>
      </c>
      <c r="D1015" s="13">
        <f>_xll.EditDistance($C$3,C1015,2)</f>
        <v>20</v>
      </c>
      <c r="E1015" s="13"/>
    </row>
    <row r="1016" spans="2:5" x14ac:dyDescent="0.2">
      <c r="B1016" t="s">
        <v>7453</v>
      </c>
      <c r="C1016" t="s">
        <v>7454</v>
      </c>
      <c r="D1016" s="13">
        <f>_xll.EditDistance($C$3,C1016,2)</f>
        <v>20</v>
      </c>
      <c r="E1016" s="13"/>
    </row>
    <row r="1017" spans="2:5" x14ac:dyDescent="0.2">
      <c r="B1017" t="s">
        <v>7695</v>
      </c>
      <c r="C1017" t="s">
        <v>7698</v>
      </c>
      <c r="D1017" s="13">
        <f>_xll.EditDistance($C$3,C1017,2)</f>
        <v>20</v>
      </c>
      <c r="E1017" s="13"/>
    </row>
    <row r="1018" spans="2:5" x14ac:dyDescent="0.2">
      <c r="B1018" t="s">
        <v>7701</v>
      </c>
      <c r="C1018" t="s">
        <v>7702</v>
      </c>
      <c r="D1018" s="13">
        <f>_xll.EditDistance($C$3,C1018,2)</f>
        <v>10</v>
      </c>
      <c r="E1018" s="13"/>
    </row>
    <row r="1019" spans="2:5" x14ac:dyDescent="0.2">
      <c r="B1019" t="s">
        <v>7722</v>
      </c>
      <c r="C1019" t="s">
        <v>7723</v>
      </c>
      <c r="D1019" s="13">
        <f>_xll.EditDistance($C$3,C1019,2)</f>
        <v>10</v>
      </c>
      <c r="E1019" s="13"/>
    </row>
    <row r="1020" spans="2:5" x14ac:dyDescent="0.2">
      <c r="B1020" t="s">
        <v>7754</v>
      </c>
      <c r="C1020" t="s">
        <v>7755</v>
      </c>
      <c r="D1020" s="13">
        <f>_xll.EditDistance($C$3,C1020,2)</f>
        <v>20</v>
      </c>
      <c r="E1020" s="13"/>
    </row>
    <row r="1021" spans="2:5" x14ac:dyDescent="0.2">
      <c r="B1021" t="s">
        <v>7982</v>
      </c>
      <c r="C1021" t="s">
        <v>7983</v>
      </c>
      <c r="D1021" s="13">
        <f>_xll.EditDistance($C$3,C1021,2)</f>
        <v>10</v>
      </c>
      <c r="E1021" s="13"/>
    </row>
    <row r="1022" spans="2:5" x14ac:dyDescent="0.2">
      <c r="B1022" t="s">
        <v>169</v>
      </c>
      <c r="C1022" t="s">
        <v>170</v>
      </c>
      <c r="D1022" s="13">
        <f>_xll.EditDistance($C$3,C1022,2)</f>
        <v>10</v>
      </c>
      <c r="E1022" s="13"/>
    </row>
    <row r="1023" spans="2:5" x14ac:dyDescent="0.2">
      <c r="B1023" t="s">
        <v>192</v>
      </c>
      <c r="C1023" t="s">
        <v>193</v>
      </c>
      <c r="D1023" s="13">
        <f>_xll.EditDistance($C$3,C1023,2)</f>
        <v>10</v>
      </c>
      <c r="E1023" s="13"/>
    </row>
    <row r="1024" spans="2:5" x14ac:dyDescent="0.2">
      <c r="B1024" t="s">
        <v>233</v>
      </c>
      <c r="C1024" t="s">
        <v>234</v>
      </c>
      <c r="D1024" s="13">
        <f>_xll.EditDistance($C$3,C1024,2)</f>
        <v>10</v>
      </c>
      <c r="E1024" s="13"/>
    </row>
    <row r="1025" spans="2:5" x14ac:dyDescent="0.2">
      <c r="B1025" t="s">
        <v>241</v>
      </c>
      <c r="C1025" t="s">
        <v>242</v>
      </c>
      <c r="D1025" s="13">
        <f>_xll.EditDistance($C$3,C1025,2)</f>
        <v>10</v>
      </c>
      <c r="E1025" s="13"/>
    </row>
    <row r="1026" spans="2:5" x14ac:dyDescent="0.2">
      <c r="B1026" t="s">
        <v>273</v>
      </c>
      <c r="C1026" t="s">
        <v>274</v>
      </c>
      <c r="D1026" s="13">
        <f>_xll.EditDistance($C$3,C1026,2)</f>
        <v>10</v>
      </c>
      <c r="E1026" s="13"/>
    </row>
    <row r="1027" spans="2:5" x14ac:dyDescent="0.2">
      <c r="B1027" t="s">
        <v>296</v>
      </c>
      <c r="C1027" t="s">
        <v>298</v>
      </c>
      <c r="D1027" s="13">
        <f>_xll.EditDistance($C$3,C1027,2)</f>
        <v>10</v>
      </c>
      <c r="E1027" s="13"/>
    </row>
    <row r="1028" spans="2:5" x14ac:dyDescent="0.2">
      <c r="B1028" t="s">
        <v>370</v>
      </c>
      <c r="C1028" t="s">
        <v>371</v>
      </c>
      <c r="D1028" s="13">
        <f>_xll.EditDistance($C$3,C1028,2)</f>
        <v>10</v>
      </c>
      <c r="E1028" s="13"/>
    </row>
    <row r="1029" spans="2:5" x14ac:dyDescent="0.2">
      <c r="B1029" t="s">
        <v>382</v>
      </c>
      <c r="C1029" t="s">
        <v>383</v>
      </c>
      <c r="D1029" s="13">
        <f>_xll.EditDistance($C$3,C1029,2)</f>
        <v>10</v>
      </c>
      <c r="E1029" s="13"/>
    </row>
    <row r="1030" spans="2:5" x14ac:dyDescent="0.2">
      <c r="B1030" t="s">
        <v>388</v>
      </c>
      <c r="C1030" t="s">
        <v>389</v>
      </c>
      <c r="D1030" s="13">
        <f>_xll.EditDistance($C$3,C1030,2)</f>
        <v>10</v>
      </c>
      <c r="E1030" s="13"/>
    </row>
    <row r="1031" spans="2:5" x14ac:dyDescent="0.2">
      <c r="B1031" t="s">
        <v>422</v>
      </c>
      <c r="C1031" t="s">
        <v>423</v>
      </c>
      <c r="D1031" s="13">
        <f>_xll.EditDistance($C$3,C1031,2)</f>
        <v>10</v>
      </c>
      <c r="E1031" s="13"/>
    </row>
    <row r="1032" spans="2:5" x14ac:dyDescent="0.2">
      <c r="B1032" t="s">
        <v>436</v>
      </c>
      <c r="C1032" t="s">
        <v>437</v>
      </c>
      <c r="D1032" s="13">
        <f>_xll.EditDistance($C$3,C1032,2)</f>
        <v>10</v>
      </c>
      <c r="E1032" s="13"/>
    </row>
    <row r="1033" spans="2:5" x14ac:dyDescent="0.2">
      <c r="B1033" s="22" t="s">
        <v>555</v>
      </c>
      <c r="C1033" t="s">
        <v>556</v>
      </c>
      <c r="D1033" s="13">
        <f>_xll.EditDistance($C$3,C1033,2)</f>
        <v>20</v>
      </c>
      <c r="E1033" s="13"/>
    </row>
    <row r="1034" spans="2:5" x14ac:dyDescent="0.2">
      <c r="B1034" t="s">
        <v>591</v>
      </c>
      <c r="C1034" t="s">
        <v>592</v>
      </c>
      <c r="D1034" s="13">
        <f>_xll.EditDistance($C$3,C1034,2)</f>
        <v>10</v>
      </c>
      <c r="E1034" s="13"/>
    </row>
    <row r="1035" spans="2:5" x14ac:dyDescent="0.2">
      <c r="B1035" t="s">
        <v>630</v>
      </c>
      <c r="C1035" t="s">
        <v>631</v>
      </c>
      <c r="D1035" s="13">
        <f>_xll.EditDistance($C$3,C1035,2)</f>
        <v>10</v>
      </c>
      <c r="E1035" s="13"/>
    </row>
    <row r="1036" spans="2:5" x14ac:dyDescent="0.2">
      <c r="B1036" t="s">
        <v>679</v>
      </c>
      <c r="C1036" t="s">
        <v>680</v>
      </c>
      <c r="D1036" s="13">
        <f>_xll.EditDistance($C$3,C1036,2)</f>
        <v>10</v>
      </c>
      <c r="E1036" s="13"/>
    </row>
    <row r="1037" spans="2:5" x14ac:dyDescent="0.2">
      <c r="B1037" t="s">
        <v>783</v>
      </c>
      <c r="C1037" t="s">
        <v>784</v>
      </c>
      <c r="D1037" s="13">
        <f>_xll.EditDistance($C$3,C1037,2)</f>
        <v>10</v>
      </c>
      <c r="E1037" s="13"/>
    </row>
    <row r="1038" spans="2:5" x14ac:dyDescent="0.2">
      <c r="B1038" t="s">
        <v>794</v>
      </c>
      <c r="C1038" t="s">
        <v>795</v>
      </c>
      <c r="D1038" s="13">
        <f>_xll.EditDistance($C$3,C1038,2)</f>
        <v>10</v>
      </c>
      <c r="E1038" s="13"/>
    </row>
    <row r="1039" spans="2:5" x14ac:dyDescent="0.2">
      <c r="B1039" t="s">
        <v>897</v>
      </c>
      <c r="C1039" t="s">
        <v>898</v>
      </c>
      <c r="D1039" s="13">
        <f>_xll.EditDistance($C$3,C1039,2)</f>
        <v>10</v>
      </c>
      <c r="E1039" s="13"/>
    </row>
    <row r="1040" spans="2:5" x14ac:dyDescent="0.2">
      <c r="B1040" t="s">
        <v>984</v>
      </c>
      <c r="C1040" t="s">
        <v>985</v>
      </c>
      <c r="D1040" s="13">
        <f>_xll.EditDistance($C$3,C1040,2)</f>
        <v>10</v>
      </c>
      <c r="E1040" s="13"/>
    </row>
    <row r="1041" spans="2:5" x14ac:dyDescent="0.2">
      <c r="B1041" t="s">
        <v>993</v>
      </c>
      <c r="C1041" t="s">
        <v>994</v>
      </c>
      <c r="D1041" s="13">
        <f>_xll.EditDistance($C$3,C1041,2)</f>
        <v>10</v>
      </c>
      <c r="E1041" s="13"/>
    </row>
    <row r="1042" spans="2:5" x14ac:dyDescent="0.2">
      <c r="B1042" t="s">
        <v>995</v>
      </c>
      <c r="C1042" t="s">
        <v>996</v>
      </c>
      <c r="D1042" s="13">
        <f>_xll.EditDistance($C$3,C1042,2)</f>
        <v>10</v>
      </c>
      <c r="E1042" s="13"/>
    </row>
    <row r="1043" spans="2:5" x14ac:dyDescent="0.2">
      <c r="B1043" t="s">
        <v>1042</v>
      </c>
      <c r="C1043" t="s">
        <v>1043</v>
      </c>
      <c r="D1043" s="13">
        <f>_xll.EditDistance($C$3,C1043,2)</f>
        <v>10</v>
      </c>
      <c r="E1043" s="13"/>
    </row>
    <row r="1044" spans="2:5" x14ac:dyDescent="0.2">
      <c r="B1044" t="s">
        <v>1068</v>
      </c>
      <c r="C1044" t="s">
        <v>1069</v>
      </c>
      <c r="D1044" s="13">
        <f>_xll.EditDistance($C$3,C1044,2)</f>
        <v>10</v>
      </c>
      <c r="E1044" s="13"/>
    </row>
    <row r="1045" spans="2:5" x14ac:dyDescent="0.2">
      <c r="B1045" t="s">
        <v>1082</v>
      </c>
      <c r="C1045" t="s">
        <v>1083</v>
      </c>
      <c r="D1045" s="13">
        <f>_xll.EditDistance($C$3,C1045,2)</f>
        <v>10</v>
      </c>
      <c r="E1045" s="13"/>
    </row>
    <row r="1046" spans="2:5" x14ac:dyDescent="0.2">
      <c r="B1046" t="s">
        <v>1082</v>
      </c>
      <c r="C1046" t="s">
        <v>1084</v>
      </c>
      <c r="D1046" s="13">
        <f>_xll.EditDistance($C$3,C1046,2)</f>
        <v>10</v>
      </c>
      <c r="E1046" s="13"/>
    </row>
    <row r="1047" spans="2:5" x14ac:dyDescent="0.2">
      <c r="B1047" t="s">
        <v>1119</v>
      </c>
      <c r="C1047" t="s">
        <v>1120</v>
      </c>
      <c r="D1047" s="13">
        <f>_xll.EditDistance($C$3,C1047,2)</f>
        <v>10</v>
      </c>
      <c r="E1047" s="13"/>
    </row>
    <row r="1048" spans="2:5" x14ac:dyDescent="0.2">
      <c r="B1048" t="s">
        <v>1170</v>
      </c>
      <c r="C1048" t="s">
        <v>1171</v>
      </c>
      <c r="D1048" s="13">
        <f>_xll.EditDistance($C$3,C1048,2)</f>
        <v>10</v>
      </c>
      <c r="E1048" s="13"/>
    </row>
    <row r="1049" spans="2:5" x14ac:dyDescent="0.2">
      <c r="B1049" t="s">
        <v>1258</v>
      </c>
      <c r="C1049" t="s">
        <v>1259</v>
      </c>
      <c r="D1049" s="13">
        <f>_xll.EditDistance($C$3,C1049,2)</f>
        <v>10</v>
      </c>
      <c r="E1049" s="13"/>
    </row>
    <row r="1050" spans="2:5" x14ac:dyDescent="0.2">
      <c r="B1050" t="s">
        <v>1269</v>
      </c>
      <c r="C1050" t="s">
        <v>1270</v>
      </c>
      <c r="D1050" s="13">
        <f>_xll.EditDistance($C$3,C1050,2)</f>
        <v>10</v>
      </c>
      <c r="E1050" s="13"/>
    </row>
    <row r="1051" spans="2:5" x14ac:dyDescent="0.2">
      <c r="B1051" t="s">
        <v>1275</v>
      </c>
      <c r="C1051" t="s">
        <v>1276</v>
      </c>
      <c r="D1051" s="13">
        <f>_xll.EditDistance($C$3,C1051,2)</f>
        <v>20</v>
      </c>
      <c r="E1051" s="13"/>
    </row>
    <row r="1052" spans="2:5" x14ac:dyDescent="0.2">
      <c r="B1052" t="s">
        <v>1348</v>
      </c>
      <c r="C1052" t="s">
        <v>1350</v>
      </c>
      <c r="D1052" s="13">
        <f>_xll.EditDistance($C$3,C1052,2)</f>
        <v>10</v>
      </c>
      <c r="E1052" s="13"/>
    </row>
    <row r="1053" spans="2:5" x14ac:dyDescent="0.2">
      <c r="B1053" t="s">
        <v>1367</v>
      </c>
      <c r="C1053" t="s">
        <v>1368</v>
      </c>
      <c r="D1053" s="13">
        <f>_xll.EditDistance($C$3,C1053,2)</f>
        <v>10</v>
      </c>
      <c r="E1053" s="13"/>
    </row>
    <row r="1054" spans="2:5" x14ac:dyDescent="0.2">
      <c r="B1054" t="s">
        <v>1401</v>
      </c>
      <c r="C1054" t="s">
        <v>1402</v>
      </c>
      <c r="D1054" s="13">
        <f>_xll.EditDistance($C$3,C1054,2)</f>
        <v>10</v>
      </c>
      <c r="E1054" s="13"/>
    </row>
    <row r="1055" spans="2:5" x14ac:dyDescent="0.2">
      <c r="B1055" t="s">
        <v>1417</v>
      </c>
      <c r="C1055" t="s">
        <v>1418</v>
      </c>
      <c r="D1055" s="13">
        <f>_xll.EditDistance($C$3,C1055,2)</f>
        <v>10</v>
      </c>
      <c r="E1055" s="13"/>
    </row>
    <row r="1056" spans="2:5" x14ac:dyDescent="0.2">
      <c r="B1056" t="s">
        <v>1417</v>
      </c>
      <c r="C1056" t="s">
        <v>1419</v>
      </c>
      <c r="D1056" s="13">
        <f>_xll.EditDistance($C$3,C1056,2)</f>
        <v>10</v>
      </c>
      <c r="E1056" s="13"/>
    </row>
    <row r="1057" spans="2:5" x14ac:dyDescent="0.2">
      <c r="B1057" t="s">
        <v>1447</v>
      </c>
      <c r="C1057" t="s">
        <v>1448</v>
      </c>
      <c r="D1057" s="13">
        <f>_xll.EditDistance($C$3,C1057,2)</f>
        <v>10</v>
      </c>
      <c r="E1057" s="13"/>
    </row>
    <row r="1058" spans="2:5" x14ac:dyDescent="0.2">
      <c r="B1058" t="s">
        <v>1488</v>
      </c>
      <c r="C1058" t="s">
        <v>1490</v>
      </c>
      <c r="D1058" s="13">
        <f>_xll.EditDistance($C$3,C1058,2)</f>
        <v>10</v>
      </c>
      <c r="E1058" s="13"/>
    </row>
    <row r="1059" spans="2:5" x14ac:dyDescent="0.2">
      <c r="B1059" t="s">
        <v>1501</v>
      </c>
      <c r="C1059" t="s">
        <v>1502</v>
      </c>
      <c r="D1059" s="13">
        <f>_xll.EditDistance($C$3,C1059,2)</f>
        <v>10</v>
      </c>
      <c r="E1059" s="13"/>
    </row>
    <row r="1060" spans="2:5" x14ac:dyDescent="0.2">
      <c r="B1060" t="s">
        <v>1517</v>
      </c>
      <c r="C1060" t="s">
        <v>1518</v>
      </c>
      <c r="D1060" s="13">
        <f>_xll.EditDistance($C$3,C1060,2)</f>
        <v>10</v>
      </c>
      <c r="E1060" s="13"/>
    </row>
    <row r="1061" spans="2:5" x14ac:dyDescent="0.2">
      <c r="B1061" t="s">
        <v>1550</v>
      </c>
      <c r="C1061" t="s">
        <v>1551</v>
      </c>
      <c r="D1061" s="13">
        <f>_xll.EditDistance($C$3,C1061,2)</f>
        <v>10</v>
      </c>
      <c r="E1061" s="13"/>
    </row>
    <row r="1062" spans="2:5" x14ac:dyDescent="0.2">
      <c r="B1062" t="s">
        <v>1764</v>
      </c>
      <c r="C1062" t="s">
        <v>1765</v>
      </c>
      <c r="D1062" s="13">
        <f>_xll.EditDistance($C$3,C1062,2)</f>
        <v>10</v>
      </c>
      <c r="E1062" s="13"/>
    </row>
    <row r="1063" spans="2:5" x14ac:dyDescent="0.2">
      <c r="B1063" t="s">
        <v>1824</v>
      </c>
      <c r="C1063" t="s">
        <v>1825</v>
      </c>
      <c r="D1063" s="13">
        <f>_xll.EditDistance($C$3,C1063,2)</f>
        <v>10</v>
      </c>
      <c r="E1063" s="13"/>
    </row>
    <row r="1064" spans="2:5" x14ac:dyDescent="0.2">
      <c r="B1064" t="s">
        <v>1840</v>
      </c>
      <c r="C1064" t="s">
        <v>1841</v>
      </c>
      <c r="D1064" s="13">
        <f>_xll.EditDistance($C$3,C1064,2)</f>
        <v>20</v>
      </c>
      <c r="E1064" s="13"/>
    </row>
    <row r="1065" spans="2:5" x14ac:dyDescent="0.2">
      <c r="B1065" t="s">
        <v>1875</v>
      </c>
      <c r="C1065" t="s">
        <v>1876</v>
      </c>
      <c r="D1065" s="13">
        <f>_xll.EditDistance($C$3,C1065,2)</f>
        <v>10</v>
      </c>
      <c r="E1065" s="13"/>
    </row>
    <row r="1066" spans="2:5" x14ac:dyDescent="0.2">
      <c r="B1066" t="s">
        <v>1887</v>
      </c>
      <c r="C1066" t="s">
        <v>1888</v>
      </c>
      <c r="D1066" s="13">
        <f>_xll.EditDistance($C$3,C1066,2)</f>
        <v>20</v>
      </c>
      <c r="E1066" s="13"/>
    </row>
    <row r="1067" spans="2:5" x14ac:dyDescent="0.2">
      <c r="B1067" t="s">
        <v>1914</v>
      </c>
      <c r="C1067" t="s">
        <v>1915</v>
      </c>
      <c r="D1067" s="13">
        <f>_xll.EditDistance($C$3,C1067,2)</f>
        <v>10</v>
      </c>
      <c r="E1067" s="13"/>
    </row>
    <row r="1068" spans="2:5" x14ac:dyDescent="0.2">
      <c r="B1068" t="s">
        <v>1914</v>
      </c>
      <c r="C1068" t="s">
        <v>1916</v>
      </c>
      <c r="D1068" s="13">
        <f>_xll.EditDistance($C$3,C1068,2)</f>
        <v>10</v>
      </c>
      <c r="E1068" s="13"/>
    </row>
    <row r="1069" spans="2:5" x14ac:dyDescent="0.2">
      <c r="B1069" t="s">
        <v>2059</v>
      </c>
      <c r="C1069" t="s">
        <v>2061</v>
      </c>
      <c r="D1069" s="13">
        <f>_xll.EditDistance($C$3,C1069,2)</f>
        <v>10</v>
      </c>
      <c r="E1069" s="13"/>
    </row>
    <row r="1070" spans="2:5" x14ac:dyDescent="0.2">
      <c r="B1070" t="s">
        <v>2066</v>
      </c>
      <c r="C1070" t="s">
        <v>2067</v>
      </c>
      <c r="D1070" s="13">
        <f>_xll.EditDistance($C$3,C1070,2)</f>
        <v>20</v>
      </c>
      <c r="E1070" s="13"/>
    </row>
    <row r="1071" spans="2:5" x14ac:dyDescent="0.2">
      <c r="B1071" t="s">
        <v>2107</v>
      </c>
      <c r="C1071" t="s">
        <v>2108</v>
      </c>
      <c r="D1071" s="13">
        <f>_xll.EditDistance($C$3,C1071,2)</f>
        <v>10</v>
      </c>
      <c r="E1071" s="13"/>
    </row>
    <row r="1072" spans="2:5" x14ac:dyDescent="0.2">
      <c r="B1072" t="s">
        <v>2109</v>
      </c>
      <c r="C1072" t="s">
        <v>2110</v>
      </c>
      <c r="D1072" s="13">
        <f>_xll.EditDistance($C$3,C1072,2)</f>
        <v>10</v>
      </c>
      <c r="E1072" s="13"/>
    </row>
    <row r="1073" spans="2:5" x14ac:dyDescent="0.2">
      <c r="B1073" t="s">
        <v>2139</v>
      </c>
      <c r="C1073" t="s">
        <v>2140</v>
      </c>
      <c r="D1073" s="13">
        <f>_xll.EditDistance($C$3,C1073,2)</f>
        <v>10</v>
      </c>
      <c r="E1073" s="13"/>
    </row>
    <row r="1074" spans="2:5" x14ac:dyDescent="0.2">
      <c r="B1074" t="s">
        <v>2392</v>
      </c>
      <c r="C1074" t="s">
        <v>2393</v>
      </c>
      <c r="D1074" s="13">
        <f>_xll.EditDistance($C$3,C1074,2)</f>
        <v>10</v>
      </c>
      <c r="E1074" s="13"/>
    </row>
    <row r="1075" spans="2:5" x14ac:dyDescent="0.2">
      <c r="B1075" t="s">
        <v>2399</v>
      </c>
      <c r="C1075" t="s">
        <v>2400</v>
      </c>
      <c r="D1075" s="13">
        <f>_xll.EditDistance($C$3,C1075,2)</f>
        <v>10</v>
      </c>
      <c r="E1075" s="13"/>
    </row>
    <row r="1076" spans="2:5" x14ac:dyDescent="0.2">
      <c r="B1076" s="22" t="s">
        <v>2436</v>
      </c>
      <c r="C1076" t="s">
        <v>2437</v>
      </c>
      <c r="D1076" s="13">
        <f>_xll.EditDistance($C$3,C1076,2)</f>
        <v>10</v>
      </c>
      <c r="E1076" s="13"/>
    </row>
    <row r="1077" spans="2:5" x14ac:dyDescent="0.2">
      <c r="B1077" t="s">
        <v>2582</v>
      </c>
      <c r="C1077" t="s">
        <v>2583</v>
      </c>
      <c r="D1077" s="13">
        <f>_xll.EditDistance($C$3,C1077,2)</f>
        <v>10</v>
      </c>
      <c r="E1077" s="13"/>
    </row>
    <row r="1078" spans="2:5" x14ac:dyDescent="0.2">
      <c r="B1078" t="s">
        <v>2642</v>
      </c>
      <c r="C1078" t="s">
        <v>2643</v>
      </c>
      <c r="D1078" s="13">
        <f>_xll.EditDistance($C$3,C1078,2)</f>
        <v>10</v>
      </c>
      <c r="E1078" s="13"/>
    </row>
    <row r="1079" spans="2:5" x14ac:dyDescent="0.2">
      <c r="B1079" t="s">
        <v>2735</v>
      </c>
      <c r="C1079" t="s">
        <v>2736</v>
      </c>
      <c r="D1079" s="13">
        <f>_xll.EditDistance($C$3,C1079,2)</f>
        <v>20</v>
      </c>
      <c r="E1079" s="13"/>
    </row>
    <row r="1080" spans="2:5" x14ac:dyDescent="0.2">
      <c r="B1080" t="s">
        <v>2778</v>
      </c>
      <c r="C1080" t="s">
        <v>2779</v>
      </c>
      <c r="D1080" s="13">
        <f>_xll.EditDistance($C$3,C1080,2)</f>
        <v>10</v>
      </c>
      <c r="E1080" s="13"/>
    </row>
    <row r="1081" spans="2:5" x14ac:dyDescent="0.2">
      <c r="B1081" t="s">
        <v>2898</v>
      </c>
      <c r="C1081" t="s">
        <v>2899</v>
      </c>
      <c r="D1081" s="13">
        <f>_xll.EditDistance($C$3,C1081,2)</f>
        <v>20</v>
      </c>
      <c r="E1081" s="13"/>
    </row>
    <row r="1082" spans="2:5" x14ac:dyDescent="0.2">
      <c r="B1082" t="s">
        <v>2915</v>
      </c>
      <c r="C1082" t="s">
        <v>2916</v>
      </c>
      <c r="D1082" s="13">
        <f>_xll.EditDistance($C$3,C1082,2)</f>
        <v>10</v>
      </c>
      <c r="E1082" s="13"/>
    </row>
    <row r="1083" spans="2:5" x14ac:dyDescent="0.2">
      <c r="B1083" t="s">
        <v>2917</v>
      </c>
      <c r="C1083" t="s">
        <v>2918</v>
      </c>
      <c r="D1083" s="13">
        <f>_xll.EditDistance($C$3,C1083,2)</f>
        <v>10</v>
      </c>
      <c r="E1083" s="13"/>
    </row>
    <row r="1084" spans="2:5" x14ac:dyDescent="0.2">
      <c r="B1084" t="s">
        <v>2975</v>
      </c>
      <c r="C1084" t="s">
        <v>2976</v>
      </c>
      <c r="D1084" s="13">
        <f>_xll.EditDistance($C$3,C1084,2)</f>
        <v>10</v>
      </c>
      <c r="E1084" s="13"/>
    </row>
    <row r="1085" spans="2:5" x14ac:dyDescent="0.2">
      <c r="B1085" t="s">
        <v>3037</v>
      </c>
      <c r="C1085" t="s">
        <v>3038</v>
      </c>
      <c r="D1085" s="13">
        <f>_xll.EditDistance($C$3,C1085,2)</f>
        <v>10</v>
      </c>
      <c r="E1085" s="13"/>
    </row>
    <row r="1086" spans="2:5" x14ac:dyDescent="0.2">
      <c r="B1086" t="s">
        <v>3064</v>
      </c>
      <c r="C1086" t="s">
        <v>3065</v>
      </c>
      <c r="D1086" s="13">
        <f>_xll.EditDistance($C$3,C1086,2)</f>
        <v>10</v>
      </c>
      <c r="E1086" s="13"/>
    </row>
    <row r="1087" spans="2:5" x14ac:dyDescent="0.2">
      <c r="B1087" t="s">
        <v>3073</v>
      </c>
      <c r="C1087" t="s">
        <v>3074</v>
      </c>
      <c r="D1087" s="13">
        <f>_xll.EditDistance($C$3,C1087,2)</f>
        <v>10</v>
      </c>
      <c r="E1087" s="13"/>
    </row>
    <row r="1088" spans="2:5" x14ac:dyDescent="0.2">
      <c r="B1088" t="s">
        <v>3108</v>
      </c>
      <c r="C1088" t="s">
        <v>3109</v>
      </c>
      <c r="D1088" s="13">
        <f>_xll.EditDistance($C$3,C1088,2)</f>
        <v>10</v>
      </c>
      <c r="E1088" s="13"/>
    </row>
    <row r="1089" spans="2:5" x14ac:dyDescent="0.2">
      <c r="B1089" t="s">
        <v>3290</v>
      </c>
      <c r="C1089" t="s">
        <v>3291</v>
      </c>
      <c r="D1089" s="13">
        <f>_xll.EditDistance($C$3,C1089,2)</f>
        <v>10</v>
      </c>
      <c r="E1089" s="13"/>
    </row>
    <row r="1090" spans="2:5" x14ac:dyDescent="0.2">
      <c r="B1090" t="s">
        <v>3300</v>
      </c>
      <c r="C1090" t="s">
        <v>3301</v>
      </c>
      <c r="D1090" s="13">
        <f>_xll.EditDistance($C$3,C1090,2)</f>
        <v>20</v>
      </c>
      <c r="E1090" s="13"/>
    </row>
    <row r="1091" spans="2:5" x14ac:dyDescent="0.2">
      <c r="B1091" t="s">
        <v>3372</v>
      </c>
      <c r="C1091" t="s">
        <v>3373</v>
      </c>
      <c r="D1091" s="13">
        <f>_xll.EditDistance($C$3,C1091,2)</f>
        <v>10</v>
      </c>
      <c r="E1091" s="13"/>
    </row>
    <row r="1092" spans="2:5" x14ac:dyDescent="0.2">
      <c r="B1092" t="s">
        <v>3494</v>
      </c>
      <c r="C1092" t="s">
        <v>3495</v>
      </c>
      <c r="D1092" s="13">
        <f>_xll.EditDistance($C$3,C1092,2)</f>
        <v>10</v>
      </c>
      <c r="E1092" s="13"/>
    </row>
    <row r="1093" spans="2:5" x14ac:dyDescent="0.2">
      <c r="B1093" t="s">
        <v>3532</v>
      </c>
      <c r="C1093" t="s">
        <v>3533</v>
      </c>
      <c r="D1093" s="13">
        <f>_xll.EditDistance($C$3,C1093,2)</f>
        <v>20</v>
      </c>
      <c r="E1093" s="13"/>
    </row>
    <row r="1094" spans="2:5" x14ac:dyDescent="0.2">
      <c r="B1094" t="s">
        <v>3566</v>
      </c>
      <c r="C1094" t="s">
        <v>3567</v>
      </c>
      <c r="D1094" s="13">
        <f>_xll.EditDistance($C$3,C1094,2)</f>
        <v>10</v>
      </c>
      <c r="E1094" s="13"/>
    </row>
    <row r="1095" spans="2:5" x14ac:dyDescent="0.2">
      <c r="B1095" t="s">
        <v>3579</v>
      </c>
      <c r="C1095" t="s">
        <v>3581</v>
      </c>
      <c r="D1095" s="13">
        <f>_xll.EditDistance($C$3,C1095,2)</f>
        <v>10</v>
      </c>
      <c r="E1095" s="13"/>
    </row>
    <row r="1096" spans="2:5" x14ac:dyDescent="0.2">
      <c r="B1096" t="s">
        <v>3770</v>
      </c>
      <c r="C1096" t="s">
        <v>3771</v>
      </c>
      <c r="D1096" s="13">
        <f>_xll.EditDistance($C$3,C1096,2)</f>
        <v>20</v>
      </c>
      <c r="E1096" s="13"/>
    </row>
    <row r="1097" spans="2:5" x14ac:dyDescent="0.2">
      <c r="B1097" t="s">
        <v>3790</v>
      </c>
      <c r="C1097" t="s">
        <v>3791</v>
      </c>
      <c r="D1097" s="13">
        <f>_xll.EditDistance($C$3,C1097,2)</f>
        <v>10</v>
      </c>
      <c r="E1097" s="13"/>
    </row>
    <row r="1098" spans="2:5" x14ac:dyDescent="0.2">
      <c r="B1098" t="s">
        <v>3814</v>
      </c>
      <c r="C1098" t="s">
        <v>3816</v>
      </c>
      <c r="D1098" s="13">
        <f>_xll.EditDistance($C$3,C1098,2)</f>
        <v>10</v>
      </c>
      <c r="E1098" s="13"/>
    </row>
    <row r="1099" spans="2:5" x14ac:dyDescent="0.2">
      <c r="B1099" t="s">
        <v>3821</v>
      </c>
      <c r="C1099" t="s">
        <v>3822</v>
      </c>
      <c r="D1099" s="13">
        <f>_xll.EditDistance($C$3,C1099,2)</f>
        <v>10</v>
      </c>
      <c r="E1099" s="13"/>
    </row>
    <row r="1100" spans="2:5" x14ac:dyDescent="0.2">
      <c r="B1100" t="s">
        <v>3874</v>
      </c>
      <c r="C1100" t="s">
        <v>3875</v>
      </c>
      <c r="D1100" s="13">
        <f>_xll.EditDistance($C$3,C1100,2)</f>
        <v>10</v>
      </c>
      <c r="E1100" s="13"/>
    </row>
    <row r="1101" spans="2:5" x14ac:dyDescent="0.2">
      <c r="B1101" t="s">
        <v>3926</v>
      </c>
      <c r="C1101" t="s">
        <v>3927</v>
      </c>
      <c r="D1101" s="13">
        <f>_xll.EditDistance($C$3,C1101,2)</f>
        <v>10</v>
      </c>
      <c r="E1101" s="13"/>
    </row>
    <row r="1102" spans="2:5" x14ac:dyDescent="0.2">
      <c r="B1102" t="s">
        <v>4099</v>
      </c>
      <c r="C1102" t="s">
        <v>4100</v>
      </c>
      <c r="D1102" s="13">
        <f>_xll.EditDistance($C$3,C1102,2)</f>
        <v>10</v>
      </c>
      <c r="E1102" s="13"/>
    </row>
    <row r="1103" spans="2:5" x14ac:dyDescent="0.2">
      <c r="B1103" t="s">
        <v>4126</v>
      </c>
      <c r="C1103" t="s">
        <v>4127</v>
      </c>
      <c r="D1103" s="13">
        <f>_xll.EditDistance($C$3,C1103,2)</f>
        <v>20</v>
      </c>
      <c r="E1103" s="13"/>
    </row>
    <row r="1104" spans="2:5" x14ac:dyDescent="0.2">
      <c r="B1104" t="s">
        <v>4262</v>
      </c>
      <c r="C1104" t="s">
        <v>4263</v>
      </c>
      <c r="D1104" s="13">
        <f>_xll.EditDistance($C$3,C1104,2)</f>
        <v>10</v>
      </c>
      <c r="E1104" s="13"/>
    </row>
    <row r="1105" spans="2:5" x14ac:dyDescent="0.2">
      <c r="B1105" t="s">
        <v>4420</v>
      </c>
      <c r="C1105" t="s">
        <v>4422</v>
      </c>
      <c r="D1105" s="13">
        <f>_xll.EditDistance($C$3,C1105,2)</f>
        <v>20</v>
      </c>
      <c r="E1105" s="13"/>
    </row>
    <row r="1106" spans="2:5" x14ac:dyDescent="0.2">
      <c r="B1106" t="s">
        <v>4470</v>
      </c>
      <c r="C1106" t="s">
        <v>4471</v>
      </c>
      <c r="D1106" s="13">
        <f>_xll.EditDistance($C$3,C1106,2)</f>
        <v>10</v>
      </c>
      <c r="E1106" s="13"/>
    </row>
    <row r="1107" spans="2:5" x14ac:dyDescent="0.2">
      <c r="B1107" t="s">
        <v>4544</v>
      </c>
      <c r="C1107" t="s">
        <v>4545</v>
      </c>
      <c r="D1107" s="13">
        <f>_xll.EditDistance($C$3,C1107,2)</f>
        <v>10</v>
      </c>
      <c r="E1107" s="13"/>
    </row>
    <row r="1108" spans="2:5" x14ac:dyDescent="0.2">
      <c r="B1108" t="s">
        <v>4560</v>
      </c>
      <c r="C1108" t="s">
        <v>4561</v>
      </c>
      <c r="D1108" s="13">
        <f>_xll.EditDistance($C$3,C1108,2)</f>
        <v>10</v>
      </c>
      <c r="E1108" s="13"/>
    </row>
    <row r="1109" spans="2:5" x14ac:dyDescent="0.2">
      <c r="B1109" t="s">
        <v>4560</v>
      </c>
      <c r="C1109" t="s">
        <v>4562</v>
      </c>
      <c r="D1109" s="13">
        <f>_xll.EditDistance($C$3,C1109,2)</f>
        <v>10</v>
      </c>
      <c r="E1109" s="13"/>
    </row>
    <row r="1110" spans="2:5" x14ac:dyDescent="0.2">
      <c r="B1110" t="s">
        <v>4599</v>
      </c>
      <c r="C1110" t="s">
        <v>4600</v>
      </c>
      <c r="D1110" s="13">
        <f>_xll.EditDistance($C$3,C1110,2)</f>
        <v>10</v>
      </c>
      <c r="E1110" s="13"/>
    </row>
    <row r="1111" spans="2:5" x14ac:dyDescent="0.2">
      <c r="B1111" t="s">
        <v>4603</v>
      </c>
      <c r="C1111" t="s">
        <v>4604</v>
      </c>
      <c r="D1111" s="13">
        <f>_xll.EditDistance($C$3,C1111,2)</f>
        <v>10</v>
      </c>
      <c r="E1111" s="13"/>
    </row>
    <row r="1112" spans="2:5" x14ac:dyDescent="0.2">
      <c r="B1112" t="s">
        <v>4603</v>
      </c>
      <c r="C1112" t="s">
        <v>4605</v>
      </c>
      <c r="D1112" s="13">
        <f>_xll.EditDistance($C$3,C1112,2)</f>
        <v>10</v>
      </c>
      <c r="E1112" s="13"/>
    </row>
    <row r="1113" spans="2:5" x14ac:dyDescent="0.2">
      <c r="B1113" t="s">
        <v>4615</v>
      </c>
      <c r="C1113" t="s">
        <v>4616</v>
      </c>
      <c r="D1113" s="13">
        <f>_xll.EditDistance($C$3,C1113,2)</f>
        <v>20</v>
      </c>
      <c r="E1113" s="13"/>
    </row>
    <row r="1114" spans="2:5" x14ac:dyDescent="0.2">
      <c r="B1114" t="s">
        <v>4660</v>
      </c>
      <c r="C1114" t="s">
        <v>4661</v>
      </c>
      <c r="D1114" s="13">
        <f>_xll.EditDistance($C$3,C1114,2)</f>
        <v>10</v>
      </c>
      <c r="E1114" s="13"/>
    </row>
    <row r="1115" spans="2:5" x14ac:dyDescent="0.2">
      <c r="B1115" t="s">
        <v>4662</v>
      </c>
      <c r="C1115" t="s">
        <v>4663</v>
      </c>
      <c r="D1115" s="13">
        <f>_xll.EditDistance($C$3,C1115,2)</f>
        <v>10</v>
      </c>
      <c r="E1115" s="13"/>
    </row>
    <row r="1116" spans="2:5" x14ac:dyDescent="0.2">
      <c r="B1116" t="s">
        <v>4688</v>
      </c>
      <c r="C1116" t="s">
        <v>4689</v>
      </c>
      <c r="D1116" s="13">
        <f>_xll.EditDistance($C$3,C1116,2)</f>
        <v>10</v>
      </c>
      <c r="E1116" s="13"/>
    </row>
    <row r="1117" spans="2:5" x14ac:dyDescent="0.2">
      <c r="B1117" t="s">
        <v>4698</v>
      </c>
      <c r="C1117" t="s">
        <v>4700</v>
      </c>
      <c r="D1117" s="13">
        <f>_xll.EditDistance($C$3,C1117,2)</f>
        <v>20</v>
      </c>
      <c r="E1117" s="13"/>
    </row>
    <row r="1118" spans="2:5" x14ac:dyDescent="0.2">
      <c r="B1118" t="s">
        <v>4710</v>
      </c>
      <c r="C1118" t="s">
        <v>4711</v>
      </c>
      <c r="D1118" s="13">
        <f>_xll.EditDistance($C$3,C1118,2)</f>
        <v>20</v>
      </c>
      <c r="E1118" s="13"/>
    </row>
    <row r="1119" spans="2:5" x14ac:dyDescent="0.2">
      <c r="B1119" t="s">
        <v>4712</v>
      </c>
      <c r="C1119" t="s">
        <v>4713</v>
      </c>
      <c r="D1119" s="13">
        <f>_xll.EditDistance($C$3,C1119,2)</f>
        <v>10</v>
      </c>
      <c r="E1119" s="13"/>
    </row>
    <row r="1120" spans="2:5" x14ac:dyDescent="0.2">
      <c r="B1120" t="s">
        <v>4744</v>
      </c>
      <c r="C1120" t="s">
        <v>4746</v>
      </c>
      <c r="D1120" s="13">
        <f>_xll.EditDistance($C$3,C1120,2)</f>
        <v>10</v>
      </c>
      <c r="E1120" s="13"/>
    </row>
    <row r="1121" spans="2:5" x14ac:dyDescent="0.2">
      <c r="B1121" t="s">
        <v>4769</v>
      </c>
      <c r="C1121" t="s">
        <v>4770</v>
      </c>
      <c r="D1121" s="13">
        <f>_xll.EditDistance($C$3,C1121,2)</f>
        <v>10</v>
      </c>
      <c r="E1121" s="13"/>
    </row>
    <row r="1122" spans="2:5" x14ac:dyDescent="0.2">
      <c r="B1122" t="s">
        <v>4836</v>
      </c>
      <c r="C1122" t="s">
        <v>4837</v>
      </c>
      <c r="D1122" s="13">
        <f>_xll.EditDistance($C$3,C1122,2)</f>
        <v>10</v>
      </c>
      <c r="E1122" s="13"/>
    </row>
    <row r="1123" spans="2:5" x14ac:dyDescent="0.2">
      <c r="B1123" s="22" t="s">
        <v>4967</v>
      </c>
      <c r="C1123" t="s">
        <v>4968</v>
      </c>
      <c r="D1123" s="13">
        <f>_xll.EditDistance($C$3,C1123,2)</f>
        <v>10</v>
      </c>
      <c r="E1123" s="13"/>
    </row>
    <row r="1124" spans="2:5" x14ac:dyDescent="0.2">
      <c r="B1124" t="s">
        <v>4981</v>
      </c>
      <c r="C1124" t="s">
        <v>4982</v>
      </c>
      <c r="D1124" s="13">
        <f>_xll.EditDistance($C$3,C1124,2)</f>
        <v>10</v>
      </c>
      <c r="E1124" s="13"/>
    </row>
    <row r="1125" spans="2:5" x14ac:dyDescent="0.2">
      <c r="B1125" t="s">
        <v>5045</v>
      </c>
      <c r="C1125" t="s">
        <v>5046</v>
      </c>
      <c r="D1125" s="13">
        <f>_xll.EditDistance($C$3,C1125,2)</f>
        <v>10</v>
      </c>
      <c r="E1125" s="13"/>
    </row>
    <row r="1126" spans="2:5" x14ac:dyDescent="0.2">
      <c r="B1126" t="s">
        <v>5083</v>
      </c>
      <c r="C1126" t="s">
        <v>5084</v>
      </c>
      <c r="D1126" s="13">
        <f>_xll.EditDistance($C$3,C1126,2)</f>
        <v>20</v>
      </c>
      <c r="E1126" s="13"/>
    </row>
    <row r="1127" spans="2:5" x14ac:dyDescent="0.2">
      <c r="B1127" t="s">
        <v>5111</v>
      </c>
      <c r="C1127" t="s">
        <v>5112</v>
      </c>
      <c r="D1127" s="13">
        <f>_xll.EditDistance($C$3,C1127,2)</f>
        <v>10</v>
      </c>
      <c r="E1127" s="13"/>
    </row>
    <row r="1128" spans="2:5" x14ac:dyDescent="0.2">
      <c r="B1128" s="22" t="s">
        <v>5113</v>
      </c>
      <c r="C1128" t="s">
        <v>5114</v>
      </c>
      <c r="D1128" s="13">
        <f>_xll.EditDistance($C$3,C1128,2)</f>
        <v>20</v>
      </c>
      <c r="E1128" s="13"/>
    </row>
    <row r="1129" spans="2:5" x14ac:dyDescent="0.2">
      <c r="B1129" t="s">
        <v>5119</v>
      </c>
      <c r="C1129" t="s">
        <v>5120</v>
      </c>
      <c r="D1129" s="13">
        <f>_xll.EditDistance($C$3,C1129,2)</f>
        <v>10</v>
      </c>
      <c r="E1129" s="13"/>
    </row>
    <row r="1130" spans="2:5" x14ac:dyDescent="0.2">
      <c r="B1130" t="s">
        <v>5168</v>
      </c>
      <c r="C1130" t="s">
        <v>5169</v>
      </c>
      <c r="D1130" s="13">
        <f>_xll.EditDistance($C$3,C1130,2)</f>
        <v>10</v>
      </c>
      <c r="E1130" s="13"/>
    </row>
    <row r="1131" spans="2:5" x14ac:dyDescent="0.2">
      <c r="B1131" t="s">
        <v>5232</v>
      </c>
      <c r="C1131" t="s">
        <v>5233</v>
      </c>
      <c r="D1131" s="13">
        <f>_xll.EditDistance($C$3,C1131,2)</f>
        <v>10</v>
      </c>
      <c r="E1131" s="13"/>
    </row>
    <row r="1132" spans="2:5" x14ac:dyDescent="0.2">
      <c r="B1132" t="s">
        <v>5232</v>
      </c>
      <c r="C1132" t="s">
        <v>5234</v>
      </c>
      <c r="D1132" s="13">
        <f>_xll.EditDistance($C$3,C1132,2)</f>
        <v>10</v>
      </c>
      <c r="E1132" s="13"/>
    </row>
    <row r="1133" spans="2:5" x14ac:dyDescent="0.2">
      <c r="B1133" t="s">
        <v>5264</v>
      </c>
      <c r="C1133" t="s">
        <v>5265</v>
      </c>
      <c r="D1133" s="13">
        <f>_xll.EditDistance($C$3,C1133,2)</f>
        <v>10</v>
      </c>
      <c r="E1133" s="13"/>
    </row>
    <row r="1134" spans="2:5" x14ac:dyDescent="0.2">
      <c r="B1134" t="s">
        <v>5283</v>
      </c>
      <c r="C1134" t="s">
        <v>5284</v>
      </c>
      <c r="D1134" s="13">
        <f>_xll.EditDistance($C$3,C1134,2)</f>
        <v>10</v>
      </c>
      <c r="E1134" s="13"/>
    </row>
    <row r="1135" spans="2:5" x14ac:dyDescent="0.2">
      <c r="B1135" t="s">
        <v>5293</v>
      </c>
      <c r="C1135" t="s">
        <v>5294</v>
      </c>
      <c r="D1135" s="13">
        <f>_xll.EditDistance($C$3,C1135,2)</f>
        <v>10</v>
      </c>
      <c r="E1135" s="13"/>
    </row>
    <row r="1136" spans="2:5" x14ac:dyDescent="0.2">
      <c r="B1136" t="s">
        <v>5316</v>
      </c>
      <c r="C1136" t="s">
        <v>5317</v>
      </c>
      <c r="D1136" s="13">
        <f>_xll.EditDistance($C$3,C1136,2)</f>
        <v>20</v>
      </c>
      <c r="E1136" s="13"/>
    </row>
    <row r="1137" spans="2:5" x14ac:dyDescent="0.2">
      <c r="B1137" t="s">
        <v>5326</v>
      </c>
      <c r="C1137" t="s">
        <v>5327</v>
      </c>
      <c r="D1137" s="13">
        <f>_xll.EditDistance($C$3,C1137,2)</f>
        <v>20</v>
      </c>
      <c r="E1137" s="13"/>
    </row>
    <row r="1138" spans="2:5" x14ac:dyDescent="0.2">
      <c r="B1138" t="s">
        <v>5355</v>
      </c>
      <c r="C1138" t="s">
        <v>5356</v>
      </c>
      <c r="D1138" s="13">
        <f>_xll.EditDistance($C$3,C1138,2)</f>
        <v>10</v>
      </c>
      <c r="E1138" s="13"/>
    </row>
    <row r="1139" spans="2:5" x14ac:dyDescent="0.2">
      <c r="B1139" t="s">
        <v>5423</v>
      </c>
      <c r="C1139" t="s">
        <v>5424</v>
      </c>
      <c r="D1139" s="13">
        <f>_xll.EditDistance($C$3,C1139,2)</f>
        <v>10</v>
      </c>
      <c r="E1139" s="13"/>
    </row>
    <row r="1140" spans="2:5" x14ac:dyDescent="0.2">
      <c r="B1140" t="s">
        <v>5618</v>
      </c>
      <c r="C1140" t="s">
        <v>5619</v>
      </c>
      <c r="D1140" s="13">
        <f>_xll.EditDistance($C$3,C1140,2)</f>
        <v>20</v>
      </c>
      <c r="E1140" s="13"/>
    </row>
    <row r="1141" spans="2:5" x14ac:dyDescent="0.2">
      <c r="B1141" t="s">
        <v>5726</v>
      </c>
      <c r="C1141" t="s">
        <v>5727</v>
      </c>
      <c r="D1141" s="13">
        <f>_xll.EditDistance($C$3,C1141,2)</f>
        <v>10</v>
      </c>
      <c r="E1141" s="13"/>
    </row>
    <row r="1142" spans="2:5" x14ac:dyDescent="0.2">
      <c r="B1142" t="s">
        <v>5771</v>
      </c>
      <c r="C1142" t="s">
        <v>5772</v>
      </c>
      <c r="D1142" s="13">
        <f>_xll.EditDistance($C$3,C1142,2)</f>
        <v>10</v>
      </c>
      <c r="E1142" s="13"/>
    </row>
    <row r="1143" spans="2:5" x14ac:dyDescent="0.2">
      <c r="B1143" t="s">
        <v>5838</v>
      </c>
      <c r="C1143" t="s">
        <v>5839</v>
      </c>
      <c r="D1143" s="13">
        <f>_xll.EditDistance($C$3,C1143,2)</f>
        <v>10</v>
      </c>
      <c r="E1143" s="13"/>
    </row>
    <row r="1144" spans="2:5" x14ac:dyDescent="0.2">
      <c r="B1144" t="s">
        <v>5858</v>
      </c>
      <c r="C1144" t="s">
        <v>5859</v>
      </c>
      <c r="D1144" s="13">
        <f>_xll.EditDistance($C$3,C1144,2)</f>
        <v>10</v>
      </c>
      <c r="E1144" s="13"/>
    </row>
    <row r="1145" spans="2:5" x14ac:dyDescent="0.2">
      <c r="B1145" t="s">
        <v>5906</v>
      </c>
      <c r="C1145" t="s">
        <v>5907</v>
      </c>
      <c r="D1145" s="13">
        <f>_xll.EditDistance($C$3,C1145,2)</f>
        <v>30</v>
      </c>
      <c r="E1145" s="13"/>
    </row>
    <row r="1146" spans="2:5" x14ac:dyDescent="0.2">
      <c r="B1146" t="s">
        <v>5923</v>
      </c>
      <c r="C1146" t="s">
        <v>5924</v>
      </c>
      <c r="D1146" s="13">
        <f>_xll.EditDistance($C$3,C1146,2)</f>
        <v>10</v>
      </c>
      <c r="E1146" s="13"/>
    </row>
    <row r="1147" spans="2:5" x14ac:dyDescent="0.2">
      <c r="B1147" t="s">
        <v>6092</v>
      </c>
      <c r="C1147" t="s">
        <v>6093</v>
      </c>
      <c r="D1147" s="13">
        <f>_xll.EditDistance($C$3,C1147,2)</f>
        <v>10</v>
      </c>
      <c r="E1147" s="13"/>
    </row>
    <row r="1148" spans="2:5" x14ac:dyDescent="0.2">
      <c r="B1148" t="s">
        <v>6117</v>
      </c>
      <c r="C1148" t="s">
        <v>6118</v>
      </c>
      <c r="D1148" s="13">
        <f>_xll.EditDistance($C$3,C1148,2)</f>
        <v>10</v>
      </c>
      <c r="E1148" s="13"/>
    </row>
    <row r="1149" spans="2:5" x14ac:dyDescent="0.2">
      <c r="B1149" t="s">
        <v>6121</v>
      </c>
      <c r="C1149" t="s">
        <v>6122</v>
      </c>
      <c r="D1149" s="13">
        <f>_xll.EditDistance($C$3,C1149,2)</f>
        <v>10</v>
      </c>
      <c r="E1149" s="13"/>
    </row>
    <row r="1150" spans="2:5" x14ac:dyDescent="0.2">
      <c r="B1150" t="s">
        <v>6159</v>
      </c>
      <c r="C1150" t="s">
        <v>6160</v>
      </c>
      <c r="D1150" s="13">
        <f>_xll.EditDistance($C$3,C1150,2)</f>
        <v>10</v>
      </c>
      <c r="E1150" s="13"/>
    </row>
    <row r="1151" spans="2:5" x14ac:dyDescent="0.2">
      <c r="B1151" t="s">
        <v>6246</v>
      </c>
      <c r="C1151" t="s">
        <v>6247</v>
      </c>
      <c r="D1151" s="13">
        <f>_xll.EditDistance($C$3,C1151,2)</f>
        <v>10</v>
      </c>
      <c r="E1151" s="13"/>
    </row>
    <row r="1152" spans="2:5" x14ac:dyDescent="0.2">
      <c r="B1152" t="s">
        <v>6278</v>
      </c>
      <c r="C1152" t="s">
        <v>6279</v>
      </c>
      <c r="D1152" s="13">
        <f>_xll.EditDistance($C$3,C1152,2)</f>
        <v>10</v>
      </c>
      <c r="E1152" s="13"/>
    </row>
    <row r="1153" spans="2:5" x14ac:dyDescent="0.2">
      <c r="B1153" t="s">
        <v>6318</v>
      </c>
      <c r="C1153" t="s">
        <v>6319</v>
      </c>
      <c r="D1153" s="13">
        <f>_xll.EditDistance($C$3,C1153,2)</f>
        <v>10</v>
      </c>
      <c r="E1153" s="13"/>
    </row>
    <row r="1154" spans="2:5" x14ac:dyDescent="0.2">
      <c r="B1154" t="s">
        <v>6366</v>
      </c>
      <c r="C1154" t="s">
        <v>6367</v>
      </c>
      <c r="D1154" s="13">
        <f>_xll.EditDistance($C$3,C1154,2)</f>
        <v>10</v>
      </c>
      <c r="E1154" s="13"/>
    </row>
    <row r="1155" spans="2:5" x14ac:dyDescent="0.2">
      <c r="B1155" t="s">
        <v>6463</v>
      </c>
      <c r="C1155" t="s">
        <v>6464</v>
      </c>
      <c r="D1155" s="13">
        <f>_xll.EditDistance($C$3,C1155,2)</f>
        <v>10</v>
      </c>
      <c r="E1155" s="13"/>
    </row>
    <row r="1156" spans="2:5" x14ac:dyDescent="0.2">
      <c r="B1156" t="s">
        <v>6584</v>
      </c>
      <c r="C1156" t="s">
        <v>6585</v>
      </c>
      <c r="D1156" s="13">
        <f>_xll.EditDistance($C$3,C1156,2)</f>
        <v>10</v>
      </c>
      <c r="E1156" s="13"/>
    </row>
    <row r="1157" spans="2:5" x14ac:dyDescent="0.2">
      <c r="B1157" t="s">
        <v>6629</v>
      </c>
      <c r="C1157" t="s">
        <v>6630</v>
      </c>
      <c r="D1157" s="13">
        <f>_xll.EditDistance($C$3,C1157,2)</f>
        <v>10</v>
      </c>
      <c r="E1157" s="13"/>
    </row>
    <row r="1158" spans="2:5" x14ac:dyDescent="0.2">
      <c r="B1158" t="s">
        <v>6656</v>
      </c>
      <c r="C1158" t="s">
        <v>6657</v>
      </c>
      <c r="D1158" s="13">
        <f>_xll.EditDistance($C$3,C1158,2)</f>
        <v>10</v>
      </c>
      <c r="E1158" s="13"/>
    </row>
    <row r="1159" spans="2:5" x14ac:dyDescent="0.2">
      <c r="B1159" t="s">
        <v>6734</v>
      </c>
      <c r="C1159" t="s">
        <v>6735</v>
      </c>
      <c r="D1159" s="13">
        <f>_xll.EditDistance($C$3,C1159,2)</f>
        <v>10</v>
      </c>
      <c r="E1159" s="13"/>
    </row>
    <row r="1160" spans="2:5" x14ac:dyDescent="0.2">
      <c r="B1160" t="s">
        <v>6792</v>
      </c>
      <c r="C1160" t="s">
        <v>6793</v>
      </c>
      <c r="D1160" s="13">
        <f>_xll.EditDistance($C$3,C1160,2)</f>
        <v>10</v>
      </c>
      <c r="E1160" s="13"/>
    </row>
    <row r="1161" spans="2:5" x14ac:dyDescent="0.2">
      <c r="B1161" t="s">
        <v>6857</v>
      </c>
      <c r="C1161" t="s">
        <v>6858</v>
      </c>
      <c r="D1161" s="13">
        <f>_xll.EditDistance($C$3,C1161,2)</f>
        <v>10</v>
      </c>
      <c r="E1161" s="13"/>
    </row>
    <row r="1162" spans="2:5" x14ac:dyDescent="0.2">
      <c r="B1162" t="s">
        <v>6857</v>
      </c>
      <c r="C1162" t="s">
        <v>6859</v>
      </c>
      <c r="D1162" s="13">
        <f>_xll.EditDistance($C$3,C1162,2)</f>
        <v>10</v>
      </c>
      <c r="E1162" s="13"/>
    </row>
    <row r="1163" spans="2:5" x14ac:dyDescent="0.2">
      <c r="B1163" t="s">
        <v>6986</v>
      </c>
      <c r="C1163" t="s">
        <v>6987</v>
      </c>
      <c r="D1163" s="13">
        <f>_xll.EditDistance($C$3,C1163,2)</f>
        <v>10</v>
      </c>
      <c r="E1163" s="13"/>
    </row>
    <row r="1164" spans="2:5" x14ac:dyDescent="0.2">
      <c r="B1164" t="s">
        <v>7046</v>
      </c>
      <c r="C1164" t="s">
        <v>7047</v>
      </c>
      <c r="D1164" s="13">
        <f>_xll.EditDistance($C$3,C1164,2)</f>
        <v>10</v>
      </c>
      <c r="E1164" s="13"/>
    </row>
    <row r="1165" spans="2:5" x14ac:dyDescent="0.2">
      <c r="B1165" t="s">
        <v>7056</v>
      </c>
      <c r="C1165" t="s">
        <v>7057</v>
      </c>
      <c r="D1165" s="13">
        <f>_xll.EditDistance($C$3,C1165,2)</f>
        <v>10</v>
      </c>
      <c r="E1165" s="13"/>
    </row>
    <row r="1166" spans="2:5" x14ac:dyDescent="0.2">
      <c r="B1166" t="s">
        <v>7096</v>
      </c>
      <c r="C1166" t="s">
        <v>7097</v>
      </c>
      <c r="D1166" s="13">
        <f>_xll.EditDistance($C$3,C1166,2)</f>
        <v>20</v>
      </c>
      <c r="E1166" s="13"/>
    </row>
    <row r="1167" spans="2:5" x14ac:dyDescent="0.2">
      <c r="B1167" t="s">
        <v>7147</v>
      </c>
      <c r="C1167" t="s">
        <v>7148</v>
      </c>
      <c r="D1167" s="13">
        <f>_xll.EditDistance($C$3,C1167,2)</f>
        <v>10</v>
      </c>
      <c r="E1167" s="13"/>
    </row>
    <row r="1168" spans="2:5" x14ac:dyDescent="0.2">
      <c r="B1168" t="s">
        <v>7174</v>
      </c>
      <c r="C1168" t="s">
        <v>7175</v>
      </c>
      <c r="D1168" s="13">
        <f>_xll.EditDistance($C$3,C1168,2)</f>
        <v>20</v>
      </c>
      <c r="E1168" s="13"/>
    </row>
    <row r="1169" spans="2:5" x14ac:dyDescent="0.2">
      <c r="B1169" t="s">
        <v>7186</v>
      </c>
      <c r="C1169" t="s">
        <v>7187</v>
      </c>
      <c r="D1169" s="13">
        <f>_xll.EditDistance($C$3,C1169,2)</f>
        <v>20</v>
      </c>
      <c r="E1169" s="13"/>
    </row>
    <row r="1170" spans="2:5" x14ac:dyDescent="0.2">
      <c r="B1170" t="s">
        <v>7192</v>
      </c>
      <c r="C1170" t="s">
        <v>7194</v>
      </c>
      <c r="D1170" s="13">
        <f>_xll.EditDistance($C$3,C1170,2)</f>
        <v>10</v>
      </c>
      <c r="E1170" s="13"/>
    </row>
    <row r="1171" spans="2:5" x14ac:dyDescent="0.2">
      <c r="B1171" t="s">
        <v>7213</v>
      </c>
      <c r="C1171" t="s">
        <v>7214</v>
      </c>
      <c r="D1171" s="13">
        <f>_xll.EditDistance($C$3,C1171,2)</f>
        <v>10</v>
      </c>
      <c r="E1171" s="13"/>
    </row>
    <row r="1172" spans="2:5" x14ac:dyDescent="0.2">
      <c r="B1172" t="s">
        <v>7215</v>
      </c>
      <c r="C1172" t="s">
        <v>7216</v>
      </c>
      <c r="D1172" s="13">
        <f>_xll.EditDistance($C$3,C1172,2)</f>
        <v>30</v>
      </c>
      <c r="E1172" s="13"/>
    </row>
    <row r="1173" spans="2:5" x14ac:dyDescent="0.2">
      <c r="B1173" t="s">
        <v>7240</v>
      </c>
      <c r="C1173" t="s">
        <v>7241</v>
      </c>
      <c r="D1173" s="13">
        <f>_xll.EditDistance($C$3,C1173,2)</f>
        <v>10</v>
      </c>
      <c r="E1173" s="13"/>
    </row>
    <row r="1174" spans="2:5" x14ac:dyDescent="0.2">
      <c r="B1174" t="s">
        <v>7240</v>
      </c>
      <c r="C1174" t="s">
        <v>7242</v>
      </c>
      <c r="D1174" s="13">
        <f>_xll.EditDistance($C$3,C1174,2)</f>
        <v>10</v>
      </c>
      <c r="E1174" s="13"/>
    </row>
    <row r="1175" spans="2:5" x14ac:dyDescent="0.2">
      <c r="B1175" t="s">
        <v>7250</v>
      </c>
      <c r="C1175" t="s">
        <v>7251</v>
      </c>
      <c r="D1175" s="13">
        <f>_xll.EditDistance($C$3,C1175,2)</f>
        <v>10</v>
      </c>
      <c r="E1175" s="13"/>
    </row>
    <row r="1176" spans="2:5" x14ac:dyDescent="0.2">
      <c r="B1176" t="s">
        <v>7304</v>
      </c>
      <c r="C1176" t="s">
        <v>7305</v>
      </c>
      <c r="D1176" s="13">
        <f>_xll.EditDistance($C$3,C1176,2)</f>
        <v>20</v>
      </c>
      <c r="E1176" s="13"/>
    </row>
    <row r="1177" spans="2:5" x14ac:dyDescent="0.2">
      <c r="B1177" t="s">
        <v>7323</v>
      </c>
      <c r="C1177" t="s">
        <v>7324</v>
      </c>
      <c r="D1177" s="13">
        <f>_xll.EditDistance($C$3,C1177,2)</f>
        <v>10</v>
      </c>
      <c r="E1177" s="13"/>
    </row>
    <row r="1178" spans="2:5" x14ac:dyDescent="0.2">
      <c r="B1178" t="s">
        <v>7323</v>
      </c>
      <c r="C1178" t="s">
        <v>7325</v>
      </c>
      <c r="D1178" s="13">
        <f>_xll.EditDistance($C$3,C1178,2)</f>
        <v>10</v>
      </c>
      <c r="E1178" s="13"/>
    </row>
    <row r="1179" spans="2:5" x14ac:dyDescent="0.2">
      <c r="B1179" t="s">
        <v>7507</v>
      </c>
      <c r="C1179" t="s">
        <v>7508</v>
      </c>
      <c r="D1179" s="13">
        <f>_xll.EditDistance($C$3,C1179,2)</f>
        <v>10</v>
      </c>
      <c r="E1179" s="13"/>
    </row>
    <row r="1180" spans="2:5" x14ac:dyDescent="0.2">
      <c r="B1180" t="s">
        <v>7507</v>
      </c>
      <c r="C1180" t="s">
        <v>7509</v>
      </c>
      <c r="D1180" s="13">
        <f>_xll.EditDistance($C$3,C1180,2)</f>
        <v>10</v>
      </c>
      <c r="E1180" s="13"/>
    </row>
    <row r="1181" spans="2:5" x14ac:dyDescent="0.2">
      <c r="B1181" t="s">
        <v>7594</v>
      </c>
      <c r="C1181" t="s">
        <v>7595</v>
      </c>
      <c r="D1181" s="13">
        <f>_xll.EditDistance($C$3,C1181,2)</f>
        <v>10</v>
      </c>
      <c r="E1181" s="13"/>
    </row>
    <row r="1182" spans="2:5" x14ac:dyDescent="0.2">
      <c r="B1182" t="s">
        <v>7634</v>
      </c>
      <c r="C1182" t="s">
        <v>7635</v>
      </c>
      <c r="D1182" s="13">
        <f>_xll.EditDistance($C$3,C1182,2)</f>
        <v>20</v>
      </c>
      <c r="E1182" s="13"/>
    </row>
    <row r="1183" spans="2:5" x14ac:dyDescent="0.2">
      <c r="B1183" t="s">
        <v>7638</v>
      </c>
      <c r="C1183" t="s">
        <v>7639</v>
      </c>
      <c r="D1183" s="13">
        <f>_xll.EditDistance($C$3,C1183,2)</f>
        <v>10</v>
      </c>
      <c r="E1183" s="13"/>
    </row>
    <row r="1184" spans="2:5" x14ac:dyDescent="0.2">
      <c r="B1184" t="s">
        <v>7703</v>
      </c>
      <c r="C1184" t="s">
        <v>7704</v>
      </c>
      <c r="D1184" s="13">
        <f>_xll.EditDistance($C$3,C1184,2)</f>
        <v>20</v>
      </c>
      <c r="E1184" s="13"/>
    </row>
    <row r="1185" spans="2:5" x14ac:dyDescent="0.2">
      <c r="B1185" t="s">
        <v>7724</v>
      </c>
      <c r="C1185" t="s">
        <v>7725</v>
      </c>
      <c r="D1185" s="13">
        <f>_xll.EditDistance($C$3,C1185,2)</f>
        <v>10</v>
      </c>
      <c r="E1185" s="13"/>
    </row>
    <row r="1186" spans="2:5" x14ac:dyDescent="0.2">
      <c r="B1186" t="s">
        <v>7750</v>
      </c>
      <c r="C1186" t="s">
        <v>7751</v>
      </c>
      <c r="D1186" s="13">
        <f>_xll.EditDistance($C$3,C1186,2)</f>
        <v>10</v>
      </c>
      <c r="E1186" s="13"/>
    </row>
    <row r="1187" spans="2:5" x14ac:dyDescent="0.2">
      <c r="B1187" t="s">
        <v>7774</v>
      </c>
      <c r="C1187" t="s">
        <v>7775</v>
      </c>
      <c r="D1187" s="13">
        <f>_xll.EditDistance($C$3,C1187,2)</f>
        <v>10</v>
      </c>
      <c r="E1187" s="13"/>
    </row>
    <row r="1188" spans="2:5" x14ac:dyDescent="0.2">
      <c r="B1188" t="s">
        <v>7790</v>
      </c>
      <c r="C1188" t="s">
        <v>7791</v>
      </c>
      <c r="D1188" s="13">
        <f>_xll.EditDistance($C$3,C1188,2)</f>
        <v>10</v>
      </c>
      <c r="E1188" s="13"/>
    </row>
    <row r="1189" spans="2:5" x14ac:dyDescent="0.2">
      <c r="B1189" t="s">
        <v>7802</v>
      </c>
      <c r="C1189" t="s">
        <v>7803</v>
      </c>
      <c r="D1189" s="13">
        <f>_xll.EditDistance($C$3,C1189,2)</f>
        <v>10</v>
      </c>
      <c r="E1189" s="13"/>
    </row>
    <row r="1190" spans="2:5" x14ac:dyDescent="0.2">
      <c r="B1190" t="s">
        <v>7990</v>
      </c>
      <c r="C1190" t="s">
        <v>7991</v>
      </c>
      <c r="D1190" s="13">
        <f>_xll.EditDistance($C$3,C1190,2)</f>
        <v>10</v>
      </c>
      <c r="E1190" s="13"/>
    </row>
    <row r="1191" spans="2:5" x14ac:dyDescent="0.2">
      <c r="B1191" t="s">
        <v>8006</v>
      </c>
      <c r="C1191" t="s">
        <v>8007</v>
      </c>
      <c r="D1191" s="13">
        <f>_xll.EditDistance($C$3,C1191,2)</f>
        <v>10</v>
      </c>
      <c r="E1191" s="13"/>
    </row>
    <row r="1192" spans="2:5" x14ac:dyDescent="0.2">
      <c r="B1192" t="s">
        <v>8092</v>
      </c>
      <c r="C1192" t="s">
        <v>8093</v>
      </c>
      <c r="D1192" s="13">
        <f>_xll.EditDistance($C$3,C1192,2)</f>
        <v>10</v>
      </c>
      <c r="E1192" s="13"/>
    </row>
    <row r="1193" spans="2:5" x14ac:dyDescent="0.2">
      <c r="B1193" t="s">
        <v>8142</v>
      </c>
      <c r="C1193" t="s">
        <v>8143</v>
      </c>
      <c r="D1193" s="13">
        <f>_xll.EditDistance($C$3,C1193,2)</f>
        <v>10</v>
      </c>
      <c r="E1193" s="13"/>
    </row>
    <row r="1194" spans="2:5" x14ac:dyDescent="0.2">
      <c r="B1194" t="s">
        <v>8178</v>
      </c>
      <c r="C1194" t="s">
        <v>8179</v>
      </c>
      <c r="D1194" s="13">
        <f>_xll.EditDistance($C$3,C1194,2)</f>
        <v>10</v>
      </c>
      <c r="E1194" s="13"/>
    </row>
    <row r="1195" spans="2:5" x14ac:dyDescent="0.2">
      <c r="B1195" t="s">
        <v>8180</v>
      </c>
      <c r="C1195" t="s">
        <v>8181</v>
      </c>
      <c r="D1195" s="13">
        <f>_xll.EditDistance($C$3,C1195,2)</f>
        <v>10</v>
      </c>
      <c r="E1195" s="13"/>
    </row>
    <row r="1196" spans="2:5" x14ac:dyDescent="0.2">
      <c r="B1196" t="s">
        <v>8321</v>
      </c>
      <c r="C1196" t="s">
        <v>8322</v>
      </c>
      <c r="D1196" s="13">
        <f>_xll.EditDistance($C$3,C1196,2)</f>
        <v>10</v>
      </c>
      <c r="E1196" s="13"/>
    </row>
    <row r="1197" spans="2:5" x14ac:dyDescent="0.2">
      <c r="B1197" t="s">
        <v>8331</v>
      </c>
      <c r="C1197" t="s">
        <v>8332</v>
      </c>
      <c r="D1197" s="13">
        <f>_xll.EditDistance($C$3,C1197,2)</f>
        <v>10</v>
      </c>
      <c r="E1197" s="13"/>
    </row>
    <row r="1198" spans="2:5" x14ac:dyDescent="0.2">
      <c r="B1198" t="s">
        <v>8337</v>
      </c>
      <c r="C1198" t="s">
        <v>8338</v>
      </c>
      <c r="D1198" s="13">
        <f>_xll.EditDistance($C$3,C1198,2)</f>
        <v>10</v>
      </c>
      <c r="E1198" s="13"/>
    </row>
    <row r="1199" spans="2:5" x14ac:dyDescent="0.2">
      <c r="B1199" t="s">
        <v>8404</v>
      </c>
      <c r="C1199" t="s">
        <v>8405</v>
      </c>
      <c r="D1199" s="13">
        <f>_xll.EditDistance($C$3,C1199,2)</f>
        <v>10</v>
      </c>
      <c r="E1199" s="13"/>
    </row>
    <row r="1200" spans="2:5" x14ac:dyDescent="0.2">
      <c r="B1200" t="s">
        <v>8547</v>
      </c>
      <c r="C1200" t="s">
        <v>8548</v>
      </c>
      <c r="D1200" s="13">
        <f>_xll.EditDistance($C$3,C1200,2)</f>
        <v>10</v>
      </c>
      <c r="E1200" s="13"/>
    </row>
    <row r="1201" spans="2:5" x14ac:dyDescent="0.2">
      <c r="B1201" t="s">
        <v>8563</v>
      </c>
      <c r="C1201" t="s">
        <v>8564</v>
      </c>
      <c r="D1201" s="13">
        <f>_xll.EditDistance($C$3,C1201,2)</f>
        <v>10</v>
      </c>
      <c r="E1201" s="13"/>
    </row>
    <row r="1202" spans="2:5" x14ac:dyDescent="0.2">
      <c r="B1202" t="s">
        <v>8582</v>
      </c>
      <c r="C1202" t="s">
        <v>8583</v>
      </c>
      <c r="D1202" s="13">
        <f>_xll.EditDistance($C$3,C1202,2)</f>
        <v>10</v>
      </c>
      <c r="E1202" s="13"/>
    </row>
    <row r="1203" spans="2:5" x14ac:dyDescent="0.2">
      <c r="B1203" t="s">
        <v>327</v>
      </c>
      <c r="C1203" t="s">
        <v>328</v>
      </c>
      <c r="D1203" s="13">
        <f>_xll.EditDistance($C$3,C1203,2)</f>
        <v>20</v>
      </c>
      <c r="E1203" s="13"/>
    </row>
    <row r="1204" spans="2:5" x14ac:dyDescent="0.2">
      <c r="B1204" t="s">
        <v>834</v>
      </c>
      <c r="C1204" t="s">
        <v>835</v>
      </c>
      <c r="D1204" s="13">
        <f>_xll.EditDistance($C$3,C1204,2)</f>
        <v>10</v>
      </c>
      <c r="E1204" s="13"/>
    </row>
    <row r="1205" spans="2:5" x14ac:dyDescent="0.2">
      <c r="B1205" t="s">
        <v>895</v>
      </c>
      <c r="C1205" t="s">
        <v>896</v>
      </c>
      <c r="D1205" s="13">
        <f>_xll.EditDistance($C$3,C1205,2)</f>
        <v>10</v>
      </c>
      <c r="E1205" s="13"/>
    </row>
    <row r="1206" spans="2:5" x14ac:dyDescent="0.2">
      <c r="B1206" t="s">
        <v>930</v>
      </c>
      <c r="C1206" t="s">
        <v>931</v>
      </c>
      <c r="D1206" s="13">
        <f>_xll.EditDistance($C$3,C1206,2)</f>
        <v>10</v>
      </c>
      <c r="E1206" s="13"/>
    </row>
    <row r="1207" spans="2:5" x14ac:dyDescent="0.2">
      <c r="B1207" t="s">
        <v>1242</v>
      </c>
      <c r="C1207" t="s">
        <v>1243</v>
      </c>
      <c r="D1207" s="13">
        <f>_xll.EditDistance($C$3,C1207,2)</f>
        <v>10</v>
      </c>
      <c r="E1207" s="13"/>
    </row>
    <row r="1208" spans="2:5" x14ac:dyDescent="0.2">
      <c r="B1208" t="s">
        <v>1647</v>
      </c>
      <c r="C1208" t="s">
        <v>1648</v>
      </c>
      <c r="D1208" s="13">
        <f>_xll.EditDistance($C$3,C1208,2)</f>
        <v>10</v>
      </c>
      <c r="E1208" s="13"/>
    </row>
    <row r="1209" spans="2:5" x14ac:dyDescent="0.2">
      <c r="B1209" t="s">
        <v>1855</v>
      </c>
      <c r="C1209" t="s">
        <v>1856</v>
      </c>
      <c r="D1209" s="13">
        <f>_xll.EditDistance($C$3,C1209,2)</f>
        <v>10</v>
      </c>
      <c r="E1209" s="13"/>
    </row>
    <row r="1210" spans="2:5" x14ac:dyDescent="0.2">
      <c r="B1210" t="s">
        <v>1964</v>
      </c>
      <c r="C1210" t="s">
        <v>1965</v>
      </c>
      <c r="D1210" s="13">
        <f>_xll.EditDistance($C$3,C1210,2)</f>
        <v>10</v>
      </c>
      <c r="E1210" s="13"/>
    </row>
    <row r="1211" spans="2:5" x14ac:dyDescent="0.2">
      <c r="B1211" t="s">
        <v>2158</v>
      </c>
      <c r="C1211" t="s">
        <v>2159</v>
      </c>
      <c r="D1211" s="13">
        <f>_xll.EditDistance($C$3,C1211,2)</f>
        <v>10</v>
      </c>
      <c r="E1211" s="13"/>
    </row>
    <row r="1212" spans="2:5" x14ac:dyDescent="0.2">
      <c r="B1212" t="s">
        <v>2182</v>
      </c>
      <c r="C1212" t="s">
        <v>2183</v>
      </c>
      <c r="D1212" s="13">
        <f>_xll.EditDistance($C$3,C1212,2)</f>
        <v>10</v>
      </c>
      <c r="E1212" s="13"/>
    </row>
    <row r="1213" spans="2:5" x14ac:dyDescent="0.2">
      <c r="B1213" s="22" t="s">
        <v>2227</v>
      </c>
      <c r="C1213" t="s">
        <v>2228</v>
      </c>
      <c r="D1213" s="13">
        <f>_xll.EditDistance($C$3,C1213,2)</f>
        <v>10</v>
      </c>
      <c r="E1213" s="13"/>
    </row>
    <row r="1214" spans="2:5" x14ac:dyDescent="0.2">
      <c r="B1214" t="s">
        <v>2233</v>
      </c>
      <c r="C1214" t="s">
        <v>2234</v>
      </c>
      <c r="D1214" s="13">
        <f>_xll.EditDistance($C$3,C1214,2)</f>
        <v>10</v>
      </c>
      <c r="E1214" s="13"/>
    </row>
    <row r="1215" spans="2:5" x14ac:dyDescent="0.2">
      <c r="B1215" t="s">
        <v>2287</v>
      </c>
      <c r="C1215" t="s">
        <v>2288</v>
      </c>
      <c r="D1215" s="13">
        <f>_xll.EditDistance($C$3,C1215,2)</f>
        <v>10</v>
      </c>
      <c r="E1215" s="13"/>
    </row>
    <row r="1216" spans="2:5" x14ac:dyDescent="0.2">
      <c r="B1216" t="s">
        <v>2786</v>
      </c>
      <c r="C1216" t="s">
        <v>2787</v>
      </c>
      <c r="D1216" s="13">
        <f>_xll.EditDistance($C$3,C1216,2)</f>
        <v>10</v>
      </c>
      <c r="E1216" s="13"/>
    </row>
    <row r="1217" spans="2:5" x14ac:dyDescent="0.2">
      <c r="B1217" t="s">
        <v>3806</v>
      </c>
      <c r="C1217" t="s">
        <v>3807</v>
      </c>
      <c r="D1217" s="13">
        <f>_xll.EditDistance($C$3,C1217,2)</f>
        <v>10</v>
      </c>
      <c r="E1217" s="13"/>
    </row>
    <row r="1218" spans="2:5" x14ac:dyDescent="0.2">
      <c r="B1218" t="s">
        <v>3829</v>
      </c>
      <c r="C1218" t="s">
        <v>3830</v>
      </c>
      <c r="D1218" s="13">
        <f>_xll.EditDistance($C$3,C1218,2)</f>
        <v>10</v>
      </c>
      <c r="E1218" s="13"/>
    </row>
    <row r="1219" spans="2:5" x14ac:dyDescent="0.2">
      <c r="B1219" t="s">
        <v>3975</v>
      </c>
      <c r="C1219" t="s">
        <v>3976</v>
      </c>
      <c r="D1219" s="13">
        <f>_xll.EditDistance($C$3,C1219,2)</f>
        <v>20</v>
      </c>
      <c r="E1219" s="13"/>
    </row>
    <row r="1220" spans="2:5" x14ac:dyDescent="0.2">
      <c r="B1220" t="s">
        <v>4256</v>
      </c>
      <c r="C1220" t="s">
        <v>4257</v>
      </c>
      <c r="D1220" s="13">
        <f>_xll.EditDistance($C$3,C1220,2)</f>
        <v>10</v>
      </c>
      <c r="E1220" s="13"/>
    </row>
    <row r="1221" spans="2:5" x14ac:dyDescent="0.2">
      <c r="B1221" t="s">
        <v>4527</v>
      </c>
      <c r="C1221" t="s">
        <v>4528</v>
      </c>
      <c r="D1221" s="13">
        <f>_xll.EditDistance($C$3,C1221,2)</f>
        <v>10</v>
      </c>
      <c r="E1221" s="13"/>
    </row>
    <row r="1222" spans="2:5" x14ac:dyDescent="0.2">
      <c r="B1222" t="s">
        <v>4674</v>
      </c>
      <c r="C1222" t="s">
        <v>4675</v>
      </c>
      <c r="D1222" s="13">
        <f>_xll.EditDistance($C$3,C1222,2)</f>
        <v>10</v>
      </c>
      <c r="E1222" s="13"/>
    </row>
    <row r="1223" spans="2:5" x14ac:dyDescent="0.2">
      <c r="B1223" t="s">
        <v>4810</v>
      </c>
      <c r="C1223" t="s">
        <v>4811</v>
      </c>
      <c r="D1223" s="13">
        <f>_xll.EditDistance($C$3,C1223,2)</f>
        <v>10</v>
      </c>
      <c r="E1223" s="13"/>
    </row>
    <row r="1224" spans="2:5" x14ac:dyDescent="0.2">
      <c r="B1224" t="s">
        <v>5220</v>
      </c>
      <c r="C1224" t="s">
        <v>5221</v>
      </c>
      <c r="D1224" s="13">
        <f>_xll.EditDistance($C$3,C1224,2)</f>
        <v>10</v>
      </c>
      <c r="E1224" s="13"/>
    </row>
    <row r="1225" spans="2:5" x14ac:dyDescent="0.2">
      <c r="B1225" t="s">
        <v>5328</v>
      </c>
      <c r="C1225" t="s">
        <v>5329</v>
      </c>
      <c r="D1225" s="13">
        <f>_xll.EditDistance($C$3,C1225,2)</f>
        <v>10</v>
      </c>
      <c r="E1225" s="13"/>
    </row>
    <row r="1226" spans="2:5" x14ac:dyDescent="0.2">
      <c r="B1226" t="s">
        <v>5571</v>
      </c>
      <c r="C1226" t="s">
        <v>5572</v>
      </c>
      <c r="D1226" s="13">
        <f>_xll.EditDistance($C$3,C1226,2)</f>
        <v>20</v>
      </c>
      <c r="E1226" s="13"/>
    </row>
    <row r="1227" spans="2:5" x14ac:dyDescent="0.2">
      <c r="B1227" t="s">
        <v>5624</v>
      </c>
      <c r="C1227" t="s">
        <v>5625</v>
      </c>
      <c r="D1227" s="13">
        <f>_xll.EditDistance($C$3,C1227,2)</f>
        <v>10</v>
      </c>
      <c r="E1227" s="13"/>
    </row>
    <row r="1228" spans="2:5" x14ac:dyDescent="0.2">
      <c r="B1228" t="s">
        <v>5668</v>
      </c>
      <c r="C1228" t="s">
        <v>5669</v>
      </c>
      <c r="D1228" s="13">
        <f>_xll.EditDistance($C$3,C1228,2)</f>
        <v>10</v>
      </c>
      <c r="E1228" s="13"/>
    </row>
    <row r="1229" spans="2:5" x14ac:dyDescent="0.2">
      <c r="B1229" t="s">
        <v>5717</v>
      </c>
      <c r="C1229" t="s">
        <v>5718</v>
      </c>
      <c r="D1229" s="13">
        <f>_xll.EditDistance($C$3,C1229,2)</f>
        <v>10</v>
      </c>
      <c r="E1229" s="13"/>
    </row>
    <row r="1230" spans="2:5" x14ac:dyDescent="0.2">
      <c r="B1230" t="s">
        <v>5977</v>
      </c>
      <c r="C1230" t="s">
        <v>5978</v>
      </c>
      <c r="D1230" s="13">
        <f>_xll.EditDistance($C$3,C1230,2)</f>
        <v>10</v>
      </c>
      <c r="E1230" s="13"/>
    </row>
    <row r="1231" spans="2:5" x14ac:dyDescent="0.2">
      <c r="B1231" t="s">
        <v>6033</v>
      </c>
      <c r="C1231" t="s">
        <v>6034</v>
      </c>
      <c r="D1231" s="13">
        <f>_xll.EditDistance($C$3,C1231,2)</f>
        <v>10</v>
      </c>
      <c r="E1231" s="13"/>
    </row>
    <row r="1232" spans="2:5" x14ac:dyDescent="0.2">
      <c r="B1232" t="s">
        <v>6055</v>
      </c>
      <c r="C1232" t="s">
        <v>6056</v>
      </c>
      <c r="D1232" s="13">
        <f>_xll.EditDistance($C$3,C1232,2)</f>
        <v>10</v>
      </c>
      <c r="E1232" s="13"/>
    </row>
    <row r="1233" spans="2:5" x14ac:dyDescent="0.2">
      <c r="B1233" t="s">
        <v>6183</v>
      </c>
      <c r="C1233" t="s">
        <v>6185</v>
      </c>
      <c r="D1233" s="13">
        <f>_xll.EditDistance($C$3,C1233,2)</f>
        <v>10</v>
      </c>
      <c r="E1233" s="13"/>
    </row>
    <row r="1234" spans="2:5" x14ac:dyDescent="0.2">
      <c r="B1234" t="s">
        <v>6308</v>
      </c>
      <c r="C1234" t="s">
        <v>6309</v>
      </c>
      <c r="D1234" s="13">
        <f>_xll.EditDistance($C$3,C1234,2)</f>
        <v>10</v>
      </c>
      <c r="E1234" s="13"/>
    </row>
    <row r="1235" spans="2:5" x14ac:dyDescent="0.2">
      <c r="B1235" t="s">
        <v>6730</v>
      </c>
      <c r="C1235" t="s">
        <v>6731</v>
      </c>
      <c r="D1235" s="13">
        <f>_xll.EditDistance($C$3,C1235,2)</f>
        <v>10</v>
      </c>
      <c r="E1235" s="13"/>
    </row>
    <row r="1236" spans="2:5" x14ac:dyDescent="0.2">
      <c r="B1236" t="s">
        <v>7040</v>
      </c>
      <c r="C1236" t="s">
        <v>7041</v>
      </c>
      <c r="D1236" s="13">
        <f>_xll.EditDistance($C$3,C1236,2)</f>
        <v>10</v>
      </c>
      <c r="E1236" s="13"/>
    </row>
    <row r="1237" spans="2:5" x14ac:dyDescent="0.2">
      <c r="B1237" t="s">
        <v>7596</v>
      </c>
      <c r="C1237" t="s">
        <v>7597</v>
      </c>
      <c r="D1237" s="13">
        <f>_xll.EditDistance($C$3,C1237,2)</f>
        <v>10</v>
      </c>
      <c r="E1237" s="13"/>
    </row>
    <row r="1238" spans="2:5" x14ac:dyDescent="0.2">
      <c r="B1238" t="s">
        <v>8484</v>
      </c>
      <c r="C1238" t="s">
        <v>8485</v>
      </c>
      <c r="D1238" s="13">
        <f>_xll.EditDistance($C$3,C1238,2)</f>
        <v>10</v>
      </c>
      <c r="E1238" s="13"/>
    </row>
    <row r="1239" spans="2:5" x14ac:dyDescent="0.2">
      <c r="B1239" t="s">
        <v>8692</v>
      </c>
      <c r="C1239" t="s">
        <v>8694</v>
      </c>
      <c r="D1239" s="13">
        <f>_xll.EditDistance($C$3,C1239,2)</f>
        <v>10</v>
      </c>
      <c r="E1239" s="13"/>
    </row>
    <row r="1240" spans="2:5" x14ac:dyDescent="0.2">
      <c r="B1240" t="s">
        <v>261</v>
      </c>
      <c r="C1240" t="s">
        <v>262</v>
      </c>
      <c r="D1240" s="13">
        <f>_xll.EditDistance($C$3,C1240,2)</f>
        <v>10</v>
      </c>
      <c r="E1240" s="13"/>
    </row>
    <row r="1241" spans="2:5" x14ac:dyDescent="0.2">
      <c r="B1241" t="s">
        <v>462</v>
      </c>
      <c r="C1241" t="s">
        <v>463</v>
      </c>
      <c r="D1241" s="13">
        <f>_xll.EditDistance($C$3,C1241,2)</f>
        <v>20</v>
      </c>
      <c r="E1241" s="13"/>
    </row>
    <row r="1242" spans="2:5" x14ac:dyDescent="0.2">
      <c r="B1242" s="22" t="s">
        <v>538</v>
      </c>
      <c r="C1242" t="s">
        <v>539</v>
      </c>
      <c r="D1242" s="13">
        <f>_xll.EditDistance($C$3,C1242,2)</f>
        <v>10</v>
      </c>
      <c r="E1242" s="13"/>
    </row>
    <row r="1243" spans="2:5" x14ac:dyDescent="0.2">
      <c r="B1243" t="s">
        <v>605</v>
      </c>
      <c r="C1243" t="s">
        <v>606</v>
      </c>
      <c r="D1243" s="13">
        <f>_xll.EditDistance($C$3,C1243,2)</f>
        <v>18</v>
      </c>
      <c r="E1243" s="13"/>
    </row>
    <row r="1244" spans="2:5" x14ac:dyDescent="0.2">
      <c r="B1244" t="s">
        <v>723</v>
      </c>
      <c r="C1244" t="s">
        <v>724</v>
      </c>
      <c r="D1244" s="13">
        <f>_xll.EditDistance($C$3,C1244,2)</f>
        <v>10</v>
      </c>
      <c r="E1244" s="13"/>
    </row>
    <row r="1245" spans="2:5" x14ac:dyDescent="0.2">
      <c r="B1245" t="s">
        <v>787</v>
      </c>
      <c r="C1245" t="s">
        <v>788</v>
      </c>
      <c r="D1245" s="13">
        <f>_xll.EditDistance($C$3,C1245,2)</f>
        <v>10</v>
      </c>
      <c r="E1245" s="13"/>
    </row>
    <row r="1246" spans="2:5" x14ac:dyDescent="0.2">
      <c r="B1246" t="s">
        <v>899</v>
      </c>
      <c r="C1246" t="s">
        <v>900</v>
      </c>
      <c r="D1246" s="13">
        <f>_xll.EditDistance($C$3,C1246,2)</f>
        <v>10</v>
      </c>
      <c r="E1246" s="13"/>
    </row>
    <row r="1247" spans="2:5" x14ac:dyDescent="0.2">
      <c r="B1247" t="s">
        <v>901</v>
      </c>
      <c r="C1247" t="s">
        <v>902</v>
      </c>
      <c r="D1247" s="13">
        <f>_xll.EditDistance($C$3,C1247,2)</f>
        <v>10</v>
      </c>
      <c r="E1247" s="13"/>
    </row>
    <row r="1248" spans="2:5" x14ac:dyDescent="0.2">
      <c r="B1248" t="s">
        <v>970</v>
      </c>
      <c r="C1248" t="s">
        <v>971</v>
      </c>
      <c r="D1248" s="13">
        <f>_xll.EditDistance($C$3,C1248,2)</f>
        <v>10</v>
      </c>
      <c r="E1248" s="13"/>
    </row>
    <row r="1249" spans="2:5" x14ac:dyDescent="0.2">
      <c r="B1249" t="s">
        <v>1032</v>
      </c>
      <c r="C1249" t="s">
        <v>1033</v>
      </c>
      <c r="D1249" s="13">
        <f>_xll.EditDistance($C$3,C1249,2)</f>
        <v>10</v>
      </c>
      <c r="E1249" s="13"/>
    </row>
    <row r="1250" spans="2:5" x14ac:dyDescent="0.2">
      <c r="B1250" t="s">
        <v>1164</v>
      </c>
      <c r="C1250" t="s">
        <v>1165</v>
      </c>
      <c r="D1250" s="13">
        <f>_xll.EditDistance($C$3,C1250,2)</f>
        <v>10</v>
      </c>
      <c r="E1250" s="13"/>
    </row>
    <row r="1251" spans="2:5" x14ac:dyDescent="0.2">
      <c r="B1251" t="s">
        <v>1174</v>
      </c>
      <c r="C1251" t="s">
        <v>1175</v>
      </c>
      <c r="D1251" s="13">
        <f>_xll.EditDistance($C$3,C1251,2)</f>
        <v>10</v>
      </c>
      <c r="E1251" s="13"/>
    </row>
    <row r="1252" spans="2:5" x14ac:dyDescent="0.2">
      <c r="B1252" t="s">
        <v>1222</v>
      </c>
      <c r="C1252" t="s">
        <v>1223</v>
      </c>
      <c r="D1252" s="13">
        <f>_xll.EditDistance($C$3,C1252,2)</f>
        <v>20</v>
      </c>
      <c r="E1252" s="13"/>
    </row>
    <row r="1253" spans="2:5" x14ac:dyDescent="0.2">
      <c r="B1253" t="s">
        <v>1798</v>
      </c>
      <c r="C1253" t="s">
        <v>1799</v>
      </c>
      <c r="D1253" s="13">
        <f>_xll.EditDistance($C$3,C1253,2)</f>
        <v>10</v>
      </c>
      <c r="E1253" s="13"/>
    </row>
    <row r="1254" spans="2:5" x14ac:dyDescent="0.2">
      <c r="B1254" t="s">
        <v>1820</v>
      </c>
      <c r="C1254" t="s">
        <v>1821</v>
      </c>
      <c r="D1254" s="13">
        <f>_xll.EditDistance($C$3,C1254,2)</f>
        <v>10</v>
      </c>
      <c r="E1254" s="13"/>
    </row>
    <row r="1255" spans="2:5" x14ac:dyDescent="0.2">
      <c r="B1255" t="s">
        <v>1885</v>
      </c>
      <c r="C1255" t="s">
        <v>1886</v>
      </c>
      <c r="D1255" s="13">
        <f>_xll.EditDistance($C$3,C1255,2)</f>
        <v>10</v>
      </c>
      <c r="E1255" s="13"/>
    </row>
    <row r="1256" spans="2:5" x14ac:dyDescent="0.2">
      <c r="B1256" t="s">
        <v>1978</v>
      </c>
      <c r="C1256" t="s">
        <v>1979</v>
      </c>
      <c r="D1256" s="13">
        <f>_xll.EditDistance($C$3,C1256,2)</f>
        <v>10</v>
      </c>
      <c r="E1256" s="13"/>
    </row>
    <row r="1257" spans="2:5" x14ac:dyDescent="0.2">
      <c r="B1257" t="s">
        <v>1986</v>
      </c>
      <c r="C1257" t="s">
        <v>1987</v>
      </c>
      <c r="D1257" s="13">
        <f>_xll.EditDistance($C$3,C1257,2)</f>
        <v>10</v>
      </c>
      <c r="E1257" s="13"/>
    </row>
    <row r="1258" spans="2:5" x14ac:dyDescent="0.2">
      <c r="B1258" t="s">
        <v>2279</v>
      </c>
      <c r="C1258" t="s">
        <v>2280</v>
      </c>
      <c r="D1258" s="13">
        <f>_xll.EditDistance($C$3,C1258,2)</f>
        <v>10</v>
      </c>
      <c r="E1258" s="13"/>
    </row>
    <row r="1259" spans="2:5" x14ac:dyDescent="0.2">
      <c r="B1259" t="s">
        <v>2301</v>
      </c>
      <c r="C1259" t="s">
        <v>2302</v>
      </c>
      <c r="D1259" s="13">
        <f>_xll.EditDistance($C$3,C1259,2)</f>
        <v>10</v>
      </c>
      <c r="E1259" s="13"/>
    </row>
    <row r="1260" spans="2:5" x14ac:dyDescent="0.2">
      <c r="B1260" t="s">
        <v>2516</v>
      </c>
      <c r="C1260" t="s">
        <v>2518</v>
      </c>
      <c r="D1260" s="13">
        <f>_xll.EditDistance($C$3,C1260,2)</f>
        <v>20</v>
      </c>
      <c r="E1260" s="13"/>
    </row>
    <row r="1261" spans="2:5" x14ac:dyDescent="0.2">
      <c r="B1261" t="s">
        <v>2525</v>
      </c>
      <c r="C1261" t="s">
        <v>2526</v>
      </c>
      <c r="D1261" s="13">
        <f>_xll.EditDistance($C$3,C1261,2)</f>
        <v>10</v>
      </c>
      <c r="E1261" s="13"/>
    </row>
    <row r="1262" spans="2:5" x14ac:dyDescent="0.2">
      <c r="B1262" t="s">
        <v>2594</v>
      </c>
      <c r="C1262" t="s">
        <v>2595</v>
      </c>
      <c r="D1262" s="13">
        <f>_xll.EditDistance($C$3,C1262,2)</f>
        <v>10</v>
      </c>
      <c r="E1262" s="13"/>
    </row>
    <row r="1263" spans="2:5" x14ac:dyDescent="0.2">
      <c r="B1263" t="s">
        <v>2745</v>
      </c>
      <c r="C1263" t="s">
        <v>2746</v>
      </c>
      <c r="D1263" s="13">
        <f>_xll.EditDistance($C$3,C1263,2)</f>
        <v>10</v>
      </c>
      <c r="E1263" s="13"/>
    </row>
    <row r="1264" spans="2:5" x14ac:dyDescent="0.2">
      <c r="B1264" t="s">
        <v>2745</v>
      </c>
      <c r="C1264" t="s">
        <v>2747</v>
      </c>
      <c r="D1264" s="13">
        <f>_xll.EditDistance($C$3,C1264,2)</f>
        <v>10</v>
      </c>
      <c r="E1264" s="13"/>
    </row>
    <row r="1265" spans="2:5" x14ac:dyDescent="0.2">
      <c r="B1265" t="s">
        <v>2754</v>
      </c>
      <c r="C1265" t="s">
        <v>2755</v>
      </c>
      <c r="D1265" s="13">
        <f>_xll.EditDistance($C$3,C1265,2)</f>
        <v>10</v>
      </c>
      <c r="E1265" s="13"/>
    </row>
    <row r="1266" spans="2:5" x14ac:dyDescent="0.2">
      <c r="B1266" t="s">
        <v>2937</v>
      </c>
      <c r="C1266" t="s">
        <v>2938</v>
      </c>
      <c r="D1266" s="13">
        <f>_xll.EditDistance($C$3,C1266,2)</f>
        <v>20</v>
      </c>
      <c r="E1266" s="13"/>
    </row>
    <row r="1267" spans="2:5" x14ac:dyDescent="0.2">
      <c r="B1267" t="s">
        <v>2959</v>
      </c>
      <c r="C1267" t="s">
        <v>2960</v>
      </c>
      <c r="D1267" s="13">
        <f>_xll.EditDistance($C$3,C1267,2)</f>
        <v>10</v>
      </c>
      <c r="E1267" s="13"/>
    </row>
    <row r="1268" spans="2:5" x14ac:dyDescent="0.2">
      <c r="B1268" t="s">
        <v>3027</v>
      </c>
      <c r="C1268" t="s">
        <v>3028</v>
      </c>
      <c r="D1268" s="13">
        <f>_xll.EditDistance($C$3,C1268,2)</f>
        <v>10</v>
      </c>
      <c r="E1268" s="13"/>
    </row>
    <row r="1269" spans="2:5" x14ac:dyDescent="0.2">
      <c r="B1269" t="s">
        <v>3062</v>
      </c>
      <c r="C1269" t="s">
        <v>3063</v>
      </c>
      <c r="D1269" s="13">
        <f>_xll.EditDistance($C$3,C1269,2)</f>
        <v>10</v>
      </c>
      <c r="E1269" s="13"/>
    </row>
    <row r="1270" spans="2:5" x14ac:dyDescent="0.2">
      <c r="B1270" t="s">
        <v>3157</v>
      </c>
      <c r="C1270" t="s">
        <v>3158</v>
      </c>
      <c r="D1270" s="13">
        <f>_xll.EditDistance($C$3,C1270,2)</f>
        <v>10</v>
      </c>
      <c r="E1270" s="13"/>
    </row>
    <row r="1271" spans="2:5" x14ac:dyDescent="0.2">
      <c r="B1271" t="s">
        <v>3225</v>
      </c>
      <c r="C1271" t="s">
        <v>3226</v>
      </c>
      <c r="D1271" s="13">
        <f>_xll.EditDistance($C$3,C1271,2)</f>
        <v>10</v>
      </c>
      <c r="E1271" s="13"/>
    </row>
    <row r="1272" spans="2:5" x14ac:dyDescent="0.2">
      <c r="B1272" t="s">
        <v>3259</v>
      </c>
      <c r="C1272" t="s">
        <v>3260</v>
      </c>
      <c r="D1272" s="13">
        <f>_xll.EditDistance($C$3,C1272,2)</f>
        <v>10</v>
      </c>
      <c r="E1272" s="13"/>
    </row>
    <row r="1273" spans="2:5" x14ac:dyDescent="0.2">
      <c r="B1273" t="s">
        <v>3422</v>
      </c>
      <c r="C1273" t="s">
        <v>3423</v>
      </c>
      <c r="D1273" s="13">
        <f>_xll.EditDistance($C$3,C1273,2)</f>
        <v>20</v>
      </c>
      <c r="E1273" s="13"/>
    </row>
    <row r="1274" spans="2:5" x14ac:dyDescent="0.2">
      <c r="B1274" t="s">
        <v>3466</v>
      </c>
      <c r="C1274" t="s">
        <v>3467</v>
      </c>
      <c r="D1274" s="13">
        <f>_xll.EditDistance($C$3,C1274,2)</f>
        <v>10</v>
      </c>
      <c r="E1274" s="13"/>
    </row>
    <row r="1275" spans="2:5" x14ac:dyDescent="0.2">
      <c r="B1275" t="s">
        <v>3496</v>
      </c>
      <c r="C1275" t="s">
        <v>3497</v>
      </c>
      <c r="D1275" s="13">
        <f>_xll.EditDistance($C$3,C1275,2)</f>
        <v>10</v>
      </c>
      <c r="E1275" s="13"/>
    </row>
    <row r="1276" spans="2:5" x14ac:dyDescent="0.2">
      <c r="B1276" t="s">
        <v>3538</v>
      </c>
      <c r="C1276" t="s">
        <v>3539</v>
      </c>
      <c r="D1276" s="13">
        <f>_xll.EditDistance($C$3,C1276,2)</f>
        <v>10</v>
      </c>
      <c r="E1276" s="13"/>
    </row>
    <row r="1277" spans="2:5" x14ac:dyDescent="0.2">
      <c r="B1277" t="s">
        <v>3750</v>
      </c>
      <c r="C1277" t="s">
        <v>3751</v>
      </c>
      <c r="D1277" s="13">
        <f>_xll.EditDistance($C$3,C1277,2)</f>
        <v>10</v>
      </c>
      <c r="E1277" s="13"/>
    </row>
    <row r="1278" spans="2:5" x14ac:dyDescent="0.2">
      <c r="B1278" t="s">
        <v>3942</v>
      </c>
      <c r="C1278" t="s">
        <v>3943</v>
      </c>
      <c r="D1278" s="13">
        <f>_xll.EditDistance($C$3,C1278,2)</f>
        <v>10</v>
      </c>
      <c r="E1278" s="13"/>
    </row>
    <row r="1279" spans="2:5" x14ac:dyDescent="0.2">
      <c r="B1279" t="s">
        <v>4112</v>
      </c>
      <c r="C1279" t="s">
        <v>4113</v>
      </c>
      <c r="D1279" s="13">
        <f>_xll.EditDistance($C$3,C1279,2)</f>
        <v>10</v>
      </c>
      <c r="E1279" s="13"/>
    </row>
    <row r="1280" spans="2:5" x14ac:dyDescent="0.2">
      <c r="B1280" t="s">
        <v>4175</v>
      </c>
      <c r="C1280" t="s">
        <v>4176</v>
      </c>
      <c r="D1280" s="13">
        <f>_xll.EditDistance($C$3,C1280,2)</f>
        <v>20</v>
      </c>
      <c r="E1280" s="13"/>
    </row>
    <row r="1281" spans="2:5" x14ac:dyDescent="0.2">
      <c r="B1281" t="s">
        <v>4185</v>
      </c>
      <c r="C1281" t="s">
        <v>4186</v>
      </c>
      <c r="D1281" s="13">
        <f>_xll.EditDistance($C$3,C1281,2)</f>
        <v>20</v>
      </c>
      <c r="E1281" s="13"/>
    </row>
    <row r="1282" spans="2:5" x14ac:dyDescent="0.2">
      <c r="B1282" t="s">
        <v>4771</v>
      </c>
      <c r="C1282" t="s">
        <v>4772</v>
      </c>
      <c r="D1282" s="13">
        <f>_xll.EditDistance($C$3,C1282,2)</f>
        <v>10</v>
      </c>
      <c r="E1282" s="13"/>
    </row>
    <row r="1283" spans="2:5" x14ac:dyDescent="0.2">
      <c r="B1283" t="s">
        <v>4861</v>
      </c>
      <c r="C1283" t="s">
        <v>4862</v>
      </c>
      <c r="D1283" s="13">
        <f>_xll.EditDistance($C$3,C1283,2)</f>
        <v>10</v>
      </c>
      <c r="E1283" s="13"/>
    </row>
    <row r="1284" spans="2:5" x14ac:dyDescent="0.2">
      <c r="B1284" s="22" t="s">
        <v>4960</v>
      </c>
      <c r="C1284" t="s">
        <v>4961</v>
      </c>
      <c r="D1284" s="13">
        <f>_xll.EditDistance($C$3,C1284,2)</f>
        <v>10</v>
      </c>
      <c r="E1284" s="13"/>
    </row>
    <row r="1285" spans="2:5" x14ac:dyDescent="0.2">
      <c r="B1285" t="s">
        <v>5006</v>
      </c>
      <c r="C1285" t="s">
        <v>5007</v>
      </c>
      <c r="D1285" s="13">
        <f>_xll.EditDistance($C$3,C1285,2)</f>
        <v>10</v>
      </c>
      <c r="E1285" s="13"/>
    </row>
    <row r="1286" spans="2:5" x14ac:dyDescent="0.2">
      <c r="B1286" t="s">
        <v>5101</v>
      </c>
      <c r="C1286" t="s">
        <v>5102</v>
      </c>
      <c r="D1286" s="13">
        <f>_xll.EditDistance($C$3,C1286,2)</f>
        <v>10</v>
      </c>
      <c r="E1286" s="13"/>
    </row>
    <row r="1287" spans="2:5" x14ac:dyDescent="0.2">
      <c r="B1287" t="s">
        <v>5201</v>
      </c>
      <c r="C1287" t="s">
        <v>5202</v>
      </c>
      <c r="D1287" s="13">
        <f>_xll.EditDistance($C$3,C1287,2)</f>
        <v>10</v>
      </c>
      <c r="E1287" s="13"/>
    </row>
    <row r="1288" spans="2:5" x14ac:dyDescent="0.2">
      <c r="B1288" t="s">
        <v>5253</v>
      </c>
      <c r="C1288" t="s">
        <v>5254</v>
      </c>
      <c r="D1288" s="13">
        <f>_xll.EditDistance($C$3,C1288,2)</f>
        <v>10</v>
      </c>
      <c r="E1288" s="13"/>
    </row>
    <row r="1289" spans="2:5" x14ac:dyDescent="0.2">
      <c r="B1289" t="s">
        <v>5346</v>
      </c>
      <c r="C1289" t="s">
        <v>5347</v>
      </c>
      <c r="D1289" s="13">
        <f>_xll.EditDistance($C$3,C1289,2)</f>
        <v>10</v>
      </c>
      <c r="E1289" s="13"/>
    </row>
    <row r="1290" spans="2:5" x14ac:dyDescent="0.2">
      <c r="B1290" t="s">
        <v>5369</v>
      </c>
      <c r="C1290" t="s">
        <v>5370</v>
      </c>
      <c r="D1290" s="13">
        <f>_xll.EditDistance($C$3,C1290,2)</f>
        <v>10</v>
      </c>
      <c r="E1290" s="13"/>
    </row>
    <row r="1291" spans="2:5" x14ac:dyDescent="0.2">
      <c r="B1291" t="s">
        <v>5410</v>
      </c>
      <c r="C1291" t="s">
        <v>5412</v>
      </c>
      <c r="D1291" s="13">
        <f>_xll.EditDistance($C$3,C1291,2)</f>
        <v>20</v>
      </c>
      <c r="E1291" s="13"/>
    </row>
    <row r="1292" spans="2:5" x14ac:dyDescent="0.2">
      <c r="B1292" t="s">
        <v>5467</v>
      </c>
      <c r="C1292" t="s">
        <v>5468</v>
      </c>
      <c r="D1292" s="13">
        <f>_xll.EditDistance($C$3,C1292,2)</f>
        <v>10</v>
      </c>
      <c r="E1292" s="13"/>
    </row>
    <row r="1293" spans="2:5" x14ac:dyDescent="0.2">
      <c r="B1293" t="s">
        <v>6145</v>
      </c>
      <c r="C1293" t="s">
        <v>6146</v>
      </c>
      <c r="D1293" s="13">
        <f>_xll.EditDistance($C$3,C1293,2)</f>
        <v>10</v>
      </c>
      <c r="E1293" s="13"/>
    </row>
    <row r="1294" spans="2:5" x14ac:dyDescent="0.2">
      <c r="B1294" t="s">
        <v>6362</v>
      </c>
      <c r="C1294" t="s">
        <v>6363</v>
      </c>
      <c r="D1294" s="13">
        <f>_xll.EditDistance($C$3,C1294,2)</f>
        <v>20</v>
      </c>
      <c r="E1294" s="13"/>
    </row>
    <row r="1295" spans="2:5" x14ac:dyDescent="0.2">
      <c r="B1295" t="s">
        <v>6582</v>
      </c>
      <c r="C1295" t="s">
        <v>6583</v>
      </c>
      <c r="D1295" s="13">
        <f>_xll.EditDistance($C$3,C1295,2)</f>
        <v>10</v>
      </c>
      <c r="E1295" s="13"/>
    </row>
    <row r="1296" spans="2:5" x14ac:dyDescent="0.2">
      <c r="B1296" t="s">
        <v>6790</v>
      </c>
      <c r="C1296" t="s">
        <v>6791</v>
      </c>
      <c r="D1296" s="13">
        <f>_xll.EditDistance($C$3,C1296,2)</f>
        <v>10</v>
      </c>
      <c r="E1296" s="13"/>
    </row>
    <row r="1297" spans="2:5" x14ac:dyDescent="0.2">
      <c r="B1297" t="s">
        <v>6796</v>
      </c>
      <c r="C1297" t="s">
        <v>6797</v>
      </c>
      <c r="D1297" s="13">
        <f>_xll.EditDistance($C$3,C1297,2)</f>
        <v>10</v>
      </c>
      <c r="E1297" s="13"/>
    </row>
    <row r="1298" spans="2:5" x14ac:dyDescent="0.2">
      <c r="B1298" t="s">
        <v>6800</v>
      </c>
      <c r="C1298" t="s">
        <v>6801</v>
      </c>
      <c r="D1298" s="13">
        <f>_xll.EditDistance($C$3,C1298,2)</f>
        <v>20</v>
      </c>
      <c r="E1298" s="13"/>
    </row>
    <row r="1299" spans="2:5" x14ac:dyDescent="0.2">
      <c r="B1299" t="s">
        <v>7000</v>
      </c>
      <c r="C1299" t="s">
        <v>7001</v>
      </c>
      <c r="D1299" s="13">
        <f>_xll.EditDistance($C$3,C1299,2)</f>
        <v>10</v>
      </c>
      <c r="E1299" s="13"/>
    </row>
    <row r="1300" spans="2:5" x14ac:dyDescent="0.2">
      <c r="B1300" t="s">
        <v>7086</v>
      </c>
      <c r="C1300" t="s">
        <v>7087</v>
      </c>
      <c r="D1300" s="13">
        <f>_xll.EditDistance($C$3,C1300,2)</f>
        <v>10</v>
      </c>
      <c r="E1300" s="13"/>
    </row>
    <row r="1301" spans="2:5" x14ac:dyDescent="0.2">
      <c r="B1301" t="s">
        <v>7141</v>
      </c>
      <c r="C1301" t="s">
        <v>7142</v>
      </c>
      <c r="D1301" s="13">
        <f>_xll.EditDistance($C$3,C1301,2)</f>
        <v>10</v>
      </c>
      <c r="E1301" s="13"/>
    </row>
    <row r="1302" spans="2:5" x14ac:dyDescent="0.2">
      <c r="B1302" t="s">
        <v>7234</v>
      </c>
      <c r="C1302" t="s">
        <v>7235</v>
      </c>
      <c r="D1302" s="13">
        <f>_xll.EditDistance($C$3,C1302,2)</f>
        <v>10</v>
      </c>
      <c r="E1302" s="13"/>
    </row>
    <row r="1303" spans="2:5" x14ac:dyDescent="0.2">
      <c r="B1303" t="s">
        <v>7256</v>
      </c>
      <c r="C1303" t="s">
        <v>7259</v>
      </c>
      <c r="D1303" s="13">
        <f>_xll.EditDistance($C$3,C1303,2)</f>
        <v>10</v>
      </c>
      <c r="E1303" s="13"/>
    </row>
    <row r="1304" spans="2:5" x14ac:dyDescent="0.2">
      <c r="B1304" t="s">
        <v>7256</v>
      </c>
      <c r="C1304" t="s">
        <v>7262</v>
      </c>
      <c r="D1304" s="13">
        <f>_xll.EditDistance($C$3,C1304,2)</f>
        <v>10</v>
      </c>
      <c r="E1304" s="13"/>
    </row>
    <row r="1305" spans="2:5" x14ac:dyDescent="0.2">
      <c r="B1305" t="s">
        <v>7326</v>
      </c>
      <c r="C1305" t="s">
        <v>7327</v>
      </c>
      <c r="D1305" s="13">
        <f>_xll.EditDistance($C$3,C1305,2)</f>
        <v>10</v>
      </c>
      <c r="E1305" s="13"/>
    </row>
    <row r="1306" spans="2:5" x14ac:dyDescent="0.2">
      <c r="B1306" t="s">
        <v>7623</v>
      </c>
      <c r="C1306" t="s">
        <v>7624</v>
      </c>
      <c r="D1306" s="13">
        <f>_xll.EditDistance($C$3,C1306,2)</f>
        <v>10</v>
      </c>
      <c r="E1306" s="13"/>
    </row>
    <row r="1307" spans="2:5" x14ac:dyDescent="0.2">
      <c r="B1307" t="s">
        <v>7627</v>
      </c>
      <c r="C1307" t="s">
        <v>7628</v>
      </c>
      <c r="D1307" s="13">
        <f>_xll.EditDistance($C$3,C1307,2)</f>
        <v>10</v>
      </c>
      <c r="E1307" s="13"/>
    </row>
    <row r="1308" spans="2:5" x14ac:dyDescent="0.2">
      <c r="B1308" t="s">
        <v>7688</v>
      </c>
      <c r="C1308" t="s">
        <v>7689</v>
      </c>
      <c r="D1308" s="13">
        <f>_xll.EditDistance($C$3,C1308,2)</f>
        <v>10</v>
      </c>
      <c r="E1308" s="13"/>
    </row>
    <row r="1309" spans="2:5" x14ac:dyDescent="0.2">
      <c r="B1309" t="s">
        <v>8000</v>
      </c>
      <c r="C1309" t="s">
        <v>8001</v>
      </c>
      <c r="D1309" s="13">
        <f>_xll.EditDistance($C$3,C1309,2)</f>
        <v>10</v>
      </c>
      <c r="E1309" s="13"/>
    </row>
    <row r="1310" spans="2:5" x14ac:dyDescent="0.2">
      <c r="B1310" t="s">
        <v>8020</v>
      </c>
      <c r="C1310" t="s">
        <v>8021</v>
      </c>
      <c r="D1310" s="13">
        <f>_xll.EditDistance($C$3,C1310,2)</f>
        <v>18</v>
      </c>
      <c r="E1310" s="13"/>
    </row>
    <row r="1311" spans="2:5" x14ac:dyDescent="0.2">
      <c r="B1311" t="s">
        <v>8022</v>
      </c>
      <c r="C1311" t="s">
        <v>8023</v>
      </c>
      <c r="D1311" s="13">
        <f>_xll.EditDistance($C$3,C1311,2)</f>
        <v>10</v>
      </c>
      <c r="E1311" s="13"/>
    </row>
    <row r="1312" spans="2:5" x14ac:dyDescent="0.2">
      <c r="B1312" t="s">
        <v>8050</v>
      </c>
      <c r="C1312" t="s">
        <v>8051</v>
      </c>
      <c r="D1312" s="13">
        <f>_xll.EditDistance($C$3,C1312,2)</f>
        <v>10</v>
      </c>
      <c r="E1312" s="13"/>
    </row>
    <row r="1313" spans="2:5" x14ac:dyDescent="0.2">
      <c r="B1313" t="s">
        <v>8099</v>
      </c>
      <c r="C1313" t="s">
        <v>8101</v>
      </c>
      <c r="D1313" s="13">
        <f>_xll.EditDistance($C$3,C1313,2)</f>
        <v>10</v>
      </c>
      <c r="E1313" s="13"/>
    </row>
    <row r="1314" spans="2:5" x14ac:dyDescent="0.2">
      <c r="B1314" t="s">
        <v>8104</v>
      </c>
      <c r="C1314" t="s">
        <v>8105</v>
      </c>
      <c r="D1314" s="13">
        <f>_xll.EditDistance($C$3,C1314,2)</f>
        <v>10</v>
      </c>
      <c r="E1314" s="13"/>
    </row>
    <row r="1315" spans="2:5" x14ac:dyDescent="0.2">
      <c r="B1315" t="s">
        <v>8451</v>
      </c>
      <c r="C1315" t="s">
        <v>8452</v>
      </c>
      <c r="D1315" s="13">
        <f>_xll.EditDistance($C$3,C1315,2)</f>
        <v>10</v>
      </c>
      <c r="E1315" s="13"/>
    </row>
    <row r="1316" spans="2:5" x14ac:dyDescent="0.2">
      <c r="B1316" t="s">
        <v>8598</v>
      </c>
      <c r="C1316" t="s">
        <v>8599</v>
      </c>
      <c r="D1316" s="13">
        <f>_xll.EditDistance($C$3,C1316,2)</f>
        <v>10</v>
      </c>
      <c r="E1316" s="13"/>
    </row>
    <row r="1317" spans="2:5" x14ac:dyDescent="0.2">
      <c r="B1317" t="s">
        <v>8643</v>
      </c>
      <c r="C1317" t="s">
        <v>8644</v>
      </c>
      <c r="D1317" s="13">
        <f>_xll.EditDistance($C$3,C1317,2)</f>
        <v>20</v>
      </c>
      <c r="E1317" s="13"/>
    </row>
    <row r="1318" spans="2:5" x14ac:dyDescent="0.2">
      <c r="B1318" t="s">
        <v>699</v>
      </c>
      <c r="C1318" t="s">
        <v>701</v>
      </c>
      <c r="D1318" s="13">
        <f>_xll.EditDistance($C$3,C1318,2)</f>
        <v>20</v>
      </c>
      <c r="E1318" s="13"/>
    </row>
    <row r="1319" spans="2:5" x14ac:dyDescent="0.2">
      <c r="B1319" t="s">
        <v>1256</v>
      </c>
      <c r="C1319" t="s">
        <v>1257</v>
      </c>
      <c r="D1319" s="13">
        <f>_xll.EditDistance($C$3,C1319,2)</f>
        <v>20</v>
      </c>
      <c r="E1319" s="13"/>
    </row>
    <row r="1320" spans="2:5" x14ac:dyDescent="0.2">
      <c r="B1320" t="s">
        <v>1310</v>
      </c>
      <c r="C1320" t="s">
        <v>1311</v>
      </c>
      <c r="D1320" s="13">
        <f>_xll.EditDistance($C$3,C1320,2)</f>
        <v>20</v>
      </c>
      <c r="E1320" s="13"/>
    </row>
    <row r="1321" spans="2:5" x14ac:dyDescent="0.2">
      <c r="B1321" t="s">
        <v>1455</v>
      </c>
      <c r="C1321" t="s">
        <v>1456</v>
      </c>
      <c r="D1321" s="13">
        <f>_xll.EditDistance($C$3,C1321,2)</f>
        <v>20</v>
      </c>
      <c r="E1321" s="13"/>
    </row>
    <row r="1322" spans="2:5" x14ac:dyDescent="0.2">
      <c r="B1322" t="s">
        <v>1468</v>
      </c>
      <c r="C1322" t="s">
        <v>1469</v>
      </c>
      <c r="D1322" s="13">
        <f>_xll.EditDistance($C$3,C1322,2)</f>
        <v>10</v>
      </c>
      <c r="E1322" s="13"/>
    </row>
    <row r="1323" spans="2:5" x14ac:dyDescent="0.2">
      <c r="B1323" t="s">
        <v>3039</v>
      </c>
      <c r="C1323" t="s">
        <v>3040</v>
      </c>
      <c r="D1323" s="13">
        <f>_xll.EditDistance($C$3,C1323,2)</f>
        <v>10</v>
      </c>
      <c r="E1323" s="13"/>
    </row>
    <row r="1324" spans="2:5" x14ac:dyDescent="0.2">
      <c r="B1324" t="s">
        <v>3600</v>
      </c>
      <c r="C1324" t="s">
        <v>3602</v>
      </c>
      <c r="D1324" s="13">
        <f>_xll.EditDistance($C$3,C1324,2)</f>
        <v>10</v>
      </c>
      <c r="E1324" s="13"/>
    </row>
    <row r="1325" spans="2:5" x14ac:dyDescent="0.2">
      <c r="B1325" t="s">
        <v>4281</v>
      </c>
      <c r="C1325" t="s">
        <v>4283</v>
      </c>
      <c r="D1325" s="13">
        <f>_xll.EditDistance($C$3,C1325,2)</f>
        <v>10</v>
      </c>
      <c r="E1325" s="13"/>
    </row>
    <row r="1326" spans="2:5" x14ac:dyDescent="0.2">
      <c r="B1326" t="s">
        <v>5359</v>
      </c>
      <c r="C1326" t="s">
        <v>5360</v>
      </c>
      <c r="D1326" s="13">
        <f>_xll.EditDistance($C$3,C1326,2)</f>
        <v>10</v>
      </c>
      <c r="E1326" s="13"/>
    </row>
    <row r="1327" spans="2:5" x14ac:dyDescent="0.2">
      <c r="B1327" t="s">
        <v>5846</v>
      </c>
      <c r="C1327" t="s">
        <v>5847</v>
      </c>
      <c r="D1327" s="13">
        <f>_xll.EditDistance($C$3,C1327,2)</f>
        <v>16</v>
      </c>
      <c r="E1327" s="13"/>
    </row>
    <row r="1328" spans="2:5" x14ac:dyDescent="0.2">
      <c r="B1328" t="s">
        <v>619</v>
      </c>
      <c r="C1328" t="s">
        <v>620</v>
      </c>
      <c r="D1328" s="13">
        <f>_xll.EditDistance($C$3,C1328,2)</f>
        <v>10</v>
      </c>
      <c r="E1328" s="13"/>
    </row>
    <row r="1329" spans="2:5" x14ac:dyDescent="0.2">
      <c r="B1329" t="s">
        <v>1206</v>
      </c>
      <c r="C1329" t="s">
        <v>1207</v>
      </c>
      <c r="D1329" s="13">
        <f>_xll.EditDistance($C$3,C1329,2)</f>
        <v>20</v>
      </c>
      <c r="E1329" s="13"/>
    </row>
    <row r="1330" spans="2:5" x14ac:dyDescent="0.2">
      <c r="B1330" t="s">
        <v>1644</v>
      </c>
      <c r="C1330" t="s">
        <v>1646</v>
      </c>
      <c r="D1330" s="13">
        <f>_xll.EditDistance($C$3,C1330,2)</f>
        <v>54</v>
      </c>
      <c r="E1330" s="13"/>
    </row>
    <row r="1331" spans="2:5" x14ac:dyDescent="0.2">
      <c r="B1331" t="s">
        <v>2133</v>
      </c>
      <c r="C1331" t="s">
        <v>2134</v>
      </c>
      <c r="D1331" s="13">
        <f>_xll.EditDistance($C$3,C1331,2)</f>
        <v>20</v>
      </c>
      <c r="E1331" s="13"/>
    </row>
    <row r="1332" spans="2:5" x14ac:dyDescent="0.2">
      <c r="B1332" t="s">
        <v>2143</v>
      </c>
      <c r="C1332" t="s">
        <v>2144</v>
      </c>
      <c r="D1332" s="13">
        <f>_xll.EditDistance($C$3,C1332,2)</f>
        <v>10</v>
      </c>
      <c r="E1332" s="13"/>
    </row>
    <row r="1333" spans="2:5" x14ac:dyDescent="0.2">
      <c r="B1333" t="s">
        <v>2564</v>
      </c>
      <c r="C1333" t="s">
        <v>2565</v>
      </c>
      <c r="D1333" s="13">
        <f>_xll.EditDistance($C$3,C1333,2)</f>
        <v>20</v>
      </c>
      <c r="E1333" s="13"/>
    </row>
    <row r="1334" spans="2:5" x14ac:dyDescent="0.2">
      <c r="B1334" t="s">
        <v>2715</v>
      </c>
      <c r="C1334" t="s">
        <v>2716</v>
      </c>
      <c r="D1334" s="13">
        <f>_xll.EditDistance($C$3,C1334,2)</f>
        <v>54</v>
      </c>
      <c r="E1334" s="13"/>
    </row>
    <row r="1335" spans="2:5" x14ac:dyDescent="0.2">
      <c r="B1335" s="22" t="s">
        <v>2834</v>
      </c>
      <c r="C1335" t="s">
        <v>2835</v>
      </c>
      <c r="D1335" s="13">
        <f>_xll.EditDistance($C$3,C1335,2)</f>
        <v>10</v>
      </c>
      <c r="E1335" s="13"/>
    </row>
    <row r="1336" spans="2:5" x14ac:dyDescent="0.2">
      <c r="B1336" t="s">
        <v>3071</v>
      </c>
      <c r="C1336" t="s">
        <v>3072</v>
      </c>
      <c r="D1336" s="13">
        <f>_xll.EditDistance($C$3,C1336,2)</f>
        <v>10</v>
      </c>
      <c r="E1336" s="13"/>
    </row>
    <row r="1337" spans="2:5" x14ac:dyDescent="0.2">
      <c r="B1337" t="s">
        <v>3440</v>
      </c>
      <c r="C1337" t="s">
        <v>3441</v>
      </c>
      <c r="D1337" s="13">
        <f>_xll.EditDistance($C$3,C1337,2)</f>
        <v>20</v>
      </c>
      <c r="E1337" s="13"/>
    </row>
    <row r="1338" spans="2:5" x14ac:dyDescent="0.2">
      <c r="B1338" t="s">
        <v>4146</v>
      </c>
      <c r="C1338" t="s">
        <v>4148</v>
      </c>
      <c r="D1338" s="13">
        <f>_xll.EditDistance($C$3,C1338,2)</f>
        <v>10</v>
      </c>
      <c r="E1338" s="13"/>
    </row>
    <row r="1339" spans="2:5" x14ac:dyDescent="0.2">
      <c r="B1339" t="s">
        <v>4264</v>
      </c>
      <c r="C1339" t="s">
        <v>4265</v>
      </c>
      <c r="D1339" s="13">
        <f>_xll.EditDistance($C$3,C1339,2)</f>
        <v>20</v>
      </c>
      <c r="E1339" s="13"/>
    </row>
    <row r="1340" spans="2:5" x14ac:dyDescent="0.2">
      <c r="B1340" t="s">
        <v>4714</v>
      </c>
      <c r="C1340" t="s">
        <v>4715</v>
      </c>
      <c r="D1340" s="13">
        <f>_xll.EditDistance($C$3,C1340,2)</f>
        <v>20</v>
      </c>
      <c r="E1340" s="13"/>
    </row>
    <row r="1341" spans="2:5" x14ac:dyDescent="0.2">
      <c r="B1341" t="s">
        <v>5550</v>
      </c>
      <c r="C1341" t="s">
        <v>5551</v>
      </c>
      <c r="D1341" s="13">
        <f>_xll.EditDistance($C$3,C1341,2)</f>
        <v>20</v>
      </c>
      <c r="E1341" s="13"/>
    </row>
    <row r="1342" spans="2:5" x14ac:dyDescent="0.2">
      <c r="B1342" t="s">
        <v>6101</v>
      </c>
      <c r="C1342" t="s">
        <v>6102</v>
      </c>
      <c r="D1342" s="13">
        <f>_xll.EditDistance($C$3,C1342,2)</f>
        <v>10</v>
      </c>
      <c r="E1342" s="13"/>
    </row>
    <row r="1343" spans="2:5" x14ac:dyDescent="0.2">
      <c r="B1343" t="s">
        <v>6457</v>
      </c>
      <c r="C1343" t="s">
        <v>6458</v>
      </c>
      <c r="D1343" s="13">
        <f>_xll.EditDistance($C$3,C1343,2)</f>
        <v>10</v>
      </c>
      <c r="E1343" s="13"/>
    </row>
    <row r="1344" spans="2:5" x14ac:dyDescent="0.2">
      <c r="B1344" t="s">
        <v>7321</v>
      </c>
      <c r="C1344" t="s">
        <v>7322</v>
      </c>
      <c r="D1344" s="13">
        <f>_xll.EditDistance($C$3,C1344,2)</f>
        <v>20</v>
      </c>
      <c r="E1344" s="13"/>
    </row>
    <row r="1345" spans="2:5" x14ac:dyDescent="0.2">
      <c r="B1345" t="s">
        <v>7575</v>
      </c>
      <c r="C1345" t="s">
        <v>7578</v>
      </c>
      <c r="D1345" s="13">
        <f>_xll.EditDistance($C$3,C1345,2)</f>
        <v>10</v>
      </c>
      <c r="E1345" s="13"/>
    </row>
    <row r="1346" spans="2:5" x14ac:dyDescent="0.2">
      <c r="B1346" t="s">
        <v>7772</v>
      </c>
      <c r="C1346" t="s">
        <v>7773</v>
      </c>
      <c r="D1346" s="13">
        <f>_xll.EditDistance($C$3,C1346,2)</f>
        <v>10</v>
      </c>
      <c r="E1346" s="13"/>
    </row>
    <row r="1347" spans="2:5" x14ac:dyDescent="0.2">
      <c r="B1347" t="s">
        <v>8222</v>
      </c>
      <c r="C1347" t="s">
        <v>8223</v>
      </c>
      <c r="D1347" s="13">
        <f>_xll.EditDistance($C$3,C1347,2)</f>
        <v>10</v>
      </c>
      <c r="E1347" s="13"/>
    </row>
    <row r="1348" spans="2:5" x14ac:dyDescent="0.2">
      <c r="B1348" t="s">
        <v>693</v>
      </c>
      <c r="C1348" t="s">
        <v>694</v>
      </c>
      <c r="D1348" s="13">
        <f>_xll.EditDistance($C$3,C1348,2)</f>
        <v>10</v>
      </c>
      <c r="E1348" s="13"/>
    </row>
    <row r="1349" spans="2:5" x14ac:dyDescent="0.2">
      <c r="B1349" t="s">
        <v>861</v>
      </c>
      <c r="C1349" t="s">
        <v>862</v>
      </c>
      <c r="D1349" s="13">
        <f>_xll.EditDistance($C$3,C1349,2)</f>
        <v>10</v>
      </c>
      <c r="E1349" s="13"/>
    </row>
    <row r="1350" spans="2:5" x14ac:dyDescent="0.2">
      <c r="B1350" t="s">
        <v>991</v>
      </c>
      <c r="C1350" t="s">
        <v>992</v>
      </c>
      <c r="D1350" s="13">
        <f>_xll.EditDistance($C$3,C1350,2)</f>
        <v>10</v>
      </c>
      <c r="E1350" s="13"/>
    </row>
    <row r="1351" spans="2:5" x14ac:dyDescent="0.2">
      <c r="B1351" t="s">
        <v>1698</v>
      </c>
      <c r="C1351" t="s">
        <v>1699</v>
      </c>
      <c r="D1351" s="13">
        <f>_xll.EditDistance($C$3,C1351,2)</f>
        <v>20</v>
      </c>
      <c r="E1351" s="13"/>
    </row>
    <row r="1352" spans="2:5" x14ac:dyDescent="0.2">
      <c r="B1352" t="s">
        <v>1982</v>
      </c>
      <c r="C1352" t="s">
        <v>1983</v>
      </c>
      <c r="D1352" s="13">
        <f>_xll.EditDistance($C$3,C1352,2)</f>
        <v>10</v>
      </c>
      <c r="E1352" s="13"/>
    </row>
    <row r="1353" spans="2:5" x14ac:dyDescent="0.2">
      <c r="B1353" t="s">
        <v>2008</v>
      </c>
      <c r="C1353" t="s">
        <v>2009</v>
      </c>
      <c r="D1353" s="13">
        <f>_xll.EditDistance($C$3,C1353,2)</f>
        <v>20</v>
      </c>
      <c r="E1353" s="13"/>
    </row>
    <row r="1354" spans="2:5" x14ac:dyDescent="0.2">
      <c r="B1354" t="s">
        <v>3702</v>
      </c>
      <c r="C1354" t="s">
        <v>3703</v>
      </c>
      <c r="D1354" s="13">
        <f>_xll.EditDistance($C$3,C1354,2)</f>
        <v>10</v>
      </c>
      <c r="E1354" s="13"/>
    </row>
    <row r="1355" spans="2:5" x14ac:dyDescent="0.2">
      <c r="B1355" t="s">
        <v>3930</v>
      </c>
      <c r="C1355" t="s">
        <v>3931</v>
      </c>
      <c r="D1355" s="13">
        <f>_xll.EditDistance($C$3,C1355,2)</f>
        <v>10</v>
      </c>
      <c r="E1355" s="13"/>
    </row>
    <row r="1356" spans="2:5" x14ac:dyDescent="0.2">
      <c r="B1356" t="s">
        <v>4000</v>
      </c>
      <c r="C1356" t="s">
        <v>4001</v>
      </c>
      <c r="D1356" s="13">
        <f>_xll.EditDistance($C$3,C1356,2)</f>
        <v>20</v>
      </c>
      <c r="E1356" s="13"/>
    </row>
    <row r="1357" spans="2:5" x14ac:dyDescent="0.2">
      <c r="B1357" t="s">
        <v>4306</v>
      </c>
      <c r="C1357" t="s">
        <v>4307</v>
      </c>
      <c r="D1357" s="13">
        <f>_xll.EditDistance($C$3,C1357,2)</f>
        <v>20</v>
      </c>
      <c r="E1357" s="13"/>
    </row>
    <row r="1358" spans="2:5" x14ac:dyDescent="0.2">
      <c r="B1358" t="s">
        <v>4369</v>
      </c>
      <c r="C1358" t="s">
        <v>4371</v>
      </c>
      <c r="D1358" s="13">
        <f>_xll.EditDistance($C$3,C1358,2)</f>
        <v>10</v>
      </c>
      <c r="E1358" s="13"/>
    </row>
    <row r="1359" spans="2:5" x14ac:dyDescent="0.2">
      <c r="B1359" t="s">
        <v>4441</v>
      </c>
      <c r="C1359" t="s">
        <v>4442</v>
      </c>
      <c r="D1359" s="13">
        <f>_xll.EditDistance($C$3,C1359,2)</f>
        <v>20</v>
      </c>
      <c r="E1359" s="13"/>
    </row>
    <row r="1360" spans="2:5" x14ac:dyDescent="0.2">
      <c r="B1360" t="s">
        <v>4701</v>
      </c>
      <c r="C1360" t="s">
        <v>4702</v>
      </c>
      <c r="D1360" s="13">
        <f>_xll.EditDistance($C$3,C1360,2)</f>
        <v>30</v>
      </c>
      <c r="E1360" s="13"/>
    </row>
    <row r="1361" spans="2:5" x14ac:dyDescent="0.2">
      <c r="B1361" t="s">
        <v>5386</v>
      </c>
      <c r="C1361" t="s">
        <v>5387</v>
      </c>
      <c r="D1361" s="13">
        <f>_xll.EditDistance($C$3,C1361,2)</f>
        <v>10</v>
      </c>
      <c r="E1361" s="13"/>
    </row>
    <row r="1362" spans="2:5" x14ac:dyDescent="0.2">
      <c r="B1362" t="s">
        <v>6291</v>
      </c>
      <c r="C1362" t="s">
        <v>6292</v>
      </c>
      <c r="D1362" s="13">
        <f>_xll.EditDistance($C$3,C1362,2)</f>
        <v>30</v>
      </c>
      <c r="E1362" s="13"/>
    </row>
    <row r="1363" spans="2:5" x14ac:dyDescent="0.2">
      <c r="B1363" t="s">
        <v>6707</v>
      </c>
      <c r="C1363" t="s">
        <v>6708</v>
      </c>
      <c r="D1363" s="13">
        <f>_xll.EditDistance($C$3,C1363,2)</f>
        <v>10</v>
      </c>
      <c r="E1363" s="13"/>
    </row>
    <row r="1364" spans="2:5" x14ac:dyDescent="0.2">
      <c r="B1364" t="s">
        <v>7135</v>
      </c>
      <c r="C1364" t="s">
        <v>7136</v>
      </c>
      <c r="D1364" s="13">
        <f>_xll.EditDistance($C$3,C1364,2)</f>
        <v>10</v>
      </c>
      <c r="E1364" s="13"/>
    </row>
    <row r="1365" spans="2:5" x14ac:dyDescent="0.2">
      <c r="B1365" t="s">
        <v>7164</v>
      </c>
      <c r="C1365" t="s">
        <v>7165</v>
      </c>
      <c r="D1365" s="13">
        <f>_xll.EditDistance($C$3,C1365,2)</f>
        <v>10</v>
      </c>
      <c r="E1365" s="13"/>
    </row>
    <row r="1366" spans="2:5" x14ac:dyDescent="0.2">
      <c r="B1366" t="s">
        <v>7451</v>
      </c>
      <c r="C1366" t="s">
        <v>7452</v>
      </c>
      <c r="D1366" s="13">
        <f>_xll.EditDistance($C$3,C1366,2)</f>
        <v>10</v>
      </c>
      <c r="E1366" s="13"/>
    </row>
    <row r="1367" spans="2:5" x14ac:dyDescent="0.2">
      <c r="B1367" t="s">
        <v>7834</v>
      </c>
      <c r="C1367" t="s">
        <v>7835</v>
      </c>
      <c r="D1367" s="13">
        <f>_xll.EditDistance($C$3,C1367,2)</f>
        <v>10</v>
      </c>
      <c r="E1367" s="13"/>
    </row>
    <row r="1368" spans="2:5" x14ac:dyDescent="0.2">
      <c r="B1368" t="s">
        <v>7996</v>
      </c>
      <c r="C1368" t="s">
        <v>7997</v>
      </c>
      <c r="D1368" s="13">
        <f>_xll.EditDistance($C$3,C1368,2)</f>
        <v>20</v>
      </c>
      <c r="E1368" s="13"/>
    </row>
    <row r="1369" spans="2:5" x14ac:dyDescent="0.2">
      <c r="B1369" t="s">
        <v>8122</v>
      </c>
      <c r="C1369" t="s">
        <v>8123</v>
      </c>
      <c r="D1369" s="13">
        <f>_xll.EditDistance($C$3,C1369,2)</f>
        <v>18</v>
      </c>
      <c r="E1369" s="13"/>
    </row>
    <row r="1370" spans="2:5" x14ac:dyDescent="0.2">
      <c r="B1370" t="s">
        <v>8136</v>
      </c>
      <c r="C1370" t="s">
        <v>8137</v>
      </c>
      <c r="D1370" s="13">
        <f>_xll.EditDistance($C$3,C1370,2)</f>
        <v>20</v>
      </c>
      <c r="E1370" s="13"/>
    </row>
    <row r="1371" spans="2:5" x14ac:dyDescent="0.2">
      <c r="B1371" t="s">
        <v>8339</v>
      </c>
      <c r="C1371" t="s">
        <v>8340</v>
      </c>
      <c r="D1371" s="13">
        <f>_xll.EditDistance($C$3,C1371,2)</f>
        <v>10</v>
      </c>
      <c r="E1371" s="13"/>
    </row>
    <row r="1372" spans="2:5" x14ac:dyDescent="0.2">
      <c r="B1372" t="s">
        <v>551</v>
      </c>
      <c r="C1372" t="s">
        <v>552</v>
      </c>
      <c r="D1372" s="13">
        <f>_xll.EditDistance($C$3,C1372,2)</f>
        <v>10</v>
      </c>
      <c r="E1372" s="13"/>
    </row>
    <row r="1373" spans="2:5" x14ac:dyDescent="0.2">
      <c r="B1373" t="s">
        <v>672</v>
      </c>
      <c r="C1373" t="s">
        <v>673</v>
      </c>
      <c r="D1373" s="13">
        <f>_xll.EditDistance($C$3,C1373,2)</f>
        <v>10</v>
      </c>
      <c r="E1373" s="13"/>
    </row>
    <row r="1374" spans="2:5" x14ac:dyDescent="0.2">
      <c r="B1374" t="s">
        <v>712</v>
      </c>
      <c r="C1374" t="s">
        <v>713</v>
      </c>
      <c r="D1374" s="13">
        <f>_xll.EditDistance($C$3,C1374,2)</f>
        <v>10</v>
      </c>
      <c r="E1374" s="13"/>
    </row>
    <row r="1375" spans="2:5" x14ac:dyDescent="0.2">
      <c r="B1375" t="s">
        <v>744</v>
      </c>
      <c r="C1375" t="s">
        <v>745</v>
      </c>
      <c r="D1375" s="13">
        <f>_xll.EditDistance($C$3,C1375,2)</f>
        <v>10</v>
      </c>
      <c r="E1375" s="13"/>
    </row>
    <row r="1376" spans="2:5" x14ac:dyDescent="0.2">
      <c r="B1376" t="s">
        <v>769</v>
      </c>
      <c r="C1376" t="s">
        <v>770</v>
      </c>
      <c r="D1376" s="13">
        <f>_xll.EditDistance($C$3,C1376,2)</f>
        <v>10</v>
      </c>
      <c r="E1376" s="13"/>
    </row>
    <row r="1377" spans="2:5" x14ac:dyDescent="0.2">
      <c r="B1377" t="s">
        <v>988</v>
      </c>
      <c r="C1377" t="s">
        <v>989</v>
      </c>
      <c r="D1377" s="13">
        <f>_xll.EditDistance($C$3,C1377,2)</f>
        <v>10</v>
      </c>
      <c r="E1377" s="13"/>
    </row>
    <row r="1378" spans="2:5" x14ac:dyDescent="0.2">
      <c r="B1378" t="s">
        <v>988</v>
      </c>
      <c r="C1378" t="s">
        <v>990</v>
      </c>
      <c r="D1378" s="13">
        <f>_xll.EditDistance($C$3,C1378,2)</f>
        <v>10</v>
      </c>
      <c r="E1378" s="13"/>
    </row>
    <row r="1379" spans="2:5" x14ac:dyDescent="0.2">
      <c r="B1379" t="s">
        <v>1087</v>
      </c>
      <c r="C1379" t="s">
        <v>1088</v>
      </c>
      <c r="D1379" s="13">
        <f>_xll.EditDistance($C$3,C1379,2)</f>
        <v>10</v>
      </c>
      <c r="E1379" s="13"/>
    </row>
    <row r="1380" spans="2:5" x14ac:dyDescent="0.2">
      <c r="B1380" t="s">
        <v>1409</v>
      </c>
      <c r="C1380" t="s">
        <v>1410</v>
      </c>
      <c r="D1380" s="13">
        <f>_xll.EditDistance($C$3,C1380,2)</f>
        <v>20</v>
      </c>
      <c r="E1380" s="13"/>
    </row>
    <row r="1381" spans="2:5" x14ac:dyDescent="0.2">
      <c r="B1381" t="s">
        <v>1513</v>
      </c>
      <c r="C1381" t="s">
        <v>1514</v>
      </c>
      <c r="D1381" s="13">
        <f>_xll.EditDistance($C$3,C1381,2)</f>
        <v>10</v>
      </c>
      <c r="E1381" s="13"/>
    </row>
    <row r="1382" spans="2:5" x14ac:dyDescent="0.2">
      <c r="B1382" s="22" t="s">
        <v>1879</v>
      </c>
      <c r="C1382" t="s">
        <v>1880</v>
      </c>
      <c r="D1382" s="13">
        <f>_xll.EditDistance($C$3,C1382,2)</f>
        <v>10</v>
      </c>
      <c r="E1382" s="13"/>
    </row>
    <row r="1383" spans="2:5" x14ac:dyDescent="0.2">
      <c r="B1383" t="s">
        <v>1970</v>
      </c>
      <c r="C1383" t="s">
        <v>1971</v>
      </c>
      <c r="D1383" s="13">
        <f>_xll.EditDistance($C$3,C1383,2)</f>
        <v>10</v>
      </c>
      <c r="E1383" s="13"/>
    </row>
    <row r="1384" spans="2:5" x14ac:dyDescent="0.2">
      <c r="B1384" t="s">
        <v>2093</v>
      </c>
      <c r="C1384" t="s">
        <v>2094</v>
      </c>
      <c r="D1384" s="13">
        <f>_xll.EditDistance($C$3,C1384,2)</f>
        <v>10</v>
      </c>
      <c r="E1384" s="13"/>
    </row>
    <row r="1385" spans="2:5" x14ac:dyDescent="0.2">
      <c r="B1385" t="s">
        <v>2324</v>
      </c>
      <c r="C1385" t="s">
        <v>2325</v>
      </c>
      <c r="D1385" s="13">
        <f>_xll.EditDistance($C$3,C1385,2)</f>
        <v>10</v>
      </c>
      <c r="E1385" s="13"/>
    </row>
    <row r="1386" spans="2:5" x14ac:dyDescent="0.2">
      <c r="B1386" t="s">
        <v>2416</v>
      </c>
      <c r="C1386" t="s">
        <v>2417</v>
      </c>
      <c r="D1386" s="13">
        <f>_xll.EditDistance($C$3,C1386,2)</f>
        <v>20</v>
      </c>
      <c r="E1386" s="13"/>
    </row>
    <row r="1387" spans="2:5" x14ac:dyDescent="0.2">
      <c r="B1387" t="s">
        <v>2586</v>
      </c>
      <c r="C1387" t="s">
        <v>2587</v>
      </c>
      <c r="D1387" s="13">
        <f>_xll.EditDistance($C$3,C1387,2)</f>
        <v>10</v>
      </c>
      <c r="E1387" s="13"/>
    </row>
    <row r="1388" spans="2:5" x14ac:dyDescent="0.2">
      <c r="B1388" t="s">
        <v>2618</v>
      </c>
      <c r="C1388" t="s">
        <v>2619</v>
      </c>
      <c r="D1388" s="13">
        <f>_xll.EditDistance($C$3,C1388,2)</f>
        <v>10</v>
      </c>
      <c r="E1388" s="13"/>
    </row>
    <row r="1389" spans="2:5" x14ac:dyDescent="0.2">
      <c r="B1389" t="s">
        <v>2764</v>
      </c>
      <c r="C1389" t="s">
        <v>2765</v>
      </c>
      <c r="D1389" s="13">
        <f>_xll.EditDistance($C$3,C1389,2)</f>
        <v>10</v>
      </c>
      <c r="E1389" s="13"/>
    </row>
    <row r="1390" spans="2:5" x14ac:dyDescent="0.2">
      <c r="B1390" t="s">
        <v>2901</v>
      </c>
      <c r="C1390" t="s">
        <v>2902</v>
      </c>
      <c r="D1390" s="13">
        <f>_xll.EditDistance($C$3,C1390,2)</f>
        <v>10</v>
      </c>
      <c r="E1390" s="13"/>
    </row>
    <row r="1391" spans="2:5" x14ac:dyDescent="0.2">
      <c r="B1391" t="s">
        <v>3004</v>
      </c>
      <c r="C1391" t="s">
        <v>3005</v>
      </c>
      <c r="D1391" s="13">
        <f>_xll.EditDistance($C$3,C1391,2)</f>
        <v>10</v>
      </c>
      <c r="E1391" s="13"/>
    </row>
    <row r="1392" spans="2:5" x14ac:dyDescent="0.2">
      <c r="B1392" s="22" t="s">
        <v>3132</v>
      </c>
      <c r="C1392" t="s">
        <v>3133</v>
      </c>
      <c r="D1392" s="13">
        <f>_xll.EditDistance($C$3,C1392,2)</f>
        <v>10</v>
      </c>
      <c r="E1392" s="13"/>
    </row>
    <row r="1393" spans="2:5" x14ac:dyDescent="0.2">
      <c r="B1393" t="s">
        <v>3237</v>
      </c>
      <c r="C1393" t="s">
        <v>3238</v>
      </c>
      <c r="D1393" s="13">
        <f>_xll.EditDistance($C$3,C1393,2)</f>
        <v>10</v>
      </c>
      <c r="E1393" s="13"/>
    </row>
    <row r="1394" spans="2:5" x14ac:dyDescent="0.2">
      <c r="B1394" t="s">
        <v>3320</v>
      </c>
      <c r="C1394" t="s">
        <v>3321</v>
      </c>
      <c r="D1394" s="13">
        <f>_xll.EditDistance($C$3,C1394,2)</f>
        <v>20</v>
      </c>
      <c r="E1394" s="13"/>
    </row>
    <row r="1395" spans="2:5" x14ac:dyDescent="0.2">
      <c r="B1395" t="s">
        <v>3478</v>
      </c>
      <c r="C1395" t="s">
        <v>3479</v>
      </c>
      <c r="D1395" s="13">
        <f>_xll.EditDistance($C$3,C1395,2)</f>
        <v>20</v>
      </c>
      <c r="E1395" s="13"/>
    </row>
    <row r="1396" spans="2:5" x14ac:dyDescent="0.2">
      <c r="B1396" t="s">
        <v>3558</v>
      </c>
      <c r="C1396" t="s">
        <v>3559</v>
      </c>
      <c r="D1396" s="13">
        <f>_xll.EditDistance($C$3,C1396,2)</f>
        <v>10</v>
      </c>
      <c r="E1396" s="13"/>
    </row>
    <row r="1397" spans="2:5" x14ac:dyDescent="0.2">
      <c r="B1397" t="s">
        <v>3592</v>
      </c>
      <c r="C1397" t="s">
        <v>3593</v>
      </c>
      <c r="D1397" s="13">
        <f>_xll.EditDistance($C$3,C1397,2)</f>
        <v>10</v>
      </c>
      <c r="E1397" s="13"/>
    </row>
    <row r="1398" spans="2:5" x14ac:dyDescent="0.2">
      <c r="B1398" t="s">
        <v>3677</v>
      </c>
      <c r="C1398" t="s">
        <v>3678</v>
      </c>
      <c r="D1398" s="13">
        <f>_xll.EditDistance($C$3,C1398,2)</f>
        <v>10</v>
      </c>
      <c r="E1398" s="13"/>
    </row>
    <row r="1399" spans="2:5" x14ac:dyDescent="0.2">
      <c r="B1399" t="s">
        <v>3684</v>
      </c>
      <c r="C1399" t="s">
        <v>3685</v>
      </c>
      <c r="D1399" s="13">
        <f>_xll.EditDistance($C$3,C1399,2)</f>
        <v>10</v>
      </c>
      <c r="E1399" s="13"/>
    </row>
    <row r="1400" spans="2:5" x14ac:dyDescent="0.2">
      <c r="B1400" t="s">
        <v>4008</v>
      </c>
      <c r="C1400" t="s">
        <v>4009</v>
      </c>
      <c r="D1400" s="13">
        <f>_xll.EditDistance($C$3,C1400,2)</f>
        <v>10</v>
      </c>
      <c r="E1400" s="13"/>
    </row>
    <row r="1401" spans="2:5" x14ac:dyDescent="0.2">
      <c r="B1401" t="s">
        <v>4237</v>
      </c>
      <c r="C1401" t="s">
        <v>4238</v>
      </c>
      <c r="D1401" s="13">
        <f>_xll.EditDistance($C$3,C1401,2)</f>
        <v>10</v>
      </c>
      <c r="E1401" s="13"/>
    </row>
    <row r="1402" spans="2:5" x14ac:dyDescent="0.2">
      <c r="B1402" t="s">
        <v>4237</v>
      </c>
      <c r="C1402" t="s">
        <v>4239</v>
      </c>
      <c r="D1402" s="13">
        <f>_xll.EditDistance($C$3,C1402,2)</f>
        <v>10</v>
      </c>
      <c r="E1402" s="13"/>
    </row>
    <row r="1403" spans="2:5" x14ac:dyDescent="0.2">
      <c r="B1403" t="s">
        <v>4412</v>
      </c>
      <c r="C1403" t="s">
        <v>4413</v>
      </c>
      <c r="D1403" s="13">
        <f>_xll.EditDistance($C$3,C1403,2)</f>
        <v>10</v>
      </c>
      <c r="E1403" s="13"/>
    </row>
    <row r="1404" spans="2:5" x14ac:dyDescent="0.2">
      <c r="B1404" s="22" t="s">
        <v>4445</v>
      </c>
      <c r="C1404" t="s">
        <v>4446</v>
      </c>
      <c r="D1404" s="13">
        <f>_xll.EditDistance($C$3,C1404,2)</f>
        <v>10</v>
      </c>
      <c r="E1404" s="13"/>
    </row>
    <row r="1405" spans="2:5" x14ac:dyDescent="0.2">
      <c r="B1405" t="s">
        <v>4720</v>
      </c>
      <c r="C1405" t="s">
        <v>4721</v>
      </c>
      <c r="D1405" s="13">
        <f>_xll.EditDistance($C$3,C1405,2)</f>
        <v>10</v>
      </c>
      <c r="E1405" s="13"/>
    </row>
    <row r="1406" spans="2:5" x14ac:dyDescent="0.2">
      <c r="B1406" t="s">
        <v>4736</v>
      </c>
      <c r="C1406" t="s">
        <v>4737</v>
      </c>
      <c r="D1406" s="13">
        <f>_xll.EditDistance($C$3,C1406,2)</f>
        <v>10</v>
      </c>
      <c r="E1406" s="13"/>
    </row>
    <row r="1407" spans="2:5" x14ac:dyDescent="0.2">
      <c r="B1407" t="s">
        <v>4749</v>
      </c>
      <c r="C1407" t="s">
        <v>4750</v>
      </c>
      <c r="D1407" s="13">
        <f>_xll.EditDistance($C$3,C1407,2)</f>
        <v>10</v>
      </c>
      <c r="E1407" s="13"/>
    </row>
    <row r="1408" spans="2:5" x14ac:dyDescent="0.2">
      <c r="B1408" t="s">
        <v>4753</v>
      </c>
      <c r="C1408" t="s">
        <v>4754</v>
      </c>
      <c r="D1408" s="13">
        <f>_xll.EditDistance($C$3,C1408,2)</f>
        <v>10</v>
      </c>
      <c r="E1408" s="13"/>
    </row>
    <row r="1409" spans="2:5" x14ac:dyDescent="0.2">
      <c r="B1409" t="s">
        <v>5099</v>
      </c>
      <c r="C1409" t="s">
        <v>5100</v>
      </c>
      <c r="D1409" s="13">
        <f>_xll.EditDistance($C$3,C1409,2)</f>
        <v>10</v>
      </c>
      <c r="E1409" s="13"/>
    </row>
    <row r="1410" spans="2:5" x14ac:dyDescent="0.2">
      <c r="B1410" t="s">
        <v>5441</v>
      </c>
      <c r="C1410" t="s">
        <v>5442</v>
      </c>
      <c r="D1410" s="13">
        <f>_xll.EditDistance($C$3,C1410,2)</f>
        <v>10</v>
      </c>
      <c r="E1410" s="13"/>
    </row>
    <row r="1411" spans="2:5" x14ac:dyDescent="0.2">
      <c r="B1411" t="s">
        <v>5728</v>
      </c>
      <c r="C1411" t="s">
        <v>5729</v>
      </c>
      <c r="D1411" s="13">
        <f>_xll.EditDistance($C$3,C1411,2)</f>
        <v>10</v>
      </c>
      <c r="E1411" s="13"/>
    </row>
    <row r="1412" spans="2:5" x14ac:dyDescent="0.2">
      <c r="B1412" t="s">
        <v>5814</v>
      </c>
      <c r="C1412" t="s">
        <v>5815</v>
      </c>
      <c r="D1412" s="13">
        <f>_xll.EditDistance($C$3,C1412,2)</f>
        <v>20</v>
      </c>
      <c r="E1412" s="13"/>
    </row>
    <row r="1413" spans="2:5" x14ac:dyDescent="0.2">
      <c r="B1413" t="s">
        <v>5878</v>
      </c>
      <c r="C1413" t="s">
        <v>5879</v>
      </c>
      <c r="D1413" s="13">
        <f>_xll.EditDistance($C$3,C1413,2)</f>
        <v>10</v>
      </c>
      <c r="E1413" s="13"/>
    </row>
    <row r="1414" spans="2:5" x14ac:dyDescent="0.2">
      <c r="B1414" t="s">
        <v>5952</v>
      </c>
      <c r="C1414" t="s">
        <v>5953</v>
      </c>
      <c r="D1414" s="13">
        <f>_xll.EditDistance($C$3,C1414,2)</f>
        <v>20</v>
      </c>
      <c r="E1414" s="13"/>
    </row>
    <row r="1415" spans="2:5" x14ac:dyDescent="0.2">
      <c r="B1415" t="s">
        <v>5975</v>
      </c>
      <c r="C1415" t="s">
        <v>5976</v>
      </c>
      <c r="D1415" s="13">
        <f>_xll.EditDistance($C$3,C1415,2)</f>
        <v>10</v>
      </c>
      <c r="E1415" s="13"/>
    </row>
    <row r="1416" spans="2:5" x14ac:dyDescent="0.2">
      <c r="B1416" t="s">
        <v>6139</v>
      </c>
      <c r="C1416" t="s">
        <v>6140</v>
      </c>
      <c r="D1416" s="13">
        <f>_xll.EditDistance($C$3,C1416,2)</f>
        <v>10</v>
      </c>
      <c r="E1416" s="13"/>
    </row>
    <row r="1417" spans="2:5" x14ac:dyDescent="0.2">
      <c r="B1417" t="s">
        <v>6206</v>
      </c>
      <c r="C1417" t="s">
        <v>6207</v>
      </c>
      <c r="D1417" s="13">
        <f>_xll.EditDistance($C$3,C1417,2)</f>
        <v>10</v>
      </c>
      <c r="E1417" s="13"/>
    </row>
    <row r="1418" spans="2:5" x14ac:dyDescent="0.2">
      <c r="B1418" t="s">
        <v>6240</v>
      </c>
      <c r="C1418" t="s">
        <v>6241</v>
      </c>
      <c r="D1418" s="13">
        <f>_xll.EditDistance($C$3,C1418,2)</f>
        <v>10</v>
      </c>
      <c r="E1418" s="13"/>
    </row>
    <row r="1419" spans="2:5" x14ac:dyDescent="0.2">
      <c r="B1419" t="s">
        <v>6399</v>
      </c>
      <c r="C1419" t="s">
        <v>6400</v>
      </c>
      <c r="D1419" s="13">
        <f>_xll.EditDistance($C$3,C1419,2)</f>
        <v>10</v>
      </c>
      <c r="E1419" s="13"/>
    </row>
    <row r="1420" spans="2:5" x14ac:dyDescent="0.2">
      <c r="B1420" t="s">
        <v>6430</v>
      </c>
      <c r="C1420" t="s">
        <v>6431</v>
      </c>
      <c r="D1420" s="13">
        <f>_xll.EditDistance($C$3,C1420,2)</f>
        <v>10</v>
      </c>
      <c r="E1420" s="13"/>
    </row>
    <row r="1421" spans="2:5" x14ac:dyDescent="0.2">
      <c r="B1421" t="s">
        <v>6455</v>
      </c>
      <c r="C1421" t="s">
        <v>6456</v>
      </c>
      <c r="D1421" s="13">
        <f>_xll.EditDistance($C$3,C1421,2)</f>
        <v>10</v>
      </c>
      <c r="E1421" s="13"/>
    </row>
    <row r="1422" spans="2:5" x14ac:dyDescent="0.2">
      <c r="B1422" t="s">
        <v>6521</v>
      </c>
      <c r="C1422" t="s">
        <v>6522</v>
      </c>
      <c r="D1422" s="13">
        <f>_xll.EditDistance($C$3,C1422,2)</f>
        <v>10</v>
      </c>
      <c r="E1422" s="13"/>
    </row>
    <row r="1423" spans="2:5" x14ac:dyDescent="0.2">
      <c r="B1423" t="s">
        <v>6523</v>
      </c>
      <c r="C1423" t="s">
        <v>6524</v>
      </c>
      <c r="D1423" s="13">
        <f>_xll.EditDistance($C$3,C1423,2)</f>
        <v>10</v>
      </c>
      <c r="E1423" s="13"/>
    </row>
    <row r="1424" spans="2:5" x14ac:dyDescent="0.2">
      <c r="B1424" t="s">
        <v>6761</v>
      </c>
      <c r="C1424" t="s">
        <v>6762</v>
      </c>
      <c r="D1424" s="13">
        <f>_xll.EditDistance($C$3,C1424,2)</f>
        <v>30</v>
      </c>
      <c r="E1424" s="13"/>
    </row>
    <row r="1425" spans="2:5" x14ac:dyDescent="0.2">
      <c r="B1425" t="s">
        <v>6945</v>
      </c>
      <c r="C1425" t="s">
        <v>6947</v>
      </c>
      <c r="D1425" s="13">
        <f>_xll.EditDistance($C$3,C1425,2)</f>
        <v>20</v>
      </c>
      <c r="E1425" s="13"/>
    </row>
    <row r="1426" spans="2:5" x14ac:dyDescent="0.2">
      <c r="B1426" t="s">
        <v>7065</v>
      </c>
      <c r="C1426" t="s">
        <v>7066</v>
      </c>
      <c r="D1426" s="13">
        <f>_xll.EditDistance($C$3,C1426,2)</f>
        <v>10</v>
      </c>
      <c r="E1426" s="13"/>
    </row>
    <row r="1427" spans="2:5" x14ac:dyDescent="0.2">
      <c r="B1427" t="s">
        <v>7201</v>
      </c>
      <c r="C1427" t="s">
        <v>7202</v>
      </c>
      <c r="D1427" s="13">
        <f>_xll.EditDistance($C$3,C1427,2)</f>
        <v>10</v>
      </c>
      <c r="E1427" s="13"/>
    </row>
    <row r="1428" spans="2:5" x14ac:dyDescent="0.2">
      <c r="B1428" t="s">
        <v>7310</v>
      </c>
      <c r="C1428" t="s">
        <v>7311</v>
      </c>
      <c r="D1428" s="13">
        <f>_xll.EditDistance($C$3,C1428,2)</f>
        <v>10</v>
      </c>
      <c r="E1428" s="13"/>
    </row>
    <row r="1429" spans="2:5" x14ac:dyDescent="0.2">
      <c r="B1429" t="s">
        <v>7432</v>
      </c>
      <c r="C1429" t="s">
        <v>7433</v>
      </c>
      <c r="D1429" s="13">
        <f>_xll.EditDistance($C$3,C1429,2)</f>
        <v>10</v>
      </c>
      <c r="E1429" s="13"/>
    </row>
    <row r="1430" spans="2:5" x14ac:dyDescent="0.2">
      <c r="B1430" t="s">
        <v>7539</v>
      </c>
      <c r="C1430" t="s">
        <v>7540</v>
      </c>
      <c r="D1430" s="13">
        <f>_xll.EditDistance($C$3,C1430,2)</f>
        <v>10</v>
      </c>
      <c r="E1430" s="13"/>
    </row>
    <row r="1431" spans="2:5" x14ac:dyDescent="0.2">
      <c r="B1431" t="s">
        <v>7691</v>
      </c>
      <c r="C1431" t="s">
        <v>7692</v>
      </c>
      <c r="D1431" s="13">
        <f>_xll.EditDistance($C$3,C1431,2)</f>
        <v>10</v>
      </c>
      <c r="E1431" s="13"/>
    </row>
    <row r="1432" spans="2:5" x14ac:dyDescent="0.2">
      <c r="B1432" t="s">
        <v>7970</v>
      </c>
      <c r="C1432" t="s">
        <v>7971</v>
      </c>
      <c r="D1432" s="13">
        <f>_xll.EditDistance($C$3,C1432,2)</f>
        <v>20</v>
      </c>
      <c r="E1432" s="13"/>
    </row>
    <row r="1433" spans="2:5" x14ac:dyDescent="0.2">
      <c r="B1433" t="s">
        <v>8156</v>
      </c>
      <c r="C1433" t="s">
        <v>8157</v>
      </c>
      <c r="D1433" s="13">
        <f>_xll.EditDistance($C$3,C1433,2)</f>
        <v>10</v>
      </c>
      <c r="E1433" s="13"/>
    </row>
    <row r="1434" spans="2:5" x14ac:dyDescent="0.2">
      <c r="B1434" t="s">
        <v>8465</v>
      </c>
      <c r="C1434" t="s">
        <v>8466</v>
      </c>
      <c r="D1434" s="13">
        <f>_xll.EditDistance($C$3,C1434,2)</f>
        <v>10</v>
      </c>
      <c r="E1434" s="13"/>
    </row>
    <row r="1435" spans="2:5" x14ac:dyDescent="0.2">
      <c r="B1435" t="s">
        <v>8517</v>
      </c>
      <c r="C1435" t="s">
        <v>8518</v>
      </c>
      <c r="D1435" s="13">
        <f>_xll.EditDistance($C$3,C1435,2)</f>
        <v>20</v>
      </c>
      <c r="E1435" s="13"/>
    </row>
    <row r="1436" spans="2:5" x14ac:dyDescent="0.2">
      <c r="B1436" t="s">
        <v>8701</v>
      </c>
      <c r="C1436" t="s">
        <v>8702</v>
      </c>
      <c r="D1436" s="13">
        <f>_xll.EditDistance($C$3,C1436,2)</f>
        <v>10</v>
      </c>
      <c r="E1436" s="13"/>
    </row>
    <row r="1437" spans="2:5" x14ac:dyDescent="0.2">
      <c r="B1437" t="s">
        <v>208</v>
      </c>
      <c r="C1437" t="s">
        <v>209</v>
      </c>
      <c r="D1437" s="13">
        <f>_xll.EditDistance($C$3,C1437,2)</f>
        <v>10</v>
      </c>
      <c r="E1437" s="13"/>
    </row>
    <row r="1438" spans="2:5" x14ac:dyDescent="0.2">
      <c r="B1438" t="s">
        <v>374</v>
      </c>
      <c r="C1438" t="s">
        <v>375</v>
      </c>
      <c r="D1438" s="13">
        <f>_xll.EditDistance($C$3,C1438,2)</f>
        <v>10</v>
      </c>
      <c r="E1438" s="13"/>
    </row>
    <row r="1439" spans="2:5" x14ac:dyDescent="0.2">
      <c r="B1439" t="s">
        <v>392</v>
      </c>
      <c r="C1439" t="s">
        <v>395</v>
      </c>
      <c r="D1439" s="13">
        <f>_xll.EditDistance($C$3,C1439,2)</f>
        <v>10</v>
      </c>
      <c r="E1439" s="13"/>
    </row>
    <row r="1440" spans="2:5" x14ac:dyDescent="0.2">
      <c r="B1440" t="s">
        <v>506</v>
      </c>
      <c r="C1440" t="s">
        <v>507</v>
      </c>
      <c r="D1440" s="13">
        <f>_xll.EditDistance($C$3,C1440,2)</f>
        <v>10</v>
      </c>
      <c r="E1440" s="13"/>
    </row>
    <row r="1441" spans="2:5" x14ac:dyDescent="0.2">
      <c r="B1441" t="s">
        <v>822</v>
      </c>
      <c r="C1441" t="s">
        <v>823</v>
      </c>
      <c r="D1441" s="13">
        <f>_xll.EditDistance($C$3,C1441,2)</f>
        <v>10</v>
      </c>
      <c r="E1441" s="13"/>
    </row>
    <row r="1442" spans="2:5" x14ac:dyDescent="0.2">
      <c r="B1442" t="s">
        <v>1040</v>
      </c>
      <c r="C1442" t="s">
        <v>1041</v>
      </c>
      <c r="D1442" s="13">
        <f>_xll.EditDistance($C$3,C1442,2)</f>
        <v>10</v>
      </c>
      <c r="E1442" s="13"/>
    </row>
    <row r="1443" spans="2:5" x14ac:dyDescent="0.2">
      <c r="B1443" t="s">
        <v>1312</v>
      </c>
      <c r="C1443" t="s">
        <v>1313</v>
      </c>
      <c r="D1443" s="13">
        <f>_xll.EditDistance($C$3,C1443,2)</f>
        <v>20</v>
      </c>
      <c r="E1443" s="13"/>
    </row>
    <row r="1444" spans="2:5" x14ac:dyDescent="0.2">
      <c r="B1444" t="s">
        <v>2377</v>
      </c>
      <c r="C1444" t="s">
        <v>2378</v>
      </c>
      <c r="D1444" s="13">
        <f>_xll.EditDistance($C$3,C1444,2)</f>
        <v>20</v>
      </c>
      <c r="E1444" s="13"/>
    </row>
    <row r="1445" spans="2:5" x14ac:dyDescent="0.2">
      <c r="B1445" t="s">
        <v>2548</v>
      </c>
      <c r="C1445" t="s">
        <v>2549</v>
      </c>
      <c r="D1445" s="13">
        <f>_xll.EditDistance($C$3,C1445,2)</f>
        <v>10</v>
      </c>
      <c r="E1445" s="13"/>
    </row>
    <row r="1446" spans="2:5" x14ac:dyDescent="0.2">
      <c r="B1446" t="s">
        <v>2580</v>
      </c>
      <c r="C1446" t="s">
        <v>2581</v>
      </c>
      <c r="D1446" s="13">
        <f>_xll.EditDistance($C$3,C1446,2)</f>
        <v>20</v>
      </c>
      <c r="E1446" s="13"/>
    </row>
    <row r="1447" spans="2:5" x14ac:dyDescent="0.2">
      <c r="B1447" t="s">
        <v>2819</v>
      </c>
      <c r="C1447" t="s">
        <v>2820</v>
      </c>
      <c r="D1447" s="13">
        <f>_xll.EditDistance($C$3,C1447,2)</f>
        <v>54</v>
      </c>
      <c r="E1447" s="13"/>
    </row>
    <row r="1448" spans="2:5" x14ac:dyDescent="0.2">
      <c r="B1448" t="s">
        <v>3607</v>
      </c>
      <c r="C1448" t="s">
        <v>3608</v>
      </c>
      <c r="D1448" s="13">
        <f>_xll.EditDistance($C$3,C1448,2)</f>
        <v>20</v>
      </c>
      <c r="E1448" s="13"/>
    </row>
    <row r="1449" spans="2:5" x14ac:dyDescent="0.2">
      <c r="B1449" t="s">
        <v>4028</v>
      </c>
      <c r="C1449" t="s">
        <v>4029</v>
      </c>
      <c r="D1449" s="13">
        <f>_xll.EditDistance($C$3,C1449,2)</f>
        <v>20</v>
      </c>
      <c r="E1449" s="13"/>
    </row>
    <row r="1450" spans="2:5" x14ac:dyDescent="0.2">
      <c r="B1450" t="s">
        <v>4496</v>
      </c>
      <c r="C1450" t="s">
        <v>4497</v>
      </c>
      <c r="D1450" s="13">
        <f>_xll.EditDistance($C$3,C1450,2)</f>
        <v>10</v>
      </c>
      <c r="E1450" s="13"/>
    </row>
    <row r="1451" spans="2:5" x14ac:dyDescent="0.2">
      <c r="B1451" t="s">
        <v>4587</v>
      </c>
      <c r="C1451" t="s">
        <v>4588</v>
      </c>
      <c r="D1451" s="13">
        <f>_xll.EditDistance($C$3,C1451,2)</f>
        <v>10</v>
      </c>
      <c r="E1451" s="13"/>
    </row>
    <row r="1452" spans="2:5" x14ac:dyDescent="0.2">
      <c r="B1452" t="s">
        <v>4696</v>
      </c>
      <c r="C1452" t="s">
        <v>4697</v>
      </c>
      <c r="D1452" s="13">
        <f>_xll.EditDistance($C$3,C1452,2)</f>
        <v>10</v>
      </c>
      <c r="E1452" s="13"/>
    </row>
    <row r="1453" spans="2:5" x14ac:dyDescent="0.2">
      <c r="B1453" t="s">
        <v>4979</v>
      </c>
      <c r="C1453" t="s">
        <v>4980</v>
      </c>
      <c r="D1453" s="13">
        <f>_xll.EditDistance($C$3,C1453,2)</f>
        <v>10</v>
      </c>
      <c r="E1453" s="13"/>
    </row>
    <row r="1454" spans="2:5" x14ac:dyDescent="0.2">
      <c r="B1454" t="s">
        <v>5308</v>
      </c>
      <c r="C1454" t="s">
        <v>5309</v>
      </c>
      <c r="D1454" s="13">
        <f>_xll.EditDistance($C$3,C1454,2)</f>
        <v>16</v>
      </c>
      <c r="E1454" s="13"/>
    </row>
    <row r="1455" spans="2:5" x14ac:dyDescent="0.2">
      <c r="B1455" t="s">
        <v>5632</v>
      </c>
      <c r="C1455" t="s">
        <v>5633</v>
      </c>
      <c r="D1455" s="13">
        <f>_xll.EditDistance($C$3,C1455,2)</f>
        <v>10</v>
      </c>
      <c r="E1455" s="13"/>
    </row>
    <row r="1456" spans="2:5" x14ac:dyDescent="0.2">
      <c r="B1456" t="s">
        <v>5664</v>
      </c>
      <c r="C1456" t="s">
        <v>5665</v>
      </c>
      <c r="D1456" s="13">
        <f>_xll.EditDistance($C$3,C1456,2)</f>
        <v>10</v>
      </c>
      <c r="E1456" s="13"/>
    </row>
    <row r="1457" spans="2:5" x14ac:dyDescent="0.2">
      <c r="B1457" t="s">
        <v>5752</v>
      </c>
      <c r="C1457" t="s">
        <v>5753</v>
      </c>
      <c r="D1457" s="13">
        <f>_xll.EditDistance($C$3,C1457,2)</f>
        <v>10</v>
      </c>
      <c r="E1457" s="13"/>
    </row>
    <row r="1458" spans="2:5" x14ac:dyDescent="0.2">
      <c r="B1458" t="s">
        <v>5824</v>
      </c>
      <c r="C1458" t="s">
        <v>5825</v>
      </c>
      <c r="D1458" s="13">
        <f>_xll.EditDistance($C$3,C1458,2)</f>
        <v>10</v>
      </c>
      <c r="E1458" s="13"/>
    </row>
    <row r="1459" spans="2:5" x14ac:dyDescent="0.2">
      <c r="B1459" t="s">
        <v>5883</v>
      </c>
      <c r="C1459" t="s">
        <v>5884</v>
      </c>
      <c r="D1459" s="13">
        <f>_xll.EditDistance($C$3,C1459,2)</f>
        <v>10</v>
      </c>
      <c r="E1459" s="13"/>
    </row>
    <row r="1460" spans="2:5" x14ac:dyDescent="0.2">
      <c r="B1460" t="s">
        <v>6112</v>
      </c>
      <c r="C1460" t="s">
        <v>6114</v>
      </c>
      <c r="D1460" s="13">
        <f>_xll.EditDistance($C$3,C1460,2)</f>
        <v>10</v>
      </c>
      <c r="E1460" s="13"/>
    </row>
    <row r="1461" spans="2:5" x14ac:dyDescent="0.2">
      <c r="B1461" t="s">
        <v>6181</v>
      </c>
      <c r="C1461" t="s">
        <v>6182</v>
      </c>
      <c r="D1461" s="13">
        <f>_xll.EditDistance($C$3,C1461,2)</f>
        <v>20</v>
      </c>
      <c r="E1461" s="13"/>
    </row>
    <row r="1462" spans="2:5" x14ac:dyDescent="0.2">
      <c r="B1462" t="s">
        <v>6556</v>
      </c>
      <c r="C1462" t="s">
        <v>6557</v>
      </c>
      <c r="D1462" s="13">
        <f>_xll.EditDistance($C$3,C1462,2)</f>
        <v>10</v>
      </c>
      <c r="E1462" s="13"/>
    </row>
    <row r="1463" spans="2:5" x14ac:dyDescent="0.2">
      <c r="B1463" t="s">
        <v>6653</v>
      </c>
      <c r="C1463" t="s">
        <v>6655</v>
      </c>
      <c r="D1463" s="13">
        <f>_xll.EditDistance($C$3,C1463,2)</f>
        <v>30</v>
      </c>
      <c r="E1463" s="13"/>
    </row>
    <row r="1464" spans="2:5" x14ac:dyDescent="0.2">
      <c r="B1464" t="s">
        <v>7032</v>
      </c>
      <c r="C1464" t="s">
        <v>7033</v>
      </c>
      <c r="D1464" s="13">
        <f>_xll.EditDistance($C$3,C1464,2)</f>
        <v>10</v>
      </c>
      <c r="E1464" s="13"/>
    </row>
    <row r="1465" spans="2:5" x14ac:dyDescent="0.2">
      <c r="B1465" t="s">
        <v>7291</v>
      </c>
      <c r="C1465" t="s">
        <v>7292</v>
      </c>
      <c r="D1465" s="13">
        <f>_xll.EditDistance($C$3,C1465,2)</f>
        <v>10</v>
      </c>
      <c r="E1465" s="13"/>
    </row>
    <row r="1466" spans="2:5" x14ac:dyDescent="0.2">
      <c r="B1466" t="s">
        <v>7306</v>
      </c>
      <c r="C1466" t="s">
        <v>7307</v>
      </c>
      <c r="D1466" s="13">
        <f>_xll.EditDistance($C$3,C1466,2)</f>
        <v>20</v>
      </c>
      <c r="E1466" s="13"/>
    </row>
    <row r="1467" spans="2:5" x14ac:dyDescent="0.2">
      <c r="B1467" t="s">
        <v>7715</v>
      </c>
      <c r="C1467" t="s">
        <v>7716</v>
      </c>
      <c r="D1467" s="13">
        <f>_xll.EditDistance($C$3,C1467,2)</f>
        <v>10</v>
      </c>
      <c r="E1467" s="13"/>
    </row>
    <row r="1468" spans="2:5" x14ac:dyDescent="0.2">
      <c r="B1468" t="s">
        <v>7958</v>
      </c>
      <c r="C1468" t="s">
        <v>7959</v>
      </c>
      <c r="D1468" s="13">
        <f>_xll.EditDistance($C$3,C1468,2)</f>
        <v>20</v>
      </c>
      <c r="E1468" s="13"/>
    </row>
    <row r="1469" spans="2:5" x14ac:dyDescent="0.2">
      <c r="B1469" t="s">
        <v>8068</v>
      </c>
      <c r="C1469" t="s">
        <v>8069</v>
      </c>
      <c r="D1469" s="13">
        <f>_xll.EditDistance($C$3,C1469,2)</f>
        <v>20</v>
      </c>
      <c r="E1469" s="13"/>
    </row>
    <row r="1470" spans="2:5" x14ac:dyDescent="0.2">
      <c r="B1470" t="s">
        <v>8400</v>
      </c>
      <c r="C1470" t="s">
        <v>8401</v>
      </c>
      <c r="D1470" s="13">
        <f>_xll.EditDistance($C$3,C1470,2)</f>
        <v>10</v>
      </c>
      <c r="E1470" s="13"/>
    </row>
    <row r="1471" spans="2:5" x14ac:dyDescent="0.2">
      <c r="B1471" t="s">
        <v>311</v>
      </c>
      <c r="C1471" t="s">
        <v>312</v>
      </c>
      <c r="D1471" s="13">
        <f>_xll.EditDistance($C$3,C1471,2)</f>
        <v>10</v>
      </c>
      <c r="E1471" s="13"/>
    </row>
    <row r="1472" spans="2:5" x14ac:dyDescent="0.2">
      <c r="B1472" t="s">
        <v>352</v>
      </c>
      <c r="C1472" t="s">
        <v>354</v>
      </c>
      <c r="D1472" s="13">
        <f>_xll.EditDistance($C$3,C1472,2)</f>
        <v>10</v>
      </c>
      <c r="E1472" s="13"/>
    </row>
    <row r="1473" spans="2:5" x14ac:dyDescent="0.2">
      <c r="B1473" t="s">
        <v>440</v>
      </c>
      <c r="C1473" t="s">
        <v>441</v>
      </c>
      <c r="D1473" s="13">
        <f>_xll.EditDistance($C$3,C1473,2)</f>
        <v>10</v>
      </c>
      <c r="E1473" s="13"/>
    </row>
    <row r="1474" spans="2:5" x14ac:dyDescent="0.2">
      <c r="B1474" t="s">
        <v>448</v>
      </c>
      <c r="C1474" t="s">
        <v>449</v>
      </c>
      <c r="D1474" s="13">
        <f>_xll.EditDistance($C$3,C1474,2)</f>
        <v>10</v>
      </c>
      <c r="E1474" s="13"/>
    </row>
    <row r="1475" spans="2:5" x14ac:dyDescent="0.2">
      <c r="B1475" t="s">
        <v>472</v>
      </c>
      <c r="C1475" t="s">
        <v>473</v>
      </c>
      <c r="D1475" s="13">
        <f>_xll.EditDistance($C$3,C1475,2)</f>
        <v>20</v>
      </c>
      <c r="E1475" s="13"/>
    </row>
    <row r="1476" spans="2:5" x14ac:dyDescent="0.2">
      <c r="B1476" t="s">
        <v>721</v>
      </c>
      <c r="C1476" t="s">
        <v>722</v>
      </c>
      <c r="D1476" s="13">
        <f>_xll.EditDistance($C$3,C1476,2)</f>
        <v>20</v>
      </c>
      <c r="E1476" s="13"/>
    </row>
    <row r="1477" spans="2:5" x14ac:dyDescent="0.2">
      <c r="B1477" t="s">
        <v>952</v>
      </c>
      <c r="C1477" t="s">
        <v>953</v>
      </c>
      <c r="D1477" s="13">
        <f>_xll.EditDistance($C$3,C1477,2)</f>
        <v>10</v>
      </c>
      <c r="E1477" s="13"/>
    </row>
    <row r="1478" spans="2:5" x14ac:dyDescent="0.2">
      <c r="B1478" t="s">
        <v>1105</v>
      </c>
      <c r="C1478" t="s">
        <v>1106</v>
      </c>
      <c r="D1478" s="13">
        <f>_xll.EditDistance($C$3,C1478,2)</f>
        <v>10</v>
      </c>
      <c r="E1478" s="13"/>
    </row>
    <row r="1479" spans="2:5" x14ac:dyDescent="0.2">
      <c r="B1479" t="s">
        <v>1273</v>
      </c>
      <c r="C1479" t="s">
        <v>1274</v>
      </c>
      <c r="D1479" s="13">
        <f>_xll.EditDistance($C$3,C1479,2)</f>
        <v>10</v>
      </c>
      <c r="E1479" s="13"/>
    </row>
    <row r="1480" spans="2:5" x14ac:dyDescent="0.2">
      <c r="B1480" t="s">
        <v>1359</v>
      </c>
      <c r="C1480" t="s">
        <v>1360</v>
      </c>
      <c r="D1480" s="13">
        <f>_xll.EditDistance($C$3,C1480,2)</f>
        <v>10</v>
      </c>
      <c r="E1480" s="13"/>
    </row>
    <row r="1481" spans="2:5" x14ac:dyDescent="0.2">
      <c r="B1481" t="s">
        <v>1530</v>
      </c>
      <c r="C1481" t="s">
        <v>1531</v>
      </c>
      <c r="D1481" s="13">
        <f>_xll.EditDistance($C$3,C1481,2)</f>
        <v>10</v>
      </c>
      <c r="E1481" s="13"/>
    </row>
    <row r="1482" spans="2:5" x14ac:dyDescent="0.2">
      <c r="B1482" t="s">
        <v>1691</v>
      </c>
      <c r="C1482" t="s">
        <v>1693</v>
      </c>
      <c r="D1482" s="13">
        <f>_xll.EditDistance($C$3,C1482,2)</f>
        <v>10</v>
      </c>
      <c r="E1482" s="13"/>
    </row>
    <row r="1483" spans="2:5" x14ac:dyDescent="0.2">
      <c r="B1483" t="s">
        <v>1702</v>
      </c>
      <c r="C1483" t="s">
        <v>1703</v>
      </c>
      <c r="D1483" s="13">
        <f>_xll.EditDistance($C$3,C1483,2)</f>
        <v>10</v>
      </c>
      <c r="E1483" s="13"/>
    </row>
    <row r="1484" spans="2:5" x14ac:dyDescent="0.2">
      <c r="B1484" t="s">
        <v>2170</v>
      </c>
      <c r="C1484" t="s">
        <v>2171</v>
      </c>
      <c r="D1484" s="13">
        <f>_xll.EditDistance($C$3,C1484,2)</f>
        <v>10</v>
      </c>
      <c r="E1484" s="13"/>
    </row>
    <row r="1485" spans="2:5" x14ac:dyDescent="0.2">
      <c r="B1485" t="s">
        <v>2340</v>
      </c>
      <c r="C1485" t="s">
        <v>2342</v>
      </c>
      <c r="D1485" s="13">
        <f>_xll.EditDistance($C$3,C1485,2)</f>
        <v>10</v>
      </c>
      <c r="E1485" s="13"/>
    </row>
    <row r="1486" spans="2:5" x14ac:dyDescent="0.2">
      <c r="B1486" t="s">
        <v>2343</v>
      </c>
      <c r="C1486" t="s">
        <v>2344</v>
      </c>
      <c r="D1486" s="13">
        <f>_xll.EditDistance($C$3,C1486,2)</f>
        <v>10</v>
      </c>
      <c r="E1486" s="13"/>
    </row>
    <row r="1487" spans="2:5" x14ac:dyDescent="0.2">
      <c r="B1487" t="s">
        <v>2414</v>
      </c>
      <c r="C1487" t="s">
        <v>2415</v>
      </c>
      <c r="D1487" s="13">
        <f>_xll.EditDistance($C$3,C1487,2)</f>
        <v>10</v>
      </c>
      <c r="E1487" s="13"/>
    </row>
    <row r="1488" spans="2:5" x14ac:dyDescent="0.2">
      <c r="B1488" t="s">
        <v>2592</v>
      </c>
      <c r="C1488" t="s">
        <v>2593</v>
      </c>
      <c r="D1488" s="13">
        <f>_xll.EditDistance($C$3,C1488,2)</f>
        <v>10</v>
      </c>
      <c r="E1488" s="13"/>
    </row>
    <row r="1489" spans="2:5" x14ac:dyDescent="0.2">
      <c r="B1489" t="s">
        <v>2680</v>
      </c>
      <c r="C1489" t="s">
        <v>2681</v>
      </c>
      <c r="D1489" s="13">
        <f>_xll.EditDistance($C$3,C1489,2)</f>
        <v>10</v>
      </c>
      <c r="E1489" s="13"/>
    </row>
    <row r="1490" spans="2:5" x14ac:dyDescent="0.2">
      <c r="B1490" t="s">
        <v>2727</v>
      </c>
      <c r="C1490" t="s">
        <v>2728</v>
      </c>
      <c r="D1490" s="13">
        <f>_xll.EditDistance($C$3,C1490,2)</f>
        <v>10</v>
      </c>
      <c r="E1490" s="13"/>
    </row>
    <row r="1491" spans="2:5" x14ac:dyDescent="0.2">
      <c r="B1491" t="s">
        <v>2842</v>
      </c>
      <c r="C1491" t="s">
        <v>2843</v>
      </c>
      <c r="D1491" s="13">
        <f>_xll.EditDistance($C$3,C1491,2)</f>
        <v>10</v>
      </c>
      <c r="E1491" s="13"/>
    </row>
    <row r="1492" spans="2:5" x14ac:dyDescent="0.2">
      <c r="B1492" t="s">
        <v>2996</v>
      </c>
      <c r="C1492" t="s">
        <v>2997</v>
      </c>
      <c r="D1492" s="13">
        <f>_xll.EditDistance($C$3,C1492,2)</f>
        <v>10</v>
      </c>
      <c r="E1492" s="13"/>
    </row>
    <row r="1493" spans="2:5" x14ac:dyDescent="0.2">
      <c r="B1493" t="s">
        <v>3012</v>
      </c>
      <c r="C1493" t="s">
        <v>3014</v>
      </c>
      <c r="D1493" s="13">
        <f>_xll.EditDistance($C$3,C1493,2)</f>
        <v>10</v>
      </c>
      <c r="E1493" s="13"/>
    </row>
    <row r="1494" spans="2:5" x14ac:dyDescent="0.2">
      <c r="B1494" t="s">
        <v>3054</v>
      </c>
      <c r="C1494" t="s">
        <v>3055</v>
      </c>
      <c r="D1494" s="13">
        <f>_xll.EditDistance($C$3,C1494,2)</f>
        <v>10</v>
      </c>
      <c r="E1494" s="13"/>
    </row>
    <row r="1495" spans="2:5" x14ac:dyDescent="0.2">
      <c r="B1495" t="s">
        <v>3077</v>
      </c>
      <c r="C1495" t="s">
        <v>3078</v>
      </c>
      <c r="D1495" s="13">
        <f>_xll.EditDistance($C$3,C1495,2)</f>
        <v>10</v>
      </c>
      <c r="E1495" s="13"/>
    </row>
    <row r="1496" spans="2:5" x14ac:dyDescent="0.2">
      <c r="B1496" t="s">
        <v>3340</v>
      </c>
      <c r="C1496" t="s">
        <v>3342</v>
      </c>
      <c r="D1496" s="13">
        <f>_xll.EditDistance($C$3,C1496,2)</f>
        <v>10</v>
      </c>
      <c r="E1496" s="13"/>
    </row>
    <row r="1497" spans="2:5" x14ac:dyDescent="0.2">
      <c r="B1497" s="22" t="s">
        <v>3353</v>
      </c>
      <c r="C1497" t="s">
        <v>3354</v>
      </c>
      <c r="D1497" s="13">
        <f>_xll.EditDistance($C$3,C1497,2)</f>
        <v>10</v>
      </c>
      <c r="E1497" s="13"/>
    </row>
    <row r="1498" spans="2:5" x14ac:dyDescent="0.2">
      <c r="B1498" t="s">
        <v>3516</v>
      </c>
      <c r="C1498" t="s">
        <v>3517</v>
      </c>
      <c r="D1498" s="13">
        <f>_xll.EditDistance($C$3,C1498,2)</f>
        <v>10</v>
      </c>
      <c r="E1498" s="13"/>
    </row>
    <row r="1499" spans="2:5" x14ac:dyDescent="0.2">
      <c r="B1499" t="s">
        <v>4032</v>
      </c>
      <c r="C1499" t="s">
        <v>4033</v>
      </c>
      <c r="D1499" s="13">
        <f>_xll.EditDistance($C$3,C1499,2)</f>
        <v>10</v>
      </c>
      <c r="E1499" s="13"/>
    </row>
    <row r="1500" spans="2:5" x14ac:dyDescent="0.2">
      <c r="B1500" t="s">
        <v>4268</v>
      </c>
      <c r="C1500" t="s">
        <v>4270</v>
      </c>
      <c r="D1500" s="13">
        <f>_xll.EditDistance($C$3,C1500,2)</f>
        <v>10</v>
      </c>
      <c r="E1500" s="13"/>
    </row>
    <row r="1501" spans="2:5" x14ac:dyDescent="0.2">
      <c r="B1501" t="s">
        <v>4318</v>
      </c>
      <c r="C1501" t="s">
        <v>4319</v>
      </c>
      <c r="D1501" s="13">
        <f>_xll.EditDistance($C$3,C1501,2)</f>
        <v>20</v>
      </c>
      <c r="E1501" s="13"/>
    </row>
    <row r="1502" spans="2:5" x14ac:dyDescent="0.2">
      <c r="B1502" t="s">
        <v>4531</v>
      </c>
      <c r="C1502" t="s">
        <v>4532</v>
      </c>
      <c r="D1502" s="13">
        <f>_xll.EditDistance($C$3,C1502,2)</f>
        <v>10</v>
      </c>
      <c r="E1502" s="13"/>
    </row>
    <row r="1503" spans="2:5" x14ac:dyDescent="0.2">
      <c r="B1503" t="s">
        <v>4694</v>
      </c>
      <c r="C1503" t="s">
        <v>4695</v>
      </c>
      <c r="D1503" s="13">
        <f>_xll.EditDistance($C$3,C1503,2)</f>
        <v>10</v>
      </c>
      <c r="E1503" s="13"/>
    </row>
    <row r="1504" spans="2:5" x14ac:dyDescent="0.2">
      <c r="B1504" t="s">
        <v>4806</v>
      </c>
      <c r="C1504" t="s">
        <v>4807</v>
      </c>
      <c r="D1504" s="13">
        <f>_xll.EditDistance($C$3,C1504,2)</f>
        <v>10</v>
      </c>
      <c r="E1504" s="13"/>
    </row>
    <row r="1505" spans="2:5" x14ac:dyDescent="0.2">
      <c r="B1505" t="s">
        <v>4847</v>
      </c>
      <c r="C1505" t="s">
        <v>4848</v>
      </c>
      <c r="D1505" s="13">
        <f>_xll.EditDistance($C$3,C1505,2)</f>
        <v>10</v>
      </c>
      <c r="E1505" s="13"/>
    </row>
    <row r="1506" spans="2:5" x14ac:dyDescent="0.2">
      <c r="B1506" t="s">
        <v>5297</v>
      </c>
      <c r="C1506" t="s">
        <v>5299</v>
      </c>
      <c r="D1506" s="13">
        <f>_xll.EditDistance($C$3,C1506,2)</f>
        <v>10</v>
      </c>
      <c r="E1506" s="13"/>
    </row>
    <row r="1507" spans="2:5" x14ac:dyDescent="0.2">
      <c r="B1507" t="s">
        <v>5377</v>
      </c>
      <c r="C1507" t="s">
        <v>5379</v>
      </c>
      <c r="D1507" s="13">
        <f>_xll.EditDistance($C$3,C1507,2)</f>
        <v>20</v>
      </c>
      <c r="E1507" s="13"/>
    </row>
    <row r="1508" spans="2:5" x14ac:dyDescent="0.2">
      <c r="B1508" t="s">
        <v>5674</v>
      </c>
      <c r="C1508" t="s">
        <v>5675</v>
      </c>
      <c r="D1508" s="13">
        <f>_xll.EditDistance($C$3,C1508,2)</f>
        <v>10</v>
      </c>
      <c r="E1508" s="13"/>
    </row>
    <row r="1509" spans="2:5" x14ac:dyDescent="0.2">
      <c r="B1509" t="s">
        <v>5712</v>
      </c>
      <c r="C1509" t="s">
        <v>5714</v>
      </c>
      <c r="D1509" s="13">
        <f>_xll.EditDistance($C$3,C1509,2)</f>
        <v>10</v>
      </c>
      <c r="E1509" s="13"/>
    </row>
    <row r="1510" spans="2:5" x14ac:dyDescent="0.2">
      <c r="B1510" t="s">
        <v>5935</v>
      </c>
      <c r="C1510" t="s">
        <v>5937</v>
      </c>
      <c r="D1510" s="13">
        <f>_xll.EditDistance($C$3,C1510,2)</f>
        <v>10</v>
      </c>
      <c r="E1510" s="13"/>
    </row>
    <row r="1511" spans="2:5" x14ac:dyDescent="0.2">
      <c r="B1511" t="s">
        <v>6112</v>
      </c>
      <c r="C1511" t="s">
        <v>6113</v>
      </c>
      <c r="D1511" s="13">
        <f>_xll.EditDistance($C$3,C1511,2)</f>
        <v>10</v>
      </c>
      <c r="E1511" s="13"/>
    </row>
    <row r="1512" spans="2:5" x14ac:dyDescent="0.2">
      <c r="B1512" t="s">
        <v>6304</v>
      </c>
      <c r="C1512" t="s">
        <v>6305</v>
      </c>
      <c r="D1512" s="13">
        <f>_xll.EditDistance($C$3,C1512,2)</f>
        <v>10</v>
      </c>
      <c r="E1512" s="13"/>
    </row>
    <row r="1513" spans="2:5" x14ac:dyDescent="0.2">
      <c r="B1513" t="s">
        <v>6306</v>
      </c>
      <c r="C1513" t="s">
        <v>6307</v>
      </c>
      <c r="D1513" s="13">
        <f>_xll.EditDistance($C$3,C1513,2)</f>
        <v>10</v>
      </c>
      <c r="E1513" s="13"/>
    </row>
    <row r="1514" spans="2:5" x14ac:dyDescent="0.2">
      <c r="B1514" t="s">
        <v>6490</v>
      </c>
      <c r="C1514" t="s">
        <v>6491</v>
      </c>
      <c r="D1514" s="13">
        <f>_xll.EditDistance($C$3,C1514,2)</f>
        <v>10</v>
      </c>
      <c r="E1514" s="13"/>
    </row>
    <row r="1515" spans="2:5" x14ac:dyDescent="0.2">
      <c r="B1515" t="s">
        <v>6531</v>
      </c>
      <c r="C1515" t="s">
        <v>6533</v>
      </c>
      <c r="D1515" s="13">
        <f>_xll.EditDistance($C$3,C1515,2)</f>
        <v>10</v>
      </c>
      <c r="E1515" s="13"/>
    </row>
    <row r="1516" spans="2:5" x14ac:dyDescent="0.2">
      <c r="B1516" t="s">
        <v>6594</v>
      </c>
      <c r="C1516" t="s">
        <v>6595</v>
      </c>
      <c r="D1516" s="13">
        <f>_xll.EditDistance($C$3,C1516,2)</f>
        <v>20</v>
      </c>
      <c r="E1516" s="13"/>
    </row>
    <row r="1517" spans="2:5" x14ac:dyDescent="0.2">
      <c r="B1517" t="s">
        <v>6594</v>
      </c>
      <c r="C1517" t="s">
        <v>6596</v>
      </c>
      <c r="D1517" s="13">
        <f>_xll.EditDistance($C$3,C1517,2)</f>
        <v>20</v>
      </c>
      <c r="E1517" s="13"/>
    </row>
    <row r="1518" spans="2:5" x14ac:dyDescent="0.2">
      <c r="B1518" t="s">
        <v>6724</v>
      </c>
      <c r="C1518" t="s">
        <v>6725</v>
      </c>
      <c r="D1518" s="13">
        <f>_xll.EditDistance($C$3,C1518,2)</f>
        <v>10</v>
      </c>
      <c r="E1518" s="13"/>
    </row>
    <row r="1519" spans="2:5" x14ac:dyDescent="0.2">
      <c r="B1519" t="s">
        <v>7084</v>
      </c>
      <c r="C1519" t="s">
        <v>7085</v>
      </c>
      <c r="D1519" s="13">
        <f>_xll.EditDistance($C$3,C1519,2)</f>
        <v>10</v>
      </c>
      <c r="E1519" s="13"/>
    </row>
    <row r="1520" spans="2:5" x14ac:dyDescent="0.2">
      <c r="B1520" t="s">
        <v>7176</v>
      </c>
      <c r="C1520" t="s">
        <v>7177</v>
      </c>
      <c r="D1520" s="13">
        <f>_xll.EditDistance($C$3,C1520,2)</f>
        <v>10</v>
      </c>
      <c r="E1520" s="13"/>
    </row>
    <row r="1521" spans="2:5" x14ac:dyDescent="0.2">
      <c r="B1521" t="s">
        <v>7180</v>
      </c>
      <c r="C1521" t="s">
        <v>7181</v>
      </c>
      <c r="D1521" s="13">
        <f>_xll.EditDistance($C$3,C1521,2)</f>
        <v>10</v>
      </c>
      <c r="E1521" s="13"/>
    </row>
    <row r="1522" spans="2:5" x14ac:dyDescent="0.2">
      <c r="B1522" t="s">
        <v>7465</v>
      </c>
      <c r="C1522" t="s">
        <v>7466</v>
      </c>
      <c r="D1522" s="13">
        <f>_xll.EditDistance($C$3,C1522,2)</f>
        <v>10</v>
      </c>
      <c r="E1522" s="13"/>
    </row>
    <row r="1523" spans="2:5" x14ac:dyDescent="0.2">
      <c r="B1523" t="s">
        <v>7671</v>
      </c>
      <c r="C1523" t="s">
        <v>7672</v>
      </c>
      <c r="D1523" s="13">
        <f>_xll.EditDistance($C$3,C1523,2)</f>
        <v>10</v>
      </c>
      <c r="E1523" s="13"/>
    </row>
    <row r="1524" spans="2:5" x14ac:dyDescent="0.2">
      <c r="B1524" t="s">
        <v>7842</v>
      </c>
      <c r="C1524" t="s">
        <v>7843</v>
      </c>
      <c r="D1524" s="13">
        <f>_xll.EditDistance($C$3,C1524,2)</f>
        <v>20</v>
      </c>
      <c r="E1524" s="13"/>
    </row>
    <row r="1525" spans="2:5" x14ac:dyDescent="0.2">
      <c r="B1525" t="s">
        <v>8528</v>
      </c>
      <c r="C1525" t="s">
        <v>8529</v>
      </c>
      <c r="D1525" s="13">
        <f>_xll.EditDistance($C$3,C1525,2)</f>
        <v>10</v>
      </c>
      <c r="E1525" s="13"/>
    </row>
    <row r="1526" spans="2:5" x14ac:dyDescent="0.2">
      <c r="B1526" t="s">
        <v>8536</v>
      </c>
      <c r="C1526" t="s">
        <v>8537</v>
      </c>
      <c r="D1526" s="13">
        <f>_xll.EditDistance($C$3,C1526,2)</f>
        <v>20</v>
      </c>
      <c r="E1526" s="13"/>
    </row>
    <row r="1527" spans="2:5" x14ac:dyDescent="0.2">
      <c r="B1527" t="s">
        <v>126</v>
      </c>
      <c r="C1527" t="s">
        <v>127</v>
      </c>
      <c r="D1527" s="13">
        <f>_xll.EditDistance($C$3,C1527,2)</f>
        <v>10</v>
      </c>
      <c r="E1527" s="13"/>
    </row>
    <row r="1528" spans="2:5" x14ac:dyDescent="0.2">
      <c r="B1528" t="s">
        <v>145</v>
      </c>
      <c r="C1528" t="s">
        <v>146</v>
      </c>
      <c r="D1528" s="13">
        <f>_xll.EditDistance($C$3,C1528,2)</f>
        <v>10</v>
      </c>
      <c r="E1528" s="13"/>
    </row>
    <row r="1529" spans="2:5" x14ac:dyDescent="0.2">
      <c r="B1529" t="s">
        <v>147</v>
      </c>
      <c r="C1529" t="s">
        <v>148</v>
      </c>
      <c r="D1529" s="13">
        <f>_xll.EditDistance($C$3,C1529,2)</f>
        <v>10</v>
      </c>
      <c r="E1529" s="13"/>
    </row>
    <row r="1530" spans="2:5" x14ac:dyDescent="0.2">
      <c r="B1530" t="s">
        <v>163</v>
      </c>
      <c r="C1530" t="s">
        <v>164</v>
      </c>
      <c r="D1530" s="13">
        <f>_xll.EditDistance($C$3,C1530,2)</f>
        <v>10</v>
      </c>
      <c r="E1530" s="13"/>
    </row>
    <row r="1531" spans="2:5" x14ac:dyDescent="0.2">
      <c r="B1531" t="s">
        <v>167</v>
      </c>
      <c r="C1531" t="s">
        <v>168</v>
      </c>
      <c r="D1531" s="13">
        <f>_xll.EditDistance($C$3,C1531,2)</f>
        <v>10</v>
      </c>
      <c r="E1531" s="13"/>
    </row>
    <row r="1532" spans="2:5" x14ac:dyDescent="0.2">
      <c r="B1532" t="s">
        <v>228</v>
      </c>
      <c r="C1532" t="s">
        <v>230</v>
      </c>
      <c r="D1532" s="13">
        <f>_xll.EditDistance($C$3,C1532,2)</f>
        <v>10</v>
      </c>
      <c r="E1532" s="13"/>
    </row>
    <row r="1533" spans="2:5" x14ac:dyDescent="0.2">
      <c r="B1533" t="s">
        <v>263</v>
      </c>
      <c r="C1533" t="s">
        <v>264</v>
      </c>
      <c r="D1533" s="13">
        <f>_xll.EditDistance($C$3,C1533,2)</f>
        <v>10</v>
      </c>
      <c r="E1533" s="13"/>
    </row>
    <row r="1534" spans="2:5" x14ac:dyDescent="0.2">
      <c r="B1534" t="s">
        <v>296</v>
      </c>
      <c r="C1534" t="s">
        <v>297</v>
      </c>
      <c r="D1534" s="13">
        <f>_xll.EditDistance($C$3,C1534,2)</f>
        <v>10</v>
      </c>
      <c r="E1534" s="13"/>
    </row>
    <row r="1535" spans="2:5" x14ac:dyDescent="0.2">
      <c r="B1535" t="s">
        <v>307</v>
      </c>
      <c r="C1535" t="s">
        <v>308</v>
      </c>
      <c r="D1535" s="13">
        <f>_xll.EditDistance($C$3,C1535,2)</f>
        <v>10</v>
      </c>
      <c r="E1535" s="13"/>
    </row>
    <row r="1536" spans="2:5" x14ac:dyDescent="0.2">
      <c r="B1536" t="s">
        <v>352</v>
      </c>
      <c r="C1536" t="s">
        <v>353</v>
      </c>
      <c r="D1536" s="13">
        <f>_xll.EditDistance($C$3,C1536,2)</f>
        <v>10</v>
      </c>
      <c r="E1536" s="13"/>
    </row>
    <row r="1537" spans="2:5" x14ac:dyDescent="0.2">
      <c r="B1537" t="s">
        <v>364</v>
      </c>
      <c r="C1537" t="s">
        <v>365</v>
      </c>
      <c r="D1537" s="13">
        <f>_xll.EditDistance($C$3,C1537,2)</f>
        <v>10</v>
      </c>
      <c r="E1537" s="13"/>
    </row>
    <row r="1538" spans="2:5" x14ac:dyDescent="0.2">
      <c r="B1538" t="s">
        <v>392</v>
      </c>
      <c r="C1538" t="s">
        <v>394</v>
      </c>
      <c r="D1538" s="13">
        <f>_xll.EditDistance($C$3,C1538,2)</f>
        <v>10</v>
      </c>
      <c r="E1538" s="13"/>
    </row>
    <row r="1539" spans="2:5" x14ac:dyDescent="0.2">
      <c r="B1539" t="s">
        <v>414</v>
      </c>
      <c r="C1539" t="s">
        <v>415</v>
      </c>
      <c r="D1539" s="13">
        <f>_xll.EditDistance($C$3,C1539,2)</f>
        <v>10</v>
      </c>
      <c r="E1539" s="13"/>
    </row>
    <row r="1540" spans="2:5" x14ac:dyDescent="0.2">
      <c r="B1540" t="s">
        <v>428</v>
      </c>
      <c r="C1540" t="s">
        <v>429</v>
      </c>
      <c r="D1540" s="13">
        <f>_xll.EditDistance($C$3,C1540,2)</f>
        <v>10</v>
      </c>
      <c r="E1540" s="13"/>
    </row>
    <row r="1541" spans="2:5" x14ac:dyDescent="0.2">
      <c r="B1541" t="s">
        <v>454</v>
      </c>
      <c r="C1541" t="s">
        <v>455</v>
      </c>
      <c r="D1541" s="13">
        <f>_xll.EditDistance($C$3,C1541,2)</f>
        <v>10</v>
      </c>
      <c r="E1541" s="13"/>
    </row>
    <row r="1542" spans="2:5" x14ac:dyDescent="0.2">
      <c r="B1542" t="s">
        <v>498</v>
      </c>
      <c r="C1542" t="s">
        <v>499</v>
      </c>
      <c r="D1542" s="13">
        <f>_xll.EditDistance($C$3,C1542,2)</f>
        <v>10</v>
      </c>
      <c r="E1542" s="13"/>
    </row>
    <row r="1543" spans="2:5" x14ac:dyDescent="0.2">
      <c r="B1543" t="s">
        <v>534</v>
      </c>
      <c r="C1543" t="s">
        <v>535</v>
      </c>
      <c r="D1543" s="13">
        <f>_xll.EditDistance($C$3,C1543,2)</f>
        <v>10</v>
      </c>
      <c r="E1543" s="13"/>
    </row>
    <row r="1544" spans="2:5" x14ac:dyDescent="0.2">
      <c r="B1544" t="s">
        <v>560</v>
      </c>
      <c r="C1544" t="s">
        <v>561</v>
      </c>
      <c r="D1544" s="13">
        <f>_xll.EditDistance($C$3,C1544,2)</f>
        <v>10</v>
      </c>
      <c r="E1544" s="13"/>
    </row>
    <row r="1545" spans="2:5" x14ac:dyDescent="0.2">
      <c r="B1545" t="s">
        <v>660</v>
      </c>
      <c r="C1545" t="s">
        <v>661</v>
      </c>
      <c r="D1545" s="13">
        <f>_xll.EditDistance($C$3,C1545,2)</f>
        <v>10</v>
      </c>
      <c r="E1545" s="13"/>
    </row>
    <row r="1546" spans="2:5" x14ac:dyDescent="0.2">
      <c r="B1546" t="s">
        <v>752</v>
      </c>
      <c r="C1546" t="s">
        <v>753</v>
      </c>
      <c r="D1546" s="13">
        <f>_xll.EditDistance($C$3,C1546,2)</f>
        <v>10</v>
      </c>
      <c r="E1546" s="13"/>
    </row>
    <row r="1547" spans="2:5" x14ac:dyDescent="0.2">
      <c r="B1547" s="22" t="s">
        <v>846</v>
      </c>
      <c r="C1547" t="s">
        <v>848</v>
      </c>
      <c r="D1547" s="13">
        <f>_xll.EditDistance($C$3,C1547,2)</f>
        <v>10</v>
      </c>
      <c r="E1547" s="13"/>
    </row>
    <row r="1548" spans="2:5" x14ac:dyDescent="0.2">
      <c r="B1548" t="s">
        <v>855</v>
      </c>
      <c r="C1548" t="s">
        <v>856</v>
      </c>
      <c r="D1548" s="13">
        <f>_xll.EditDistance($C$3,C1548,2)</f>
        <v>10</v>
      </c>
      <c r="E1548" s="13"/>
    </row>
    <row r="1549" spans="2:5" x14ac:dyDescent="0.2">
      <c r="B1549" t="s">
        <v>883</v>
      </c>
      <c r="C1549" t="s">
        <v>884</v>
      </c>
      <c r="D1549" s="13">
        <f>_xll.EditDistance($C$3,C1549,2)</f>
        <v>10</v>
      </c>
      <c r="E1549" s="13"/>
    </row>
    <row r="1550" spans="2:5" x14ac:dyDescent="0.2">
      <c r="B1550" t="s">
        <v>918</v>
      </c>
      <c r="C1550" t="s">
        <v>919</v>
      </c>
      <c r="D1550" s="13">
        <f>_xll.EditDistance($C$3,C1550,2)</f>
        <v>10</v>
      </c>
      <c r="E1550" s="13"/>
    </row>
    <row r="1551" spans="2:5" x14ac:dyDescent="0.2">
      <c r="B1551" t="s">
        <v>946</v>
      </c>
      <c r="C1551" t="s">
        <v>947</v>
      </c>
      <c r="D1551" s="13">
        <f>_xll.EditDistance($C$3,C1551,2)</f>
        <v>10</v>
      </c>
      <c r="E1551" s="13"/>
    </row>
    <row r="1552" spans="2:5" x14ac:dyDescent="0.2">
      <c r="B1552" t="s">
        <v>980</v>
      </c>
      <c r="C1552" t="s">
        <v>981</v>
      </c>
      <c r="D1552" s="13">
        <f>_xll.EditDistance($C$3,C1552,2)</f>
        <v>10</v>
      </c>
      <c r="E1552" s="13"/>
    </row>
    <row r="1553" spans="2:5" x14ac:dyDescent="0.2">
      <c r="B1553" t="s">
        <v>1024</v>
      </c>
      <c r="C1553" t="s">
        <v>1025</v>
      </c>
      <c r="D1553" s="13">
        <f>_xll.EditDistance($C$3,C1553,2)</f>
        <v>10</v>
      </c>
      <c r="E1553" s="13"/>
    </row>
    <row r="1554" spans="2:5" x14ac:dyDescent="0.2">
      <c r="B1554" t="s">
        <v>1028</v>
      </c>
      <c r="C1554" t="s">
        <v>1029</v>
      </c>
      <c r="D1554" s="13">
        <f>_xll.EditDistance($C$3,C1554,2)</f>
        <v>10</v>
      </c>
      <c r="E1554" s="13"/>
    </row>
    <row r="1555" spans="2:5" x14ac:dyDescent="0.2">
      <c r="B1555" t="s">
        <v>1076</v>
      </c>
      <c r="C1555" t="s">
        <v>1077</v>
      </c>
      <c r="D1555" s="13">
        <f>_xll.EditDistance($C$3,C1555,2)</f>
        <v>10</v>
      </c>
      <c r="E1555" s="13"/>
    </row>
    <row r="1556" spans="2:5" x14ac:dyDescent="0.2">
      <c r="B1556" t="s">
        <v>1172</v>
      </c>
      <c r="C1556" t="s">
        <v>1173</v>
      </c>
      <c r="D1556" s="13">
        <f>_xll.EditDistance($C$3,C1556,2)</f>
        <v>10</v>
      </c>
      <c r="E1556" s="13"/>
    </row>
    <row r="1557" spans="2:5" x14ac:dyDescent="0.2">
      <c r="B1557" t="s">
        <v>1226</v>
      </c>
      <c r="C1557" t="s">
        <v>1227</v>
      </c>
      <c r="D1557" s="13">
        <f>_xll.EditDistance($C$3,C1557,2)</f>
        <v>10</v>
      </c>
      <c r="E1557" s="13"/>
    </row>
    <row r="1558" spans="2:5" x14ac:dyDescent="0.2">
      <c r="B1558" t="s">
        <v>1260</v>
      </c>
      <c r="C1558" t="s">
        <v>1261</v>
      </c>
      <c r="D1558" s="13">
        <f>_xll.EditDistance($C$3,C1558,2)</f>
        <v>10</v>
      </c>
      <c r="E1558" s="13"/>
    </row>
    <row r="1559" spans="2:5" x14ac:dyDescent="0.2">
      <c r="B1559" t="s">
        <v>1441</v>
      </c>
      <c r="C1559" t="s">
        <v>1442</v>
      </c>
      <c r="D1559" s="13">
        <f>_xll.EditDistance($C$3,C1559,2)</f>
        <v>10</v>
      </c>
      <c r="E1559" s="13"/>
    </row>
    <row r="1560" spans="2:5" x14ac:dyDescent="0.2">
      <c r="B1560" t="s">
        <v>1460</v>
      </c>
      <c r="C1560" t="s">
        <v>1461</v>
      </c>
      <c r="D1560" s="13">
        <f>_xll.EditDistance($C$3,C1560,2)</f>
        <v>10</v>
      </c>
      <c r="E1560" s="13"/>
    </row>
    <row r="1561" spans="2:5" x14ac:dyDescent="0.2">
      <c r="B1561" t="s">
        <v>1499</v>
      </c>
      <c r="C1561" t="s">
        <v>1500</v>
      </c>
      <c r="D1561" s="13">
        <f>_xll.EditDistance($C$3,C1561,2)</f>
        <v>10</v>
      </c>
      <c r="E1561" s="13"/>
    </row>
    <row r="1562" spans="2:5" x14ac:dyDescent="0.2">
      <c r="B1562" t="s">
        <v>1542</v>
      </c>
      <c r="C1562" t="s">
        <v>1543</v>
      </c>
      <c r="D1562" s="13">
        <f>_xll.EditDistance($C$3,C1562,2)</f>
        <v>10</v>
      </c>
      <c r="E1562" s="13"/>
    </row>
    <row r="1563" spans="2:5" x14ac:dyDescent="0.2">
      <c r="B1563" t="s">
        <v>1570</v>
      </c>
      <c r="C1563" t="s">
        <v>1571</v>
      </c>
      <c r="D1563" s="13">
        <f>_xll.EditDistance($C$3,C1563,2)</f>
        <v>10</v>
      </c>
      <c r="E1563" s="13"/>
    </row>
    <row r="1564" spans="2:5" x14ac:dyDescent="0.2">
      <c r="B1564" t="s">
        <v>1572</v>
      </c>
      <c r="C1564" t="s">
        <v>1573</v>
      </c>
      <c r="D1564" s="13">
        <f>_xll.EditDistance($C$3,C1564,2)</f>
        <v>20</v>
      </c>
      <c r="E1564" s="13"/>
    </row>
    <row r="1565" spans="2:5" x14ac:dyDescent="0.2">
      <c r="B1565" t="s">
        <v>1624</v>
      </c>
      <c r="C1565" t="s">
        <v>1625</v>
      </c>
      <c r="D1565" s="13">
        <f>_xll.EditDistance($C$3,C1565,2)</f>
        <v>20</v>
      </c>
      <c r="E1565" s="13"/>
    </row>
    <row r="1566" spans="2:5" x14ac:dyDescent="0.2">
      <c r="B1566" t="s">
        <v>1677</v>
      </c>
      <c r="C1566" t="s">
        <v>1678</v>
      </c>
      <c r="D1566" s="13">
        <f>_xll.EditDistance($C$3,C1566,2)</f>
        <v>10</v>
      </c>
      <c r="E1566" s="13"/>
    </row>
    <row r="1567" spans="2:5" x14ac:dyDescent="0.2">
      <c r="B1567" t="s">
        <v>1691</v>
      </c>
      <c r="C1567" t="s">
        <v>1692</v>
      </c>
      <c r="D1567" s="13">
        <f>_xll.EditDistance($C$3,C1567,2)</f>
        <v>10</v>
      </c>
      <c r="E1567" s="13"/>
    </row>
    <row r="1568" spans="2:5" x14ac:dyDescent="0.2">
      <c r="B1568" t="s">
        <v>1737</v>
      </c>
      <c r="C1568" t="s">
        <v>1739</v>
      </c>
      <c r="D1568" s="13">
        <f>_xll.EditDistance($C$3,C1568,2)</f>
        <v>10</v>
      </c>
      <c r="E1568" s="13"/>
    </row>
    <row r="1569" spans="2:5" x14ac:dyDescent="0.2">
      <c r="B1569" t="s">
        <v>1744</v>
      </c>
      <c r="C1569" t="s">
        <v>1745</v>
      </c>
      <c r="D1569" s="13">
        <f>_xll.EditDistance($C$3,C1569,2)</f>
        <v>10</v>
      </c>
      <c r="E1569" s="13"/>
    </row>
    <row r="1570" spans="2:5" x14ac:dyDescent="0.2">
      <c r="B1570" t="s">
        <v>1756</v>
      </c>
      <c r="C1570" t="s">
        <v>1757</v>
      </c>
      <c r="D1570" s="13">
        <f>_xll.EditDistance($C$3,C1570,2)</f>
        <v>10</v>
      </c>
      <c r="E1570" s="13"/>
    </row>
    <row r="1571" spans="2:5" x14ac:dyDescent="0.2">
      <c r="B1571" t="s">
        <v>1758</v>
      </c>
      <c r="C1571" t="s">
        <v>1759</v>
      </c>
      <c r="D1571" s="13">
        <f>_xll.EditDistance($C$3,C1571,2)</f>
        <v>10</v>
      </c>
      <c r="E1571" s="13"/>
    </row>
    <row r="1572" spans="2:5" x14ac:dyDescent="0.2">
      <c r="B1572" t="s">
        <v>1762</v>
      </c>
      <c r="C1572" t="s">
        <v>1763</v>
      </c>
      <c r="D1572" s="13">
        <f>_xll.EditDistance($C$3,C1572,2)</f>
        <v>10</v>
      </c>
      <c r="E1572" s="13"/>
    </row>
    <row r="1573" spans="2:5" x14ac:dyDescent="0.2">
      <c r="B1573" t="s">
        <v>1871</v>
      </c>
      <c r="C1573" t="s">
        <v>1872</v>
      </c>
      <c r="D1573" s="13">
        <f>_xll.EditDistance($C$3,C1573,2)</f>
        <v>20</v>
      </c>
      <c r="E1573" s="13"/>
    </row>
    <row r="1574" spans="2:5" x14ac:dyDescent="0.2">
      <c r="B1574" t="s">
        <v>1901</v>
      </c>
      <c r="C1574" t="s">
        <v>1902</v>
      </c>
      <c r="D1574" s="13">
        <f>_xll.EditDistance($C$3,C1574,2)</f>
        <v>10</v>
      </c>
      <c r="E1574" s="13"/>
    </row>
    <row r="1575" spans="2:5" x14ac:dyDescent="0.2">
      <c r="B1575" t="s">
        <v>1903</v>
      </c>
      <c r="C1575" t="s">
        <v>1904</v>
      </c>
      <c r="D1575" s="13">
        <f>_xll.EditDistance($C$3,C1575,2)</f>
        <v>10</v>
      </c>
      <c r="E1575" s="13"/>
    </row>
    <row r="1576" spans="2:5" x14ac:dyDescent="0.2">
      <c r="B1576" t="s">
        <v>1931</v>
      </c>
      <c r="C1576" t="s">
        <v>1932</v>
      </c>
      <c r="D1576" s="13">
        <f>_xll.EditDistance($C$3,C1576,2)</f>
        <v>10</v>
      </c>
      <c r="E1576" s="13"/>
    </row>
    <row r="1577" spans="2:5" x14ac:dyDescent="0.2">
      <c r="B1577" t="s">
        <v>1942</v>
      </c>
      <c r="C1577" t="s">
        <v>1943</v>
      </c>
      <c r="D1577" s="13">
        <f>_xll.EditDistance($C$3,C1577,2)</f>
        <v>10</v>
      </c>
      <c r="E1577" s="13"/>
    </row>
    <row r="1578" spans="2:5" x14ac:dyDescent="0.2">
      <c r="B1578" t="s">
        <v>1984</v>
      </c>
      <c r="C1578" t="s">
        <v>1985</v>
      </c>
      <c r="D1578" s="13">
        <f>_xll.EditDistance($C$3,C1578,2)</f>
        <v>10</v>
      </c>
      <c r="E1578" s="13"/>
    </row>
    <row r="1579" spans="2:5" x14ac:dyDescent="0.2">
      <c r="B1579" t="s">
        <v>1992</v>
      </c>
      <c r="C1579" t="s">
        <v>1993</v>
      </c>
      <c r="D1579" s="13">
        <f>_xll.EditDistance($C$3,C1579,2)</f>
        <v>10</v>
      </c>
      <c r="E1579" s="13"/>
    </row>
    <row r="1580" spans="2:5" x14ac:dyDescent="0.2">
      <c r="B1580" t="s">
        <v>2026</v>
      </c>
      <c r="C1580" t="s">
        <v>2027</v>
      </c>
      <c r="D1580" s="13">
        <f>_xll.EditDistance($C$3,C1580,2)</f>
        <v>10</v>
      </c>
      <c r="E1580" s="13"/>
    </row>
    <row r="1581" spans="2:5" x14ac:dyDescent="0.2">
      <c r="B1581" t="s">
        <v>2068</v>
      </c>
      <c r="C1581" t="s">
        <v>2069</v>
      </c>
      <c r="D1581" s="13">
        <f>_xll.EditDistance($C$3,C1581,2)</f>
        <v>10</v>
      </c>
      <c r="E1581" s="13"/>
    </row>
    <row r="1582" spans="2:5" x14ac:dyDescent="0.2">
      <c r="B1582" t="s">
        <v>2078</v>
      </c>
      <c r="C1582" t="s">
        <v>2079</v>
      </c>
      <c r="D1582" s="13">
        <f>_xll.EditDistance($C$3,C1582,2)</f>
        <v>10</v>
      </c>
      <c r="E1582" s="13"/>
    </row>
    <row r="1583" spans="2:5" x14ac:dyDescent="0.2">
      <c r="B1583" t="s">
        <v>2137</v>
      </c>
      <c r="C1583" t="s">
        <v>2138</v>
      </c>
      <c r="D1583" s="13">
        <f>_xll.EditDistance($C$3,C1583,2)</f>
        <v>20</v>
      </c>
      <c r="E1583" s="13"/>
    </row>
    <row r="1584" spans="2:5" x14ac:dyDescent="0.2">
      <c r="B1584" t="s">
        <v>2162</v>
      </c>
      <c r="C1584" t="s">
        <v>2163</v>
      </c>
      <c r="D1584" s="13">
        <f>_xll.EditDistance($C$3,C1584,2)</f>
        <v>10</v>
      </c>
      <c r="E1584" s="13"/>
    </row>
    <row r="1585" spans="2:5" x14ac:dyDescent="0.2">
      <c r="B1585" t="s">
        <v>2196</v>
      </c>
      <c r="C1585" t="s">
        <v>2197</v>
      </c>
      <c r="D1585" s="13">
        <f>_xll.EditDistance($C$3,C1585,2)</f>
        <v>20</v>
      </c>
      <c r="E1585" s="13"/>
    </row>
    <row r="1586" spans="2:5" x14ac:dyDescent="0.2">
      <c r="B1586" t="s">
        <v>2202</v>
      </c>
      <c r="C1586" t="s">
        <v>2203</v>
      </c>
      <c r="D1586" s="13">
        <f>_xll.EditDistance($C$3,C1586,2)</f>
        <v>10</v>
      </c>
      <c r="E1586" s="13"/>
    </row>
    <row r="1587" spans="2:5" x14ac:dyDescent="0.2">
      <c r="B1587" t="s">
        <v>2235</v>
      </c>
      <c r="C1587" t="s">
        <v>2236</v>
      </c>
      <c r="D1587" s="13">
        <f>_xll.EditDistance($C$3,C1587,2)</f>
        <v>10</v>
      </c>
      <c r="E1587" s="13"/>
    </row>
    <row r="1588" spans="2:5" x14ac:dyDescent="0.2">
      <c r="B1588" t="s">
        <v>2249</v>
      </c>
      <c r="C1588" t="s">
        <v>2250</v>
      </c>
      <c r="D1588" s="13">
        <f>_xll.EditDistance($C$3,C1588,2)</f>
        <v>10</v>
      </c>
      <c r="E1588" s="13"/>
    </row>
    <row r="1589" spans="2:5" x14ac:dyDescent="0.2">
      <c r="B1589" t="s">
        <v>2309</v>
      </c>
      <c r="C1589" t="s">
        <v>2310</v>
      </c>
      <c r="D1589" s="13">
        <f>_xll.EditDistance($C$3,C1589,2)</f>
        <v>10</v>
      </c>
      <c r="E1589" s="13"/>
    </row>
    <row r="1590" spans="2:5" x14ac:dyDescent="0.2">
      <c r="B1590" t="s">
        <v>2340</v>
      </c>
      <c r="C1590" t="s">
        <v>2341</v>
      </c>
      <c r="D1590" s="13">
        <f>_xll.EditDistance($C$3,C1590,2)</f>
        <v>10</v>
      </c>
      <c r="E1590" s="13"/>
    </row>
    <row r="1591" spans="2:5" x14ac:dyDescent="0.2">
      <c r="B1591" s="22" t="s">
        <v>2345</v>
      </c>
      <c r="C1591" t="s">
        <v>2346</v>
      </c>
      <c r="D1591" s="13">
        <f>_xll.EditDistance($C$3,C1591,2)</f>
        <v>10</v>
      </c>
      <c r="E1591" s="13"/>
    </row>
    <row r="1592" spans="2:5" x14ac:dyDescent="0.2">
      <c r="B1592" t="s">
        <v>2361</v>
      </c>
      <c r="C1592" t="s">
        <v>2362</v>
      </c>
      <c r="D1592" s="13">
        <f>_xll.EditDistance($C$3,C1592,2)</f>
        <v>20</v>
      </c>
      <c r="E1592" s="13"/>
    </row>
    <row r="1593" spans="2:5" x14ac:dyDescent="0.2">
      <c r="B1593" t="s">
        <v>2422</v>
      </c>
      <c r="C1593" t="s">
        <v>2423</v>
      </c>
      <c r="D1593" s="13">
        <f>_xll.EditDistance($C$3,C1593,2)</f>
        <v>10</v>
      </c>
      <c r="E1593" s="13"/>
    </row>
    <row r="1594" spans="2:5" x14ac:dyDescent="0.2">
      <c r="B1594" t="s">
        <v>2442</v>
      </c>
      <c r="C1594" t="s">
        <v>2443</v>
      </c>
      <c r="D1594" s="13">
        <f>_xll.EditDistance($C$3,C1594,2)</f>
        <v>10</v>
      </c>
      <c r="E1594" s="13"/>
    </row>
    <row r="1595" spans="2:5" x14ac:dyDescent="0.2">
      <c r="B1595" t="s">
        <v>2466</v>
      </c>
      <c r="C1595" t="s">
        <v>2467</v>
      </c>
      <c r="D1595" s="13">
        <f>_xll.EditDistance($C$3,C1595,2)</f>
        <v>20</v>
      </c>
      <c r="E1595" s="13"/>
    </row>
    <row r="1596" spans="2:5" x14ac:dyDescent="0.2">
      <c r="B1596" s="22" t="s">
        <v>2496</v>
      </c>
      <c r="C1596" t="s">
        <v>2499</v>
      </c>
      <c r="D1596" s="13">
        <f>_xll.EditDistance($C$3,C1596,2)</f>
        <v>10</v>
      </c>
      <c r="E1596" s="13"/>
    </row>
    <row r="1597" spans="2:5" x14ac:dyDescent="0.2">
      <c r="B1597" t="s">
        <v>2533</v>
      </c>
      <c r="C1597" t="s">
        <v>2534</v>
      </c>
      <c r="D1597" s="13">
        <f>_xll.EditDistance($C$3,C1597,2)</f>
        <v>10</v>
      </c>
      <c r="E1597" s="13"/>
    </row>
    <row r="1598" spans="2:5" x14ac:dyDescent="0.2">
      <c r="B1598" t="s">
        <v>2554</v>
      </c>
      <c r="C1598" t="s">
        <v>2555</v>
      </c>
      <c r="D1598" s="13">
        <f>_xll.EditDistance($C$3,C1598,2)</f>
        <v>10</v>
      </c>
      <c r="E1598" s="13"/>
    </row>
    <row r="1599" spans="2:5" x14ac:dyDescent="0.2">
      <c r="B1599" t="s">
        <v>2674</v>
      </c>
      <c r="C1599" t="s">
        <v>2675</v>
      </c>
      <c r="D1599" s="13">
        <f>_xll.EditDistance($C$3,C1599,2)</f>
        <v>10</v>
      </c>
      <c r="E1599" s="13"/>
    </row>
    <row r="1600" spans="2:5" x14ac:dyDescent="0.2">
      <c r="B1600" t="s">
        <v>2719</v>
      </c>
      <c r="C1600" t="s">
        <v>2720</v>
      </c>
      <c r="D1600" s="13">
        <f>_xll.EditDistance($C$3,C1600,2)</f>
        <v>10</v>
      </c>
      <c r="E1600" s="13"/>
    </row>
    <row r="1601" spans="2:5" x14ac:dyDescent="0.2">
      <c r="B1601" t="s">
        <v>2733</v>
      </c>
      <c r="C1601" t="s">
        <v>2734</v>
      </c>
      <c r="D1601" s="13">
        <f>_xll.EditDistance($C$3,C1601,2)</f>
        <v>10</v>
      </c>
      <c r="E1601" s="13"/>
    </row>
    <row r="1602" spans="2:5" x14ac:dyDescent="0.2">
      <c r="B1602" t="s">
        <v>2743</v>
      </c>
      <c r="C1602" t="s">
        <v>2744</v>
      </c>
      <c r="D1602" s="13">
        <f>_xll.EditDistance($C$3,C1602,2)</f>
        <v>10</v>
      </c>
      <c r="E1602" s="13"/>
    </row>
    <row r="1603" spans="2:5" x14ac:dyDescent="0.2">
      <c r="B1603" t="s">
        <v>2780</v>
      </c>
      <c r="C1603" t="s">
        <v>2781</v>
      </c>
      <c r="D1603" s="13">
        <f>_xll.EditDistance($C$3,C1603,2)</f>
        <v>10</v>
      </c>
      <c r="E1603" s="13"/>
    </row>
    <row r="1604" spans="2:5" x14ac:dyDescent="0.2">
      <c r="B1604" t="s">
        <v>2797</v>
      </c>
      <c r="C1604" t="s">
        <v>2798</v>
      </c>
      <c r="D1604" s="13">
        <f>_xll.EditDistance($C$3,C1604,2)</f>
        <v>10</v>
      </c>
      <c r="E1604" s="13"/>
    </row>
    <row r="1605" spans="2:5" x14ac:dyDescent="0.2">
      <c r="B1605" t="s">
        <v>2817</v>
      </c>
      <c r="C1605" t="s">
        <v>2818</v>
      </c>
      <c r="D1605" s="13">
        <f>_xll.EditDistance($C$3,C1605,2)</f>
        <v>10</v>
      </c>
      <c r="E1605" s="13"/>
    </row>
    <row r="1606" spans="2:5" x14ac:dyDescent="0.2">
      <c r="B1606" t="s">
        <v>2857</v>
      </c>
      <c r="C1606" t="s">
        <v>2858</v>
      </c>
      <c r="D1606" s="13">
        <f>_xll.EditDistance($C$3,C1606,2)</f>
        <v>10</v>
      </c>
      <c r="E1606" s="13"/>
    </row>
    <row r="1607" spans="2:5" x14ac:dyDescent="0.2">
      <c r="B1607" s="22" t="s">
        <v>2947</v>
      </c>
      <c r="C1607" t="s">
        <v>2948</v>
      </c>
      <c r="D1607" s="13">
        <f>_xll.EditDistance($C$3,C1607,2)</f>
        <v>10</v>
      </c>
      <c r="E1607" s="13"/>
    </row>
    <row r="1608" spans="2:5" x14ac:dyDescent="0.2">
      <c r="B1608" t="s">
        <v>2992</v>
      </c>
      <c r="C1608" t="s">
        <v>2993</v>
      </c>
      <c r="D1608" s="13">
        <f>_xll.EditDistance($C$3,C1608,2)</f>
        <v>10</v>
      </c>
      <c r="E1608" s="13"/>
    </row>
    <row r="1609" spans="2:5" x14ac:dyDescent="0.2">
      <c r="B1609" t="s">
        <v>2994</v>
      </c>
      <c r="C1609" t="s">
        <v>2995</v>
      </c>
      <c r="D1609" s="13">
        <f>_xll.EditDistance($C$3,C1609,2)</f>
        <v>10</v>
      </c>
      <c r="E1609" s="13"/>
    </row>
    <row r="1610" spans="2:5" x14ac:dyDescent="0.2">
      <c r="B1610" t="s">
        <v>2998</v>
      </c>
      <c r="C1610" t="s">
        <v>2999</v>
      </c>
      <c r="D1610" s="13">
        <f>_xll.EditDistance($C$3,C1610,2)</f>
        <v>10</v>
      </c>
      <c r="E1610" s="13"/>
    </row>
    <row r="1611" spans="2:5" x14ac:dyDescent="0.2">
      <c r="B1611" t="s">
        <v>3012</v>
      </c>
      <c r="C1611" t="s">
        <v>3013</v>
      </c>
      <c r="D1611" s="13">
        <f>_xll.EditDistance($C$3,C1611,2)</f>
        <v>10</v>
      </c>
      <c r="E1611" s="13"/>
    </row>
    <row r="1612" spans="2:5" x14ac:dyDescent="0.2">
      <c r="B1612" t="s">
        <v>3035</v>
      </c>
      <c r="C1612" t="s">
        <v>3036</v>
      </c>
      <c r="D1612" s="13">
        <f>_xll.EditDistance($C$3,C1612,2)</f>
        <v>10</v>
      </c>
      <c r="E1612" s="13"/>
    </row>
    <row r="1613" spans="2:5" x14ac:dyDescent="0.2">
      <c r="B1613" t="s">
        <v>3056</v>
      </c>
      <c r="C1613" t="s">
        <v>3057</v>
      </c>
      <c r="D1613" s="13">
        <f>_xll.EditDistance($C$3,C1613,2)</f>
        <v>20</v>
      </c>
      <c r="E1613" s="13"/>
    </row>
    <row r="1614" spans="2:5" x14ac:dyDescent="0.2">
      <c r="B1614" t="s">
        <v>3085</v>
      </c>
      <c r="C1614" t="s">
        <v>3086</v>
      </c>
      <c r="D1614" s="13">
        <f>_xll.EditDistance($C$3,C1614,2)</f>
        <v>10</v>
      </c>
      <c r="E1614" s="13"/>
    </row>
    <row r="1615" spans="2:5" x14ac:dyDescent="0.2">
      <c r="B1615" t="s">
        <v>3087</v>
      </c>
      <c r="C1615" t="s">
        <v>3088</v>
      </c>
      <c r="D1615" s="13">
        <f>_xll.EditDistance($C$3,C1615,2)</f>
        <v>10</v>
      </c>
      <c r="E1615" s="13"/>
    </row>
    <row r="1616" spans="2:5" x14ac:dyDescent="0.2">
      <c r="B1616" t="s">
        <v>3130</v>
      </c>
      <c r="C1616" t="s">
        <v>3131</v>
      </c>
      <c r="D1616" s="13">
        <f>_xll.EditDistance($C$3,C1616,2)</f>
        <v>20</v>
      </c>
      <c r="E1616" s="13"/>
    </row>
    <row r="1617" spans="2:5" x14ac:dyDescent="0.2">
      <c r="B1617" t="s">
        <v>3149</v>
      </c>
      <c r="C1617" t="s">
        <v>3150</v>
      </c>
      <c r="D1617" s="13">
        <f>_xll.EditDistance($C$3,C1617,2)</f>
        <v>10</v>
      </c>
      <c r="E1617" s="13"/>
    </row>
    <row r="1618" spans="2:5" x14ac:dyDescent="0.2">
      <c r="B1618" t="s">
        <v>3155</v>
      </c>
      <c r="C1618" t="s">
        <v>3156</v>
      </c>
      <c r="D1618" s="13">
        <f>_xll.EditDistance($C$3,C1618,2)</f>
        <v>10</v>
      </c>
      <c r="E1618" s="13"/>
    </row>
    <row r="1619" spans="2:5" x14ac:dyDescent="0.2">
      <c r="B1619" t="s">
        <v>3231</v>
      </c>
      <c r="C1619" t="s">
        <v>3232</v>
      </c>
      <c r="D1619" s="13">
        <f>_xll.EditDistance($C$3,C1619,2)</f>
        <v>10</v>
      </c>
      <c r="E1619" s="13"/>
    </row>
    <row r="1620" spans="2:5" x14ac:dyDescent="0.2">
      <c r="B1620" t="s">
        <v>3282</v>
      </c>
      <c r="C1620" t="s">
        <v>3283</v>
      </c>
      <c r="D1620" s="13">
        <f>_xll.EditDistance($C$3,C1620,2)</f>
        <v>10</v>
      </c>
      <c r="E1620" s="13"/>
    </row>
    <row r="1621" spans="2:5" x14ac:dyDescent="0.2">
      <c r="B1621" t="s">
        <v>3286</v>
      </c>
      <c r="C1621" t="s">
        <v>3287</v>
      </c>
      <c r="D1621" s="13">
        <f>_xll.EditDistance($C$3,C1621,2)</f>
        <v>10</v>
      </c>
      <c r="E1621" s="13"/>
    </row>
    <row r="1622" spans="2:5" x14ac:dyDescent="0.2">
      <c r="B1622" t="s">
        <v>3405</v>
      </c>
      <c r="C1622" t="s">
        <v>3406</v>
      </c>
      <c r="D1622" s="13">
        <f>_xll.EditDistance($C$3,C1622,2)</f>
        <v>10</v>
      </c>
      <c r="E1622" s="13"/>
    </row>
    <row r="1623" spans="2:5" x14ac:dyDescent="0.2">
      <c r="B1623" t="s">
        <v>3407</v>
      </c>
      <c r="C1623" t="s">
        <v>3408</v>
      </c>
      <c r="D1623" s="13">
        <f>_xll.EditDistance($C$3,C1623,2)</f>
        <v>10</v>
      </c>
      <c r="E1623" s="13"/>
    </row>
    <row r="1624" spans="2:5" x14ac:dyDescent="0.2">
      <c r="B1624" t="s">
        <v>3570</v>
      </c>
      <c r="C1624" t="s">
        <v>3571</v>
      </c>
      <c r="D1624" s="13">
        <f>_xll.EditDistance($C$3,C1624,2)</f>
        <v>10</v>
      </c>
      <c r="E1624" s="13"/>
    </row>
    <row r="1625" spans="2:5" x14ac:dyDescent="0.2">
      <c r="B1625" t="s">
        <v>3618</v>
      </c>
      <c r="C1625" t="s">
        <v>3619</v>
      </c>
      <c r="D1625" s="13">
        <f>_xll.EditDistance($C$3,C1625,2)</f>
        <v>10</v>
      </c>
      <c r="E1625" s="13"/>
    </row>
    <row r="1626" spans="2:5" x14ac:dyDescent="0.2">
      <c r="B1626" t="s">
        <v>3620</v>
      </c>
      <c r="C1626" t="s">
        <v>3621</v>
      </c>
      <c r="D1626" s="13">
        <f>_xll.EditDistance($C$3,C1626,2)</f>
        <v>10</v>
      </c>
      <c r="E1626" s="13"/>
    </row>
    <row r="1627" spans="2:5" x14ac:dyDescent="0.2">
      <c r="B1627" t="s">
        <v>3642</v>
      </c>
      <c r="C1627" t="s">
        <v>3643</v>
      </c>
      <c r="D1627" s="13">
        <f>_xll.EditDistance($C$3,C1627,2)</f>
        <v>10</v>
      </c>
      <c r="E1627" s="13"/>
    </row>
    <row r="1628" spans="2:5" x14ac:dyDescent="0.2">
      <c r="B1628" t="s">
        <v>3652</v>
      </c>
      <c r="C1628" t="s">
        <v>3653</v>
      </c>
      <c r="D1628" s="13">
        <f>_xll.EditDistance($C$3,C1628,2)</f>
        <v>10</v>
      </c>
      <c r="E1628" s="13"/>
    </row>
    <row r="1629" spans="2:5" x14ac:dyDescent="0.2">
      <c r="B1629" s="22" t="s">
        <v>3667</v>
      </c>
      <c r="C1629" t="s">
        <v>3668</v>
      </c>
      <c r="D1629" s="13">
        <f>_xll.EditDistance($C$3,C1629,2)</f>
        <v>10</v>
      </c>
      <c r="E1629" s="13"/>
    </row>
    <row r="1630" spans="2:5" x14ac:dyDescent="0.2">
      <c r="B1630" t="s">
        <v>3726</v>
      </c>
      <c r="C1630" t="s">
        <v>3727</v>
      </c>
      <c r="D1630" s="13">
        <f>_xll.EditDistance($C$3,C1630,2)</f>
        <v>10</v>
      </c>
      <c r="E1630" s="13"/>
    </row>
    <row r="1631" spans="2:5" x14ac:dyDescent="0.2">
      <c r="B1631" t="s">
        <v>3744</v>
      </c>
      <c r="C1631" t="s">
        <v>3745</v>
      </c>
      <c r="D1631" s="13">
        <f>_xll.EditDistance($C$3,C1631,2)</f>
        <v>10</v>
      </c>
      <c r="E1631" s="13"/>
    </row>
    <row r="1632" spans="2:5" x14ac:dyDescent="0.2">
      <c r="B1632" t="s">
        <v>3780</v>
      </c>
      <c r="C1632" t="s">
        <v>3781</v>
      </c>
      <c r="D1632" s="13">
        <f>_xll.EditDistance($C$3,C1632,2)</f>
        <v>10</v>
      </c>
      <c r="E1632" s="13"/>
    </row>
    <row r="1633" spans="2:5" x14ac:dyDescent="0.2">
      <c r="B1633" t="s">
        <v>3817</v>
      </c>
      <c r="C1633" t="s">
        <v>3818</v>
      </c>
      <c r="D1633" s="13">
        <f>_xll.EditDistance($C$3,C1633,2)</f>
        <v>10</v>
      </c>
      <c r="E1633" s="13"/>
    </row>
    <row r="1634" spans="2:5" x14ac:dyDescent="0.2">
      <c r="B1634" t="s">
        <v>3858</v>
      </c>
      <c r="C1634" t="s">
        <v>3859</v>
      </c>
      <c r="D1634" s="13">
        <f>_xll.EditDistance($C$3,C1634,2)</f>
        <v>10</v>
      </c>
      <c r="E1634" s="13"/>
    </row>
    <row r="1635" spans="2:5" x14ac:dyDescent="0.2">
      <c r="B1635" s="22" t="s">
        <v>3878</v>
      </c>
      <c r="C1635" t="s">
        <v>3879</v>
      </c>
      <c r="D1635" s="13">
        <f>_xll.EditDistance($C$3,C1635,2)</f>
        <v>10</v>
      </c>
      <c r="E1635" s="13"/>
    </row>
    <row r="1636" spans="2:5" x14ac:dyDescent="0.2">
      <c r="B1636" t="s">
        <v>3898</v>
      </c>
      <c r="C1636" t="s">
        <v>3899</v>
      </c>
      <c r="D1636" s="13">
        <f>_xll.EditDistance($C$3,C1636,2)</f>
        <v>10</v>
      </c>
      <c r="E1636" s="13"/>
    </row>
    <row r="1637" spans="2:5" x14ac:dyDescent="0.2">
      <c r="B1637" s="22" t="s">
        <v>3900</v>
      </c>
      <c r="C1637" t="s">
        <v>3901</v>
      </c>
      <c r="D1637" s="13">
        <f>_xll.EditDistance($C$3,C1637,2)</f>
        <v>10</v>
      </c>
      <c r="E1637" s="13"/>
    </row>
    <row r="1638" spans="2:5" x14ac:dyDescent="0.2">
      <c r="B1638" t="s">
        <v>3936</v>
      </c>
      <c r="C1638" t="s">
        <v>3937</v>
      </c>
      <c r="D1638" s="13">
        <f>_xll.EditDistance($C$3,C1638,2)</f>
        <v>20</v>
      </c>
      <c r="E1638" s="13"/>
    </row>
    <row r="1639" spans="2:5" x14ac:dyDescent="0.2">
      <c r="B1639" t="s">
        <v>3965</v>
      </c>
      <c r="C1639" t="s">
        <v>3966</v>
      </c>
      <c r="D1639" s="13">
        <f>_xll.EditDistance($C$3,C1639,2)</f>
        <v>10</v>
      </c>
      <c r="E1639" s="13"/>
    </row>
    <row r="1640" spans="2:5" x14ac:dyDescent="0.2">
      <c r="B1640" t="s">
        <v>3979</v>
      </c>
      <c r="C1640" t="s">
        <v>3980</v>
      </c>
      <c r="D1640" s="13">
        <f>_xll.EditDistance($C$3,C1640,2)</f>
        <v>10</v>
      </c>
      <c r="E1640" s="13"/>
    </row>
    <row r="1641" spans="2:5" x14ac:dyDescent="0.2">
      <c r="B1641" t="s">
        <v>4042</v>
      </c>
      <c r="C1641" t="s">
        <v>4043</v>
      </c>
      <c r="D1641" s="13">
        <f>_xll.EditDistance($C$3,C1641,2)</f>
        <v>10</v>
      </c>
      <c r="E1641" s="13"/>
    </row>
    <row r="1642" spans="2:5" x14ac:dyDescent="0.2">
      <c r="B1642" t="s">
        <v>4046</v>
      </c>
      <c r="C1642" t="s">
        <v>4047</v>
      </c>
      <c r="D1642" s="13">
        <f>_xll.EditDistance($C$3,C1642,2)</f>
        <v>10</v>
      </c>
      <c r="E1642" s="13"/>
    </row>
    <row r="1643" spans="2:5" x14ac:dyDescent="0.2">
      <c r="B1643" t="s">
        <v>4057</v>
      </c>
      <c r="C1643" t="s">
        <v>4058</v>
      </c>
      <c r="D1643" s="13">
        <f>_xll.EditDistance($C$3,C1643,2)</f>
        <v>10</v>
      </c>
      <c r="E1643" s="13"/>
    </row>
    <row r="1644" spans="2:5" x14ac:dyDescent="0.2">
      <c r="B1644" t="s">
        <v>4059</v>
      </c>
      <c r="C1644" t="s">
        <v>4060</v>
      </c>
      <c r="D1644" s="13">
        <f>_xll.EditDistance($C$3,C1644,2)</f>
        <v>10</v>
      </c>
      <c r="E1644" s="13"/>
    </row>
    <row r="1645" spans="2:5" x14ac:dyDescent="0.2">
      <c r="B1645" t="s">
        <v>4071</v>
      </c>
      <c r="C1645" t="s">
        <v>4072</v>
      </c>
      <c r="D1645" s="13">
        <f>_xll.EditDistance($C$3,C1645,2)</f>
        <v>10</v>
      </c>
      <c r="E1645" s="13"/>
    </row>
    <row r="1646" spans="2:5" x14ac:dyDescent="0.2">
      <c r="B1646" t="s">
        <v>4149</v>
      </c>
      <c r="C1646" t="s">
        <v>4150</v>
      </c>
      <c r="D1646" s="13">
        <f>_xll.EditDistance($C$3,C1646,2)</f>
        <v>10</v>
      </c>
      <c r="E1646" s="13"/>
    </row>
    <row r="1647" spans="2:5" x14ac:dyDescent="0.2">
      <c r="B1647" t="s">
        <v>4161</v>
      </c>
      <c r="C1647" t="s">
        <v>4162</v>
      </c>
      <c r="D1647" s="13">
        <f>_xll.EditDistance($C$3,C1647,2)</f>
        <v>10</v>
      </c>
      <c r="E1647" s="13"/>
    </row>
    <row r="1648" spans="2:5" x14ac:dyDescent="0.2">
      <c r="B1648" t="s">
        <v>4183</v>
      </c>
      <c r="C1648" t="s">
        <v>4184</v>
      </c>
      <c r="D1648" s="13">
        <f>_xll.EditDistance($C$3,C1648,2)</f>
        <v>10</v>
      </c>
      <c r="E1648" s="13"/>
    </row>
    <row r="1649" spans="2:5" x14ac:dyDescent="0.2">
      <c r="B1649" t="s">
        <v>4207</v>
      </c>
      <c r="C1649" t="s">
        <v>4208</v>
      </c>
      <c r="D1649" s="13">
        <f>_xll.EditDistance($C$3,C1649,2)</f>
        <v>10</v>
      </c>
      <c r="E1649" s="13"/>
    </row>
    <row r="1650" spans="2:5" x14ac:dyDescent="0.2">
      <c r="B1650" t="s">
        <v>4235</v>
      </c>
      <c r="C1650" t="s">
        <v>4236</v>
      </c>
      <c r="D1650" s="13">
        <f>_xll.EditDistance($C$3,C1650,2)</f>
        <v>10</v>
      </c>
      <c r="E1650" s="13"/>
    </row>
    <row r="1651" spans="2:5" x14ac:dyDescent="0.2">
      <c r="B1651" t="s">
        <v>4254</v>
      </c>
      <c r="C1651" t="s">
        <v>4255</v>
      </c>
      <c r="D1651" s="13">
        <f>_xll.EditDistance($C$3,C1651,2)</f>
        <v>10</v>
      </c>
      <c r="E1651" s="13"/>
    </row>
    <row r="1652" spans="2:5" x14ac:dyDescent="0.2">
      <c r="B1652" t="s">
        <v>4268</v>
      </c>
      <c r="C1652" t="s">
        <v>4269</v>
      </c>
      <c r="D1652" s="13">
        <f>_xll.EditDistance($C$3,C1652,2)</f>
        <v>10</v>
      </c>
      <c r="E1652" s="13"/>
    </row>
    <row r="1653" spans="2:5" x14ac:dyDescent="0.2">
      <c r="B1653" t="s">
        <v>4300</v>
      </c>
      <c r="C1653" t="s">
        <v>4301</v>
      </c>
      <c r="D1653" s="13">
        <f>_xll.EditDistance($C$3,C1653,2)</f>
        <v>10</v>
      </c>
      <c r="E1653" s="13"/>
    </row>
    <row r="1654" spans="2:5" x14ac:dyDescent="0.2">
      <c r="B1654" t="s">
        <v>4420</v>
      </c>
      <c r="C1654" t="s">
        <v>4421</v>
      </c>
      <c r="D1654" s="13">
        <f>_xll.EditDistance($C$3,C1654,2)</f>
        <v>20</v>
      </c>
      <c r="E1654" s="13"/>
    </row>
    <row r="1655" spans="2:5" x14ac:dyDescent="0.2">
      <c r="B1655" t="s">
        <v>4489</v>
      </c>
      <c r="C1655" t="s">
        <v>4490</v>
      </c>
      <c r="D1655" s="13">
        <f>_xll.EditDistance($C$3,C1655,2)</f>
        <v>10</v>
      </c>
      <c r="E1655" s="13"/>
    </row>
    <row r="1656" spans="2:5" x14ac:dyDescent="0.2">
      <c r="B1656" t="s">
        <v>4517</v>
      </c>
      <c r="C1656" t="s">
        <v>4518</v>
      </c>
      <c r="D1656" s="13">
        <f>_xll.EditDistance($C$3,C1656,2)</f>
        <v>10</v>
      </c>
      <c r="E1656" s="13"/>
    </row>
    <row r="1657" spans="2:5" x14ac:dyDescent="0.2">
      <c r="B1657" t="s">
        <v>4529</v>
      </c>
      <c r="C1657" t="s">
        <v>4530</v>
      </c>
      <c r="D1657" s="13">
        <f>_xll.EditDistance($C$3,C1657,2)</f>
        <v>10</v>
      </c>
      <c r="E1657" s="13"/>
    </row>
    <row r="1658" spans="2:5" x14ac:dyDescent="0.2">
      <c r="B1658" t="s">
        <v>4556</v>
      </c>
      <c r="C1658" t="s">
        <v>4557</v>
      </c>
      <c r="D1658" s="13">
        <f>_xll.EditDistance($C$3,C1658,2)</f>
        <v>20</v>
      </c>
      <c r="E1658" s="13"/>
    </row>
    <row r="1659" spans="2:5" x14ac:dyDescent="0.2">
      <c r="B1659" t="s">
        <v>4579</v>
      </c>
      <c r="C1659" t="s">
        <v>4580</v>
      </c>
      <c r="D1659" s="13">
        <f>_xll.EditDistance($C$3,C1659,2)</f>
        <v>10</v>
      </c>
      <c r="E1659" s="13"/>
    </row>
    <row r="1660" spans="2:5" x14ac:dyDescent="0.2">
      <c r="B1660" t="s">
        <v>4583</v>
      </c>
      <c r="C1660" t="s">
        <v>4584</v>
      </c>
      <c r="D1660" s="13">
        <f>_xll.EditDistance($C$3,C1660,2)</f>
        <v>10</v>
      </c>
      <c r="E1660" s="13"/>
    </row>
    <row r="1661" spans="2:5" x14ac:dyDescent="0.2">
      <c r="B1661" t="s">
        <v>4589</v>
      </c>
      <c r="C1661" t="s">
        <v>4590</v>
      </c>
      <c r="D1661" s="13">
        <f>_xll.EditDistance($C$3,C1661,2)</f>
        <v>10</v>
      </c>
      <c r="E1661" s="13"/>
    </row>
    <row r="1662" spans="2:5" x14ac:dyDescent="0.2">
      <c r="B1662" t="s">
        <v>4635</v>
      </c>
      <c r="C1662" t="s">
        <v>4636</v>
      </c>
      <c r="D1662" s="13">
        <f>_xll.EditDistance($C$3,C1662,2)</f>
        <v>10</v>
      </c>
      <c r="E1662" s="13"/>
    </row>
    <row r="1663" spans="2:5" x14ac:dyDescent="0.2">
      <c r="B1663" t="s">
        <v>4678</v>
      </c>
      <c r="C1663" t="s">
        <v>4679</v>
      </c>
      <c r="D1663" s="13">
        <f>_xll.EditDistance($C$3,C1663,2)</f>
        <v>10</v>
      </c>
      <c r="E1663" s="13"/>
    </row>
    <row r="1664" spans="2:5" x14ac:dyDescent="0.2">
      <c r="B1664" t="s">
        <v>4680</v>
      </c>
      <c r="C1664" t="s">
        <v>4681</v>
      </c>
      <c r="D1664" s="13">
        <f>_xll.EditDistance($C$3,C1664,2)</f>
        <v>10</v>
      </c>
      <c r="E1664" s="13"/>
    </row>
    <row r="1665" spans="2:5" x14ac:dyDescent="0.2">
      <c r="B1665" s="22" t="s">
        <v>4682</v>
      </c>
      <c r="C1665" t="s">
        <v>4683</v>
      </c>
      <c r="D1665" s="13">
        <f>_xll.EditDistance($C$3,C1665,2)</f>
        <v>10</v>
      </c>
      <c r="E1665" s="13"/>
    </row>
    <row r="1666" spans="2:5" x14ac:dyDescent="0.2">
      <c r="B1666" t="s">
        <v>4773</v>
      </c>
      <c r="C1666" t="s">
        <v>4774</v>
      </c>
      <c r="D1666" s="13">
        <f>_xll.EditDistance($C$3,C1666,2)</f>
        <v>10</v>
      </c>
      <c r="E1666" s="13"/>
    </row>
    <row r="1667" spans="2:5" x14ac:dyDescent="0.2">
      <c r="B1667" t="s">
        <v>4773</v>
      </c>
      <c r="C1667" t="s">
        <v>4775</v>
      </c>
      <c r="D1667" s="13">
        <f>_xll.EditDistance($C$3,C1667,2)</f>
        <v>10</v>
      </c>
      <c r="E1667" s="13"/>
    </row>
    <row r="1668" spans="2:5" x14ac:dyDescent="0.2">
      <c r="B1668" t="s">
        <v>4824</v>
      </c>
      <c r="C1668" t="s">
        <v>4825</v>
      </c>
      <c r="D1668" s="13">
        <f>_xll.EditDistance($C$3,C1668,2)</f>
        <v>10</v>
      </c>
      <c r="E1668" s="13"/>
    </row>
    <row r="1669" spans="2:5" x14ac:dyDescent="0.2">
      <c r="B1669" t="s">
        <v>4845</v>
      </c>
      <c r="C1669" t="s">
        <v>4846</v>
      </c>
      <c r="D1669" s="13">
        <f>_xll.EditDistance($C$3,C1669,2)</f>
        <v>10</v>
      </c>
      <c r="E1669" s="13"/>
    </row>
    <row r="1670" spans="2:5" x14ac:dyDescent="0.2">
      <c r="B1670" t="s">
        <v>4855</v>
      </c>
      <c r="C1670" t="s">
        <v>4856</v>
      </c>
      <c r="D1670" s="13">
        <f>_xll.EditDistance($C$3,C1670,2)</f>
        <v>20</v>
      </c>
      <c r="E1670" s="13"/>
    </row>
    <row r="1671" spans="2:5" x14ac:dyDescent="0.2">
      <c r="B1671" t="s">
        <v>4928</v>
      </c>
      <c r="C1671" t="s">
        <v>4929</v>
      </c>
      <c r="D1671" s="13">
        <f>_xll.EditDistance($C$3,C1671,2)</f>
        <v>10</v>
      </c>
      <c r="E1671" s="13"/>
    </row>
    <row r="1672" spans="2:5" x14ac:dyDescent="0.2">
      <c r="B1672" t="s">
        <v>5025</v>
      </c>
      <c r="C1672" t="s">
        <v>5026</v>
      </c>
      <c r="D1672" s="13">
        <f>_xll.EditDistance($C$3,C1672,2)</f>
        <v>10</v>
      </c>
      <c r="E1672" s="13"/>
    </row>
    <row r="1673" spans="2:5" x14ac:dyDescent="0.2">
      <c r="B1673" t="s">
        <v>5049</v>
      </c>
      <c r="C1673" t="s">
        <v>5050</v>
      </c>
      <c r="D1673" s="13">
        <f>_xll.EditDistance($C$3,C1673,2)</f>
        <v>10</v>
      </c>
      <c r="E1673" s="13"/>
    </row>
    <row r="1674" spans="2:5" x14ac:dyDescent="0.2">
      <c r="B1674" t="s">
        <v>5051</v>
      </c>
      <c r="C1674" t="s">
        <v>5052</v>
      </c>
      <c r="D1674" s="13">
        <f>_xll.EditDistance($C$3,C1674,2)</f>
        <v>10</v>
      </c>
      <c r="E1674" s="13"/>
    </row>
    <row r="1675" spans="2:5" x14ac:dyDescent="0.2">
      <c r="B1675" t="s">
        <v>5053</v>
      </c>
      <c r="C1675" t="s">
        <v>5054</v>
      </c>
      <c r="D1675" s="13">
        <f>_xll.EditDistance($C$3,C1675,2)</f>
        <v>10</v>
      </c>
      <c r="E1675" s="13"/>
    </row>
    <row r="1676" spans="2:5" x14ac:dyDescent="0.2">
      <c r="B1676" t="s">
        <v>5124</v>
      </c>
      <c r="C1676" t="s">
        <v>5125</v>
      </c>
      <c r="D1676" s="13">
        <f>_xll.EditDistance($C$3,C1676,2)</f>
        <v>10</v>
      </c>
      <c r="E1676" s="13"/>
    </row>
    <row r="1677" spans="2:5" x14ac:dyDescent="0.2">
      <c r="B1677" t="s">
        <v>5132</v>
      </c>
      <c r="C1677" t="s">
        <v>5133</v>
      </c>
      <c r="D1677" s="13">
        <f>_xll.EditDistance($C$3,C1677,2)</f>
        <v>10</v>
      </c>
      <c r="E1677" s="13"/>
    </row>
    <row r="1678" spans="2:5" x14ac:dyDescent="0.2">
      <c r="B1678" t="s">
        <v>5138</v>
      </c>
      <c r="C1678" t="s">
        <v>5139</v>
      </c>
      <c r="D1678" s="13">
        <f>_xll.EditDistance($C$3,C1678,2)</f>
        <v>10</v>
      </c>
      <c r="E1678" s="13"/>
    </row>
    <row r="1679" spans="2:5" x14ac:dyDescent="0.2">
      <c r="B1679" t="s">
        <v>5170</v>
      </c>
      <c r="C1679" t="s">
        <v>5171</v>
      </c>
      <c r="D1679" s="13">
        <f>_xll.EditDistance($C$3,C1679,2)</f>
        <v>10</v>
      </c>
      <c r="E1679" s="13"/>
    </row>
    <row r="1680" spans="2:5" x14ac:dyDescent="0.2">
      <c r="B1680" t="s">
        <v>5175</v>
      </c>
      <c r="C1680" t="s">
        <v>5176</v>
      </c>
      <c r="D1680" s="13">
        <f>_xll.EditDistance($C$3,C1680,2)</f>
        <v>10</v>
      </c>
      <c r="E1680" s="13"/>
    </row>
    <row r="1681" spans="2:5" x14ac:dyDescent="0.2">
      <c r="B1681" t="s">
        <v>5177</v>
      </c>
      <c r="C1681" t="s">
        <v>5178</v>
      </c>
      <c r="D1681" s="13">
        <f>_xll.EditDistance($C$3,C1681,2)</f>
        <v>10</v>
      </c>
      <c r="E1681" s="13"/>
    </row>
    <row r="1682" spans="2:5" x14ac:dyDescent="0.2">
      <c r="B1682" t="s">
        <v>5189</v>
      </c>
      <c r="C1682" t="s">
        <v>5190</v>
      </c>
      <c r="D1682" s="13">
        <f>_xll.EditDistance($C$3,C1682,2)</f>
        <v>10</v>
      </c>
      <c r="E1682" s="13"/>
    </row>
    <row r="1683" spans="2:5" x14ac:dyDescent="0.2">
      <c r="B1683" t="s">
        <v>5247</v>
      </c>
      <c r="C1683" t="s">
        <v>5248</v>
      </c>
      <c r="D1683" s="13">
        <f>_xll.EditDistance($C$3,C1683,2)</f>
        <v>10</v>
      </c>
      <c r="E1683" s="13"/>
    </row>
    <row r="1684" spans="2:5" x14ac:dyDescent="0.2">
      <c r="B1684" t="s">
        <v>5264</v>
      </c>
      <c r="C1684" t="s">
        <v>5266</v>
      </c>
      <c r="D1684" s="13">
        <f>_xll.EditDistance($C$3,C1684,2)</f>
        <v>10</v>
      </c>
      <c r="E1684" s="13"/>
    </row>
    <row r="1685" spans="2:5" x14ac:dyDescent="0.2">
      <c r="B1685" t="s">
        <v>5273</v>
      </c>
      <c r="C1685" t="s">
        <v>5274</v>
      </c>
      <c r="D1685" s="13">
        <f>_xll.EditDistance($C$3,C1685,2)</f>
        <v>10</v>
      </c>
      <c r="E1685" s="13"/>
    </row>
    <row r="1686" spans="2:5" x14ac:dyDescent="0.2">
      <c r="B1686" t="s">
        <v>5334</v>
      </c>
      <c r="C1686" t="s">
        <v>5335</v>
      </c>
      <c r="D1686" s="13">
        <f>_xll.EditDistance($C$3,C1686,2)</f>
        <v>10</v>
      </c>
      <c r="E1686" s="13"/>
    </row>
    <row r="1687" spans="2:5" x14ac:dyDescent="0.2">
      <c r="B1687" t="s">
        <v>5336</v>
      </c>
      <c r="C1687" t="s">
        <v>5337</v>
      </c>
      <c r="D1687" s="13">
        <f>_xll.EditDistance($C$3,C1687,2)</f>
        <v>10</v>
      </c>
      <c r="E1687" s="13"/>
    </row>
    <row r="1688" spans="2:5" x14ac:dyDescent="0.2">
      <c r="B1688" t="s">
        <v>5338</v>
      </c>
      <c r="C1688" t="s">
        <v>5339</v>
      </c>
      <c r="D1688" s="13">
        <f>_xll.EditDistance($C$3,C1688,2)</f>
        <v>10</v>
      </c>
      <c r="E1688" s="13"/>
    </row>
    <row r="1689" spans="2:5" x14ac:dyDescent="0.2">
      <c r="B1689" t="s">
        <v>5421</v>
      </c>
      <c r="C1689" t="s">
        <v>5422</v>
      </c>
      <c r="D1689" s="13">
        <f>_xll.EditDistance($C$3,C1689,2)</f>
        <v>10</v>
      </c>
      <c r="E1689" s="13"/>
    </row>
    <row r="1690" spans="2:5" x14ac:dyDescent="0.2">
      <c r="B1690" t="s">
        <v>5489</v>
      </c>
      <c r="C1690" t="s">
        <v>5490</v>
      </c>
      <c r="D1690" s="13">
        <f>_xll.EditDistance($C$3,C1690,2)</f>
        <v>10</v>
      </c>
      <c r="E1690" s="13"/>
    </row>
    <row r="1691" spans="2:5" x14ac:dyDescent="0.2">
      <c r="B1691" t="s">
        <v>5493</v>
      </c>
      <c r="C1691" t="s">
        <v>5494</v>
      </c>
      <c r="D1691" s="13">
        <f>_xll.EditDistance($C$3,C1691,2)</f>
        <v>10</v>
      </c>
      <c r="E1691" s="13"/>
    </row>
    <row r="1692" spans="2:5" x14ac:dyDescent="0.2">
      <c r="B1692" t="s">
        <v>5503</v>
      </c>
      <c r="C1692" t="s">
        <v>5504</v>
      </c>
      <c r="D1692" s="13">
        <f>_xll.EditDistance($C$3,C1692,2)</f>
        <v>10</v>
      </c>
      <c r="E1692" s="13"/>
    </row>
    <row r="1693" spans="2:5" x14ac:dyDescent="0.2">
      <c r="B1693" t="s">
        <v>5569</v>
      </c>
      <c r="C1693" t="s">
        <v>5570</v>
      </c>
      <c r="D1693" s="13">
        <f>_xll.EditDistance($C$3,C1693,2)</f>
        <v>10</v>
      </c>
      <c r="E1693" s="13"/>
    </row>
    <row r="1694" spans="2:5" x14ac:dyDescent="0.2">
      <c r="B1694" t="s">
        <v>5585</v>
      </c>
      <c r="C1694" t="s">
        <v>5587</v>
      </c>
      <c r="D1694" s="13">
        <f>_xll.EditDistance($C$3,C1694,2)</f>
        <v>10</v>
      </c>
      <c r="E1694" s="13"/>
    </row>
    <row r="1695" spans="2:5" x14ac:dyDescent="0.2">
      <c r="B1695" t="s">
        <v>5616</v>
      </c>
      <c r="C1695" t="s">
        <v>5617</v>
      </c>
      <c r="D1695" s="13">
        <f>_xll.EditDistance($C$3,C1695,2)</f>
        <v>10</v>
      </c>
      <c r="E1695" s="13"/>
    </row>
    <row r="1696" spans="2:5" x14ac:dyDescent="0.2">
      <c r="B1696" t="s">
        <v>5712</v>
      </c>
      <c r="C1696" t="s">
        <v>5713</v>
      </c>
      <c r="D1696" s="13">
        <f>_xll.EditDistance($C$3,C1696,2)</f>
        <v>10</v>
      </c>
      <c r="E1696" s="13"/>
    </row>
    <row r="1697" spans="2:5" x14ac:dyDescent="0.2">
      <c r="B1697" t="s">
        <v>5750</v>
      </c>
      <c r="C1697" t="s">
        <v>5751</v>
      </c>
      <c r="D1697" s="13">
        <f>_xll.EditDistance($C$3,C1697,2)</f>
        <v>10</v>
      </c>
      <c r="E1697" s="13"/>
    </row>
    <row r="1698" spans="2:5" x14ac:dyDescent="0.2">
      <c r="B1698" t="s">
        <v>5775</v>
      </c>
      <c r="C1698" t="s">
        <v>5776</v>
      </c>
      <c r="D1698" s="13">
        <f>_xll.EditDistance($C$3,C1698,2)</f>
        <v>10</v>
      </c>
      <c r="E1698" s="13"/>
    </row>
    <row r="1699" spans="2:5" x14ac:dyDescent="0.2">
      <c r="B1699" t="s">
        <v>5796</v>
      </c>
      <c r="C1699" t="s">
        <v>5797</v>
      </c>
      <c r="D1699" s="13">
        <f>_xll.EditDistance($C$3,C1699,2)</f>
        <v>10</v>
      </c>
      <c r="E1699" s="13"/>
    </row>
    <row r="1700" spans="2:5" x14ac:dyDescent="0.2">
      <c r="B1700" t="s">
        <v>5812</v>
      </c>
      <c r="C1700" t="s">
        <v>5813</v>
      </c>
      <c r="D1700" s="13">
        <f>_xll.EditDistance($C$3,C1700,2)</f>
        <v>10</v>
      </c>
      <c r="E1700" s="13"/>
    </row>
    <row r="1701" spans="2:5" x14ac:dyDescent="0.2">
      <c r="B1701" t="s">
        <v>5830</v>
      </c>
      <c r="C1701" t="s">
        <v>5831</v>
      </c>
      <c r="D1701" s="13">
        <f>_xll.EditDistance($C$3,C1701,2)</f>
        <v>10</v>
      </c>
      <c r="E1701" s="13"/>
    </row>
    <row r="1702" spans="2:5" x14ac:dyDescent="0.2">
      <c r="B1702" t="s">
        <v>5850</v>
      </c>
      <c r="C1702" t="s">
        <v>5851</v>
      </c>
      <c r="D1702" s="13">
        <f>_xll.EditDistance($C$3,C1702,2)</f>
        <v>10</v>
      </c>
      <c r="E1702" s="13"/>
    </row>
    <row r="1703" spans="2:5" x14ac:dyDescent="0.2">
      <c r="B1703" t="s">
        <v>5927</v>
      </c>
      <c r="C1703" t="s">
        <v>5928</v>
      </c>
      <c r="D1703" s="13">
        <f>_xll.EditDistance($C$3,C1703,2)</f>
        <v>20</v>
      </c>
      <c r="E1703" s="13"/>
    </row>
    <row r="1704" spans="2:5" x14ac:dyDescent="0.2">
      <c r="B1704" t="s">
        <v>5935</v>
      </c>
      <c r="C1704" t="s">
        <v>5936</v>
      </c>
      <c r="D1704" s="13">
        <f>_xll.EditDistance($C$3,C1704,2)</f>
        <v>10</v>
      </c>
      <c r="E1704" s="13"/>
    </row>
    <row r="1705" spans="2:5" x14ac:dyDescent="0.2">
      <c r="B1705" t="s">
        <v>6047</v>
      </c>
      <c r="C1705" t="s">
        <v>6048</v>
      </c>
      <c r="D1705" s="13">
        <f>_xll.EditDistance($C$3,C1705,2)</f>
        <v>10</v>
      </c>
      <c r="E1705" s="13"/>
    </row>
    <row r="1706" spans="2:5" x14ac:dyDescent="0.2">
      <c r="B1706" t="s">
        <v>6073</v>
      </c>
      <c r="C1706" t="s">
        <v>6074</v>
      </c>
      <c r="D1706" s="13">
        <f>_xll.EditDistance($C$3,C1706,2)</f>
        <v>10</v>
      </c>
      <c r="E1706" s="13"/>
    </row>
    <row r="1707" spans="2:5" x14ac:dyDescent="0.2">
      <c r="B1707" t="s">
        <v>6079</v>
      </c>
      <c r="C1707" t="s">
        <v>6080</v>
      </c>
      <c r="D1707" s="13">
        <f>_xll.EditDistance($C$3,C1707,2)</f>
        <v>10</v>
      </c>
      <c r="E1707" s="13"/>
    </row>
    <row r="1708" spans="2:5" x14ac:dyDescent="0.2">
      <c r="B1708" t="s">
        <v>6131</v>
      </c>
      <c r="C1708" t="s">
        <v>6132</v>
      </c>
      <c r="D1708" s="13">
        <f>_xll.EditDistance($C$3,C1708,2)</f>
        <v>10</v>
      </c>
      <c r="E1708" s="13"/>
    </row>
    <row r="1709" spans="2:5" x14ac:dyDescent="0.2">
      <c r="B1709" t="s">
        <v>6135</v>
      </c>
      <c r="C1709" t="s">
        <v>6136</v>
      </c>
      <c r="D1709" s="13">
        <f>_xll.EditDistance($C$3,C1709,2)</f>
        <v>10</v>
      </c>
      <c r="E1709" s="13"/>
    </row>
    <row r="1710" spans="2:5" x14ac:dyDescent="0.2">
      <c r="B1710" t="s">
        <v>6169</v>
      </c>
      <c r="C1710" t="s">
        <v>6170</v>
      </c>
      <c r="D1710" s="13">
        <f>_xll.EditDistance($C$3,C1710,2)</f>
        <v>20</v>
      </c>
      <c r="E1710" s="13"/>
    </row>
    <row r="1711" spans="2:5" x14ac:dyDescent="0.2">
      <c r="B1711" t="s">
        <v>6225</v>
      </c>
      <c r="C1711" t="s">
        <v>6226</v>
      </c>
      <c r="D1711" s="13">
        <f>_xll.EditDistance($C$3,C1711,2)</f>
        <v>10</v>
      </c>
      <c r="E1711" s="13"/>
    </row>
    <row r="1712" spans="2:5" x14ac:dyDescent="0.2">
      <c r="B1712" t="s">
        <v>6235</v>
      </c>
      <c r="C1712" t="s">
        <v>6237</v>
      </c>
      <c r="D1712" s="13">
        <f>_xll.EditDistance($C$3,C1712,2)</f>
        <v>10</v>
      </c>
      <c r="E1712" s="13"/>
    </row>
    <row r="1713" spans="2:5" x14ac:dyDescent="0.2">
      <c r="B1713" t="s">
        <v>6272</v>
      </c>
      <c r="C1713" t="s">
        <v>6273</v>
      </c>
      <c r="D1713" s="13">
        <f>_xll.EditDistance($C$3,C1713,2)</f>
        <v>10</v>
      </c>
      <c r="E1713" s="13"/>
    </row>
    <row r="1714" spans="2:5" x14ac:dyDescent="0.2">
      <c r="B1714" t="s">
        <v>6274</v>
      </c>
      <c r="C1714" t="s">
        <v>6275</v>
      </c>
      <c r="D1714" s="13">
        <f>_xll.EditDistance($C$3,C1714,2)</f>
        <v>10</v>
      </c>
      <c r="E1714" s="13"/>
    </row>
    <row r="1715" spans="2:5" x14ac:dyDescent="0.2">
      <c r="B1715" t="s">
        <v>6345</v>
      </c>
      <c r="C1715" t="s">
        <v>6346</v>
      </c>
      <c r="D1715" s="13">
        <f>_xll.EditDistance($C$3,C1715,2)</f>
        <v>20</v>
      </c>
      <c r="E1715" s="13"/>
    </row>
    <row r="1716" spans="2:5" x14ac:dyDescent="0.2">
      <c r="B1716" t="s">
        <v>6360</v>
      </c>
      <c r="C1716" t="s">
        <v>6361</v>
      </c>
      <c r="D1716" s="13">
        <f>_xll.EditDistance($C$3,C1716,2)</f>
        <v>20</v>
      </c>
      <c r="E1716" s="13"/>
    </row>
    <row r="1717" spans="2:5" x14ac:dyDescent="0.2">
      <c r="B1717" t="s">
        <v>6376</v>
      </c>
      <c r="C1717" t="s">
        <v>6377</v>
      </c>
      <c r="D1717" s="13">
        <f>_xll.EditDistance($C$3,C1717,2)</f>
        <v>20</v>
      </c>
      <c r="E1717" s="13"/>
    </row>
    <row r="1718" spans="2:5" x14ac:dyDescent="0.2">
      <c r="B1718" t="s">
        <v>6386</v>
      </c>
      <c r="C1718" t="s">
        <v>6387</v>
      </c>
      <c r="D1718" s="13">
        <f>_xll.EditDistance($C$3,C1718,2)</f>
        <v>10</v>
      </c>
      <c r="E1718" s="13"/>
    </row>
    <row r="1719" spans="2:5" x14ac:dyDescent="0.2">
      <c r="B1719" t="s">
        <v>6390</v>
      </c>
      <c r="C1719" t="s">
        <v>6392</v>
      </c>
      <c r="D1719" s="13">
        <f>_xll.EditDistance($C$3,C1719,2)</f>
        <v>54</v>
      </c>
      <c r="E1719" s="13"/>
    </row>
    <row r="1720" spans="2:5" x14ac:dyDescent="0.2">
      <c r="B1720" t="s">
        <v>6397</v>
      </c>
      <c r="C1720" t="s">
        <v>6398</v>
      </c>
      <c r="D1720" s="13">
        <f>_xll.EditDistance($C$3,C1720,2)</f>
        <v>10</v>
      </c>
      <c r="E1720" s="13"/>
    </row>
    <row r="1721" spans="2:5" x14ac:dyDescent="0.2">
      <c r="B1721" t="s">
        <v>6403</v>
      </c>
      <c r="C1721" t="s">
        <v>6404</v>
      </c>
      <c r="D1721" s="13">
        <f>_xll.EditDistance($C$3,C1721,2)</f>
        <v>10</v>
      </c>
      <c r="E1721" s="13"/>
    </row>
    <row r="1722" spans="2:5" x14ac:dyDescent="0.2">
      <c r="B1722" t="s">
        <v>6419</v>
      </c>
      <c r="C1722" t="s">
        <v>6420</v>
      </c>
      <c r="D1722" s="13">
        <f>_xll.EditDistance($C$3,C1722,2)</f>
        <v>18</v>
      </c>
      <c r="E1722" s="13"/>
    </row>
    <row r="1723" spans="2:5" x14ac:dyDescent="0.2">
      <c r="B1723" t="s">
        <v>6425</v>
      </c>
      <c r="C1723" t="s">
        <v>6426</v>
      </c>
      <c r="D1723" s="13">
        <f>_xll.EditDistance($C$3,C1723,2)</f>
        <v>10</v>
      </c>
      <c r="E1723" s="13"/>
    </row>
    <row r="1724" spans="2:5" x14ac:dyDescent="0.2">
      <c r="B1724" t="s">
        <v>6440</v>
      </c>
      <c r="C1724" t="s">
        <v>6441</v>
      </c>
      <c r="D1724" s="13">
        <f>_xll.EditDistance($C$3,C1724,2)</f>
        <v>10</v>
      </c>
      <c r="E1724" s="13"/>
    </row>
    <row r="1725" spans="2:5" x14ac:dyDescent="0.2">
      <c r="B1725" t="s">
        <v>6469</v>
      </c>
      <c r="C1725" t="s">
        <v>6470</v>
      </c>
      <c r="D1725" s="13">
        <f>_xll.EditDistance($C$3,C1725,2)</f>
        <v>10</v>
      </c>
      <c r="E1725" s="13"/>
    </row>
    <row r="1726" spans="2:5" x14ac:dyDescent="0.2">
      <c r="B1726" t="s">
        <v>6531</v>
      </c>
      <c r="C1726" t="s">
        <v>6532</v>
      </c>
      <c r="D1726" s="13">
        <f>_xll.EditDistance($C$3,C1726,2)</f>
        <v>10</v>
      </c>
      <c r="E1726" s="13"/>
    </row>
    <row r="1727" spans="2:5" x14ac:dyDescent="0.2">
      <c r="B1727" t="s">
        <v>6536</v>
      </c>
      <c r="C1727" t="s">
        <v>6537</v>
      </c>
      <c r="D1727" s="13">
        <f>_xll.EditDistance($C$3,C1727,2)</f>
        <v>10</v>
      </c>
      <c r="E1727" s="13"/>
    </row>
    <row r="1728" spans="2:5" x14ac:dyDescent="0.2">
      <c r="B1728" t="s">
        <v>6562</v>
      </c>
      <c r="C1728" t="s">
        <v>6563</v>
      </c>
      <c r="D1728" s="13">
        <f>_xll.EditDistance($C$3,C1728,2)</f>
        <v>10</v>
      </c>
      <c r="E1728" s="13"/>
    </row>
    <row r="1729" spans="2:5" x14ac:dyDescent="0.2">
      <c r="B1729" t="s">
        <v>6617</v>
      </c>
      <c r="C1729" t="s">
        <v>6618</v>
      </c>
      <c r="D1729" s="13">
        <f>_xll.EditDistance($C$3,C1729,2)</f>
        <v>10</v>
      </c>
      <c r="E1729" s="13"/>
    </row>
    <row r="1730" spans="2:5" x14ac:dyDescent="0.2">
      <c r="B1730" t="s">
        <v>6625</v>
      </c>
      <c r="C1730" t="s">
        <v>6626</v>
      </c>
      <c r="D1730" s="13">
        <f>_xll.EditDistance($C$3,C1730,2)</f>
        <v>10</v>
      </c>
      <c r="E1730" s="13"/>
    </row>
    <row r="1731" spans="2:5" x14ac:dyDescent="0.2">
      <c r="B1731" t="s">
        <v>6627</v>
      </c>
      <c r="C1731" t="s">
        <v>6628</v>
      </c>
      <c r="D1731" s="13">
        <f>_xll.EditDistance($C$3,C1731,2)</f>
        <v>10</v>
      </c>
      <c r="E1731" s="13"/>
    </row>
    <row r="1732" spans="2:5" x14ac:dyDescent="0.2">
      <c r="B1732" t="s">
        <v>6674</v>
      </c>
      <c r="C1732" t="s">
        <v>6676</v>
      </c>
      <c r="D1732" s="13">
        <f>_xll.EditDistance($C$3,C1732,2)</f>
        <v>10</v>
      </c>
      <c r="E1732" s="13"/>
    </row>
    <row r="1733" spans="2:5" x14ac:dyDescent="0.2">
      <c r="B1733" t="s">
        <v>6814</v>
      </c>
      <c r="C1733" t="s">
        <v>6815</v>
      </c>
      <c r="D1733" s="13">
        <f>_xll.EditDistance($C$3,C1733,2)</f>
        <v>10</v>
      </c>
      <c r="E1733" s="13"/>
    </row>
    <row r="1734" spans="2:5" x14ac:dyDescent="0.2">
      <c r="B1734" t="s">
        <v>6820</v>
      </c>
      <c r="C1734" t="s">
        <v>6821</v>
      </c>
      <c r="D1734" s="13">
        <f>_xll.EditDistance($C$3,C1734,2)</f>
        <v>10</v>
      </c>
      <c r="E1734" s="13"/>
    </row>
    <row r="1735" spans="2:5" x14ac:dyDescent="0.2">
      <c r="B1735" t="s">
        <v>6839</v>
      </c>
      <c r="C1735" t="s">
        <v>6840</v>
      </c>
      <c r="D1735" s="13">
        <f>_xll.EditDistance($C$3,C1735,2)</f>
        <v>10</v>
      </c>
      <c r="E1735" s="13"/>
    </row>
    <row r="1736" spans="2:5" x14ac:dyDescent="0.2">
      <c r="B1736" t="s">
        <v>6849</v>
      </c>
      <c r="C1736" t="s">
        <v>6850</v>
      </c>
      <c r="D1736" s="13">
        <f>_xll.EditDistance($C$3,C1736,2)</f>
        <v>10</v>
      </c>
      <c r="E1736" s="13"/>
    </row>
    <row r="1737" spans="2:5" x14ac:dyDescent="0.2">
      <c r="B1737" t="s">
        <v>6875</v>
      </c>
      <c r="C1737" t="s">
        <v>6876</v>
      </c>
      <c r="D1737" s="13">
        <f>_xll.EditDistance($C$3,C1737,2)</f>
        <v>10</v>
      </c>
      <c r="E1737" s="13"/>
    </row>
    <row r="1738" spans="2:5" x14ac:dyDescent="0.2">
      <c r="B1738" t="s">
        <v>6899</v>
      </c>
      <c r="C1738" t="s">
        <v>6900</v>
      </c>
      <c r="D1738" s="13">
        <f>_xll.EditDistance($C$3,C1738,2)</f>
        <v>10</v>
      </c>
      <c r="E1738" s="13"/>
    </row>
    <row r="1739" spans="2:5" x14ac:dyDescent="0.2">
      <c r="B1739" t="s">
        <v>6960</v>
      </c>
      <c r="C1739" t="s">
        <v>6961</v>
      </c>
      <c r="D1739" s="13">
        <f>_xll.EditDistance($C$3,C1739,2)</f>
        <v>10</v>
      </c>
      <c r="E1739" s="13"/>
    </row>
    <row r="1740" spans="2:5" x14ac:dyDescent="0.2">
      <c r="B1740" t="s">
        <v>6968</v>
      </c>
      <c r="C1740" t="s">
        <v>6969</v>
      </c>
      <c r="D1740" s="13">
        <f>_xll.EditDistance($C$3,C1740,2)</f>
        <v>10</v>
      </c>
      <c r="E1740" s="13"/>
    </row>
    <row r="1741" spans="2:5" x14ac:dyDescent="0.2">
      <c r="B1741" t="s">
        <v>6978</v>
      </c>
      <c r="C1741" t="s">
        <v>6979</v>
      </c>
      <c r="D1741" s="13">
        <f>_xll.EditDistance($C$3,C1741,2)</f>
        <v>10</v>
      </c>
      <c r="E1741" s="13"/>
    </row>
    <row r="1742" spans="2:5" x14ac:dyDescent="0.2">
      <c r="B1742" t="s">
        <v>6988</v>
      </c>
      <c r="C1742" t="s">
        <v>6989</v>
      </c>
      <c r="D1742" s="13">
        <f>_xll.EditDistance($C$3,C1742,2)</f>
        <v>10</v>
      </c>
      <c r="E1742" s="13"/>
    </row>
    <row r="1743" spans="2:5" x14ac:dyDescent="0.2">
      <c r="B1743" t="s">
        <v>7006</v>
      </c>
      <c r="C1743" t="s">
        <v>7007</v>
      </c>
      <c r="D1743" s="13">
        <f>_xll.EditDistance($C$3,C1743,2)</f>
        <v>10</v>
      </c>
      <c r="E1743" s="13"/>
    </row>
    <row r="1744" spans="2:5" x14ac:dyDescent="0.2">
      <c r="B1744" t="s">
        <v>7010</v>
      </c>
      <c r="C1744" t="s">
        <v>7011</v>
      </c>
      <c r="D1744" s="13">
        <f>_xll.EditDistance($C$3,C1744,2)</f>
        <v>10</v>
      </c>
      <c r="E1744" s="13"/>
    </row>
    <row r="1745" spans="2:5" x14ac:dyDescent="0.2">
      <c r="B1745" t="s">
        <v>7018</v>
      </c>
      <c r="C1745" t="s">
        <v>7019</v>
      </c>
      <c r="D1745" s="13">
        <f>_xll.EditDistance($C$3,C1745,2)</f>
        <v>10</v>
      </c>
      <c r="E1745" s="13"/>
    </row>
    <row r="1746" spans="2:5" x14ac:dyDescent="0.2">
      <c r="B1746" t="s">
        <v>7048</v>
      </c>
      <c r="C1746" t="s">
        <v>7049</v>
      </c>
      <c r="D1746" s="13">
        <f>_xll.EditDistance($C$3,C1746,2)</f>
        <v>10</v>
      </c>
      <c r="E1746" s="13"/>
    </row>
    <row r="1747" spans="2:5" x14ac:dyDescent="0.2">
      <c r="B1747" t="s">
        <v>7117</v>
      </c>
      <c r="C1747" t="s">
        <v>7118</v>
      </c>
      <c r="D1747" s="13">
        <f>_xll.EditDistance($C$3,C1747,2)</f>
        <v>10</v>
      </c>
      <c r="E1747" s="13"/>
    </row>
    <row r="1748" spans="2:5" x14ac:dyDescent="0.2">
      <c r="B1748" t="s">
        <v>7129</v>
      </c>
      <c r="C1748" t="s">
        <v>7130</v>
      </c>
      <c r="D1748" s="13">
        <f>_xll.EditDistance($C$3,C1748,2)</f>
        <v>10</v>
      </c>
      <c r="E1748" s="13"/>
    </row>
    <row r="1749" spans="2:5" x14ac:dyDescent="0.2">
      <c r="B1749" t="s">
        <v>7139</v>
      </c>
      <c r="C1749" t="s">
        <v>7140</v>
      </c>
      <c r="D1749" s="13">
        <f>_xll.EditDistance($C$3,C1749,2)</f>
        <v>10</v>
      </c>
      <c r="E1749" s="13"/>
    </row>
    <row r="1750" spans="2:5" x14ac:dyDescent="0.2">
      <c r="B1750" t="s">
        <v>7178</v>
      </c>
      <c r="C1750" t="s">
        <v>7179</v>
      </c>
      <c r="D1750" s="13">
        <f>_xll.EditDistance($C$3,C1750,2)</f>
        <v>20</v>
      </c>
      <c r="E1750" s="13"/>
    </row>
    <row r="1751" spans="2:5" x14ac:dyDescent="0.2">
      <c r="B1751" t="s">
        <v>7182</v>
      </c>
      <c r="C1751" t="s">
        <v>7183</v>
      </c>
      <c r="D1751" s="13">
        <f>_xll.EditDistance($C$3,C1751,2)</f>
        <v>10</v>
      </c>
      <c r="E1751" s="13"/>
    </row>
    <row r="1752" spans="2:5" x14ac:dyDescent="0.2">
      <c r="B1752" t="s">
        <v>7207</v>
      </c>
      <c r="C1752" t="s">
        <v>7208</v>
      </c>
      <c r="D1752" s="13">
        <f>_xll.EditDistance($C$3,C1752,2)</f>
        <v>10</v>
      </c>
      <c r="E1752" s="13"/>
    </row>
    <row r="1753" spans="2:5" x14ac:dyDescent="0.2">
      <c r="B1753" t="s">
        <v>7287</v>
      </c>
      <c r="C1753" t="s">
        <v>7288</v>
      </c>
      <c r="D1753" s="13">
        <f>_xll.EditDistance($C$3,C1753,2)</f>
        <v>10</v>
      </c>
      <c r="E1753" s="13"/>
    </row>
    <row r="1754" spans="2:5" x14ac:dyDescent="0.2">
      <c r="B1754" t="s">
        <v>7302</v>
      </c>
      <c r="C1754" t="s">
        <v>7303</v>
      </c>
      <c r="D1754" s="13">
        <f>_xll.EditDistance($C$3,C1754,2)</f>
        <v>10</v>
      </c>
      <c r="E1754" s="13"/>
    </row>
    <row r="1755" spans="2:5" x14ac:dyDescent="0.2">
      <c r="B1755" t="s">
        <v>7317</v>
      </c>
      <c r="C1755" t="s">
        <v>7318</v>
      </c>
      <c r="D1755" s="13">
        <f>_xll.EditDistance($C$3,C1755,2)</f>
        <v>10</v>
      </c>
      <c r="E1755" s="13"/>
    </row>
    <row r="1756" spans="2:5" x14ac:dyDescent="0.2">
      <c r="B1756" t="s">
        <v>7334</v>
      </c>
      <c r="C1756" t="s">
        <v>7336</v>
      </c>
      <c r="D1756" s="13">
        <f>_xll.EditDistance($C$3,C1756,2)</f>
        <v>10</v>
      </c>
      <c r="E1756" s="13"/>
    </row>
    <row r="1757" spans="2:5" x14ac:dyDescent="0.2">
      <c r="B1757" t="s">
        <v>7363</v>
      </c>
      <c r="C1757" t="s">
        <v>7364</v>
      </c>
      <c r="D1757" s="13">
        <f>_xll.EditDistance($C$3,C1757,2)</f>
        <v>10</v>
      </c>
      <c r="E1757" s="13"/>
    </row>
    <row r="1758" spans="2:5" x14ac:dyDescent="0.2">
      <c r="B1758" t="s">
        <v>7384</v>
      </c>
      <c r="C1758" t="s">
        <v>7385</v>
      </c>
      <c r="D1758" s="13">
        <f>_xll.EditDistance($C$3,C1758,2)</f>
        <v>10</v>
      </c>
      <c r="E1758" s="13"/>
    </row>
    <row r="1759" spans="2:5" x14ac:dyDescent="0.2">
      <c r="B1759" t="s">
        <v>7386</v>
      </c>
      <c r="C1759" t="s">
        <v>7387</v>
      </c>
      <c r="D1759" s="13">
        <f>_xll.EditDistance($C$3,C1759,2)</f>
        <v>10</v>
      </c>
      <c r="E1759" s="13"/>
    </row>
    <row r="1760" spans="2:5" x14ac:dyDescent="0.2">
      <c r="B1760" t="s">
        <v>7388</v>
      </c>
      <c r="C1760" t="s">
        <v>7389</v>
      </c>
      <c r="D1760" s="13">
        <f>_xll.EditDistance($C$3,C1760,2)</f>
        <v>10</v>
      </c>
      <c r="E1760" s="13"/>
    </row>
    <row r="1761" spans="2:5" x14ac:dyDescent="0.2">
      <c r="B1761" t="s">
        <v>7403</v>
      </c>
      <c r="C1761" t="s">
        <v>7404</v>
      </c>
      <c r="D1761" s="13">
        <f>_xll.EditDistance($C$3,C1761,2)</f>
        <v>10</v>
      </c>
      <c r="E1761" s="13"/>
    </row>
    <row r="1762" spans="2:5" x14ac:dyDescent="0.2">
      <c r="B1762" t="s">
        <v>7405</v>
      </c>
      <c r="C1762" t="s">
        <v>7406</v>
      </c>
      <c r="D1762" s="13">
        <f>_xll.EditDistance($C$3,C1762,2)</f>
        <v>10</v>
      </c>
      <c r="E1762" s="13"/>
    </row>
    <row r="1763" spans="2:5" x14ac:dyDescent="0.2">
      <c r="B1763" t="s">
        <v>7420</v>
      </c>
      <c r="C1763" t="s">
        <v>7421</v>
      </c>
      <c r="D1763" s="13">
        <f>_xll.EditDistance($C$3,C1763,2)</f>
        <v>10</v>
      </c>
      <c r="E1763" s="13"/>
    </row>
    <row r="1764" spans="2:5" x14ac:dyDescent="0.2">
      <c r="B1764" t="s">
        <v>7428</v>
      </c>
      <c r="C1764" t="s">
        <v>7429</v>
      </c>
      <c r="D1764" s="13">
        <f>_xll.EditDistance($C$3,C1764,2)</f>
        <v>10</v>
      </c>
      <c r="E1764" s="13"/>
    </row>
    <row r="1765" spans="2:5" x14ac:dyDescent="0.2">
      <c r="B1765" t="s">
        <v>7478</v>
      </c>
      <c r="C1765" t="s">
        <v>7479</v>
      </c>
      <c r="D1765" s="13">
        <f>_xll.EditDistance($C$3,C1765,2)</f>
        <v>10</v>
      </c>
      <c r="E1765" s="13"/>
    </row>
    <row r="1766" spans="2:5" x14ac:dyDescent="0.2">
      <c r="B1766" t="s">
        <v>7484</v>
      </c>
      <c r="C1766" t="s">
        <v>7485</v>
      </c>
      <c r="D1766" s="13">
        <f>_xll.EditDistance($C$3,C1766,2)</f>
        <v>10</v>
      </c>
      <c r="E1766" s="13"/>
    </row>
    <row r="1767" spans="2:5" x14ac:dyDescent="0.2">
      <c r="B1767" t="s">
        <v>7493</v>
      </c>
      <c r="C1767" t="s">
        <v>7494</v>
      </c>
      <c r="D1767" s="13">
        <f>_xll.EditDistance($C$3,C1767,2)</f>
        <v>18</v>
      </c>
      <c r="E1767" s="13"/>
    </row>
    <row r="1768" spans="2:5" x14ac:dyDescent="0.2">
      <c r="B1768" t="s">
        <v>7497</v>
      </c>
      <c r="C1768" t="s">
        <v>7498</v>
      </c>
      <c r="D1768" s="13">
        <f>_xll.EditDistance($C$3,C1768,2)</f>
        <v>10</v>
      </c>
      <c r="E1768" s="13"/>
    </row>
    <row r="1769" spans="2:5" x14ac:dyDescent="0.2">
      <c r="B1769" t="s">
        <v>7512</v>
      </c>
      <c r="C1769" t="s">
        <v>7513</v>
      </c>
      <c r="D1769" s="13">
        <f>_xll.EditDistance($C$3,C1769,2)</f>
        <v>10</v>
      </c>
      <c r="E1769" s="13"/>
    </row>
    <row r="1770" spans="2:5" x14ac:dyDescent="0.2">
      <c r="B1770" t="s">
        <v>7567</v>
      </c>
      <c r="C1770" t="s">
        <v>7568</v>
      </c>
      <c r="D1770" s="13">
        <f>_xll.EditDistance($C$3,C1770,2)</f>
        <v>10</v>
      </c>
      <c r="E1770" s="13"/>
    </row>
    <row r="1771" spans="2:5" x14ac:dyDescent="0.2">
      <c r="B1771" t="s">
        <v>7575</v>
      </c>
      <c r="C1771" t="s">
        <v>7576</v>
      </c>
      <c r="D1771" s="13">
        <f>_xll.EditDistance($C$3,C1771,2)</f>
        <v>10</v>
      </c>
      <c r="E1771" s="13"/>
    </row>
    <row r="1772" spans="2:5" x14ac:dyDescent="0.2">
      <c r="B1772" t="s">
        <v>7625</v>
      </c>
      <c r="C1772" t="s">
        <v>7626</v>
      </c>
      <c r="D1772" s="13">
        <f>_xll.EditDistance($C$3,C1772,2)</f>
        <v>10</v>
      </c>
      <c r="E1772" s="13"/>
    </row>
    <row r="1773" spans="2:5" x14ac:dyDescent="0.2">
      <c r="B1773" t="s">
        <v>7655</v>
      </c>
      <c r="C1773" t="s">
        <v>7656</v>
      </c>
      <c r="D1773" s="13">
        <f>_xll.EditDistance($C$3,C1773,2)</f>
        <v>10</v>
      </c>
      <c r="E1773" s="13"/>
    </row>
    <row r="1774" spans="2:5" x14ac:dyDescent="0.2">
      <c r="B1774" t="s">
        <v>7663</v>
      </c>
      <c r="C1774" t="s">
        <v>7664</v>
      </c>
      <c r="D1774" s="13">
        <f>_xll.EditDistance($C$3,C1774,2)</f>
        <v>10</v>
      </c>
      <c r="E1774" s="13"/>
    </row>
    <row r="1775" spans="2:5" x14ac:dyDescent="0.2">
      <c r="B1775" t="s">
        <v>7675</v>
      </c>
      <c r="C1775" t="s">
        <v>7676</v>
      </c>
      <c r="D1775" s="13">
        <f>_xll.EditDistance($C$3,C1775,2)</f>
        <v>10</v>
      </c>
      <c r="E1775" s="13"/>
    </row>
    <row r="1776" spans="2:5" x14ac:dyDescent="0.2">
      <c r="B1776" t="s">
        <v>7744</v>
      </c>
      <c r="C1776" t="s">
        <v>7745</v>
      </c>
      <c r="D1776" s="13">
        <f>_xll.EditDistance($C$3,C1776,2)</f>
        <v>10</v>
      </c>
      <c r="E1776" s="13"/>
    </row>
    <row r="1777" spans="2:5" x14ac:dyDescent="0.2">
      <c r="B1777" t="s">
        <v>7746</v>
      </c>
      <c r="C1777" t="s">
        <v>7747</v>
      </c>
      <c r="D1777" s="13">
        <f>_xll.EditDistance($C$3,C1777,2)</f>
        <v>10</v>
      </c>
      <c r="E1777" s="13"/>
    </row>
    <row r="1778" spans="2:5" x14ac:dyDescent="0.2">
      <c r="B1778" t="s">
        <v>7760</v>
      </c>
      <c r="C1778" t="s">
        <v>7761</v>
      </c>
      <c r="D1778" s="13">
        <f>_xll.EditDistance($C$3,C1778,2)</f>
        <v>10</v>
      </c>
      <c r="E1778" s="13"/>
    </row>
    <row r="1779" spans="2:5" x14ac:dyDescent="0.2">
      <c r="B1779" t="s">
        <v>7780</v>
      </c>
      <c r="C1779" t="s">
        <v>7781</v>
      </c>
      <c r="D1779" s="13">
        <f>_xll.EditDistance($C$3,C1779,2)</f>
        <v>10</v>
      </c>
      <c r="E1779" s="13"/>
    </row>
    <row r="1780" spans="2:5" x14ac:dyDescent="0.2">
      <c r="B1780" t="s">
        <v>7812</v>
      </c>
      <c r="C1780" t="s">
        <v>7813</v>
      </c>
      <c r="D1780" s="13">
        <f>_xll.EditDistance($C$3,C1780,2)</f>
        <v>14</v>
      </c>
      <c r="E1780" s="13"/>
    </row>
    <row r="1781" spans="2:5" x14ac:dyDescent="0.2">
      <c r="B1781" t="s">
        <v>7838</v>
      </c>
      <c r="C1781" t="s">
        <v>7839</v>
      </c>
      <c r="D1781" s="13">
        <f>_xll.EditDistance($C$3,C1781,2)</f>
        <v>20</v>
      </c>
      <c r="E1781" s="13"/>
    </row>
    <row r="1782" spans="2:5" x14ac:dyDescent="0.2">
      <c r="B1782" t="s">
        <v>7848</v>
      </c>
      <c r="C1782" t="s">
        <v>7849</v>
      </c>
      <c r="D1782" s="13">
        <f>_xll.EditDistance($C$3,C1782,2)</f>
        <v>10</v>
      </c>
      <c r="E1782" s="13"/>
    </row>
    <row r="1783" spans="2:5" x14ac:dyDescent="0.2">
      <c r="B1783" t="s">
        <v>7866</v>
      </c>
      <c r="C1783" t="s">
        <v>7867</v>
      </c>
      <c r="D1783" s="13">
        <f>_xll.EditDistance($C$3,C1783,2)</f>
        <v>20</v>
      </c>
      <c r="E1783" s="13"/>
    </row>
    <row r="1784" spans="2:5" x14ac:dyDescent="0.2">
      <c r="B1784" t="s">
        <v>7866</v>
      </c>
      <c r="C1784" t="s">
        <v>7868</v>
      </c>
      <c r="D1784" s="13">
        <f>_xll.EditDistance($C$3,C1784,2)</f>
        <v>20</v>
      </c>
      <c r="E1784" s="13"/>
    </row>
    <row r="1785" spans="2:5" x14ac:dyDescent="0.2">
      <c r="B1785" t="s">
        <v>7877</v>
      </c>
      <c r="C1785" t="s">
        <v>7878</v>
      </c>
      <c r="D1785" s="13">
        <f>_xll.EditDistance($C$3,C1785,2)</f>
        <v>10</v>
      </c>
      <c r="E1785" s="13"/>
    </row>
    <row r="1786" spans="2:5" x14ac:dyDescent="0.2">
      <c r="B1786" t="s">
        <v>7899</v>
      </c>
      <c r="C1786" t="s">
        <v>7900</v>
      </c>
      <c r="D1786" s="13">
        <f>_xll.EditDistance($C$3,C1786,2)</f>
        <v>10</v>
      </c>
      <c r="E1786" s="13"/>
    </row>
    <row r="1787" spans="2:5" x14ac:dyDescent="0.2">
      <c r="B1787" t="s">
        <v>7934</v>
      </c>
      <c r="C1787" t="s">
        <v>7935</v>
      </c>
      <c r="D1787" s="13">
        <f>_xll.EditDistance($C$3,C1787,2)</f>
        <v>10</v>
      </c>
      <c r="E1787" s="13"/>
    </row>
    <row r="1788" spans="2:5" x14ac:dyDescent="0.2">
      <c r="B1788" t="s">
        <v>7960</v>
      </c>
      <c r="C1788" t="s">
        <v>7961</v>
      </c>
      <c r="D1788" s="13">
        <f>_xll.EditDistance($C$3,C1788,2)</f>
        <v>10</v>
      </c>
      <c r="E1788" s="13"/>
    </row>
    <row r="1789" spans="2:5" x14ac:dyDescent="0.2">
      <c r="B1789" t="s">
        <v>7968</v>
      </c>
      <c r="C1789" t="s">
        <v>7969</v>
      </c>
      <c r="D1789" s="13">
        <f>_xll.EditDistance($C$3,C1789,2)</f>
        <v>20</v>
      </c>
      <c r="E1789" s="13"/>
    </row>
    <row r="1790" spans="2:5" x14ac:dyDescent="0.2">
      <c r="B1790" t="s">
        <v>8004</v>
      </c>
      <c r="C1790" t="s">
        <v>8005</v>
      </c>
      <c r="D1790" s="13">
        <f>_xll.EditDistance($C$3,C1790,2)</f>
        <v>20</v>
      </c>
      <c r="E1790" s="13"/>
    </row>
    <row r="1791" spans="2:5" x14ac:dyDescent="0.2">
      <c r="B1791" t="s">
        <v>8018</v>
      </c>
      <c r="C1791" t="s">
        <v>8019</v>
      </c>
      <c r="D1791" s="13">
        <f>_xll.EditDistance($C$3,C1791,2)</f>
        <v>10</v>
      </c>
      <c r="E1791" s="13"/>
    </row>
    <row r="1792" spans="2:5" x14ac:dyDescent="0.2">
      <c r="B1792" t="s">
        <v>8058</v>
      </c>
      <c r="C1792" t="s">
        <v>8059</v>
      </c>
      <c r="D1792" s="13">
        <f>_xll.EditDistance($C$3,C1792,2)</f>
        <v>10</v>
      </c>
      <c r="E1792" s="13"/>
    </row>
    <row r="1793" spans="2:5" x14ac:dyDescent="0.2">
      <c r="B1793" t="s">
        <v>8060</v>
      </c>
      <c r="C1793" t="s">
        <v>8061</v>
      </c>
      <c r="D1793" s="13">
        <f>_xll.EditDistance($C$3,C1793,2)</f>
        <v>10</v>
      </c>
      <c r="E1793" s="13"/>
    </row>
    <row r="1794" spans="2:5" x14ac:dyDescent="0.2">
      <c r="B1794" t="s">
        <v>8062</v>
      </c>
      <c r="C1794" t="s">
        <v>8063</v>
      </c>
      <c r="D1794" s="13">
        <f>_xll.EditDistance($C$3,C1794,2)</f>
        <v>10</v>
      </c>
      <c r="E1794" s="13"/>
    </row>
    <row r="1795" spans="2:5" x14ac:dyDescent="0.2">
      <c r="B1795" t="s">
        <v>8076</v>
      </c>
      <c r="C1795" t="s">
        <v>8077</v>
      </c>
      <c r="D1795" s="13">
        <f>_xll.EditDistance($C$3,C1795,2)</f>
        <v>10</v>
      </c>
      <c r="E1795" s="13"/>
    </row>
    <row r="1796" spans="2:5" x14ac:dyDescent="0.2">
      <c r="B1796" t="s">
        <v>8144</v>
      </c>
      <c r="C1796" t="s">
        <v>8145</v>
      </c>
      <c r="D1796" s="13">
        <f>_xll.EditDistance($C$3,C1796,2)</f>
        <v>20</v>
      </c>
      <c r="E1796" s="13"/>
    </row>
    <row r="1797" spans="2:5" x14ac:dyDescent="0.2">
      <c r="B1797" t="s">
        <v>8154</v>
      </c>
      <c r="C1797" t="s">
        <v>8155</v>
      </c>
      <c r="D1797" s="13">
        <f>_xll.EditDistance($C$3,C1797,2)</f>
        <v>20</v>
      </c>
      <c r="E1797" s="13"/>
    </row>
    <row r="1798" spans="2:5" x14ac:dyDescent="0.2">
      <c r="B1798" t="s">
        <v>8176</v>
      </c>
      <c r="C1798" t="s">
        <v>8177</v>
      </c>
      <c r="D1798" s="13">
        <f>_xll.EditDistance($C$3,C1798,2)</f>
        <v>10</v>
      </c>
      <c r="E1798" s="13"/>
    </row>
    <row r="1799" spans="2:5" x14ac:dyDescent="0.2">
      <c r="B1799" t="s">
        <v>8204</v>
      </c>
      <c r="C1799" t="s">
        <v>8205</v>
      </c>
      <c r="D1799" s="13">
        <f>_xll.EditDistance($C$3,C1799,2)</f>
        <v>10</v>
      </c>
      <c r="E1799" s="13"/>
    </row>
    <row r="1800" spans="2:5" x14ac:dyDescent="0.2">
      <c r="B1800" t="s">
        <v>8224</v>
      </c>
      <c r="C1800" t="s">
        <v>8225</v>
      </c>
      <c r="D1800" s="13">
        <f>_xll.EditDistance($C$3,C1800,2)</f>
        <v>10</v>
      </c>
      <c r="E1800" s="13"/>
    </row>
    <row r="1801" spans="2:5" x14ac:dyDescent="0.2">
      <c r="B1801" t="s">
        <v>8256</v>
      </c>
      <c r="C1801" t="s">
        <v>8258</v>
      </c>
      <c r="D1801" s="13">
        <f>_xll.EditDistance($C$3,C1801,2)</f>
        <v>10</v>
      </c>
      <c r="E1801" s="13"/>
    </row>
    <row r="1802" spans="2:5" x14ac:dyDescent="0.2">
      <c r="B1802" t="s">
        <v>8272</v>
      </c>
      <c r="C1802" t="s">
        <v>8273</v>
      </c>
      <c r="D1802" s="13">
        <f>_xll.EditDistance($C$3,C1802,2)</f>
        <v>10</v>
      </c>
      <c r="E1802" s="13"/>
    </row>
    <row r="1803" spans="2:5" x14ac:dyDescent="0.2">
      <c r="B1803" t="s">
        <v>8278</v>
      </c>
      <c r="C1803" t="s">
        <v>8279</v>
      </c>
      <c r="D1803" s="13">
        <f>_xll.EditDistance($C$3,C1803,2)</f>
        <v>10</v>
      </c>
      <c r="E1803" s="13"/>
    </row>
    <row r="1804" spans="2:5" x14ac:dyDescent="0.2">
      <c r="B1804" t="s">
        <v>8290</v>
      </c>
      <c r="C1804" t="s">
        <v>8291</v>
      </c>
      <c r="D1804" s="13">
        <f>_xll.EditDistance($C$3,C1804,2)</f>
        <v>10</v>
      </c>
      <c r="E1804" s="13"/>
    </row>
    <row r="1805" spans="2:5" x14ac:dyDescent="0.2">
      <c r="B1805" t="s">
        <v>8341</v>
      </c>
      <c r="C1805" t="s">
        <v>8342</v>
      </c>
      <c r="D1805" s="13">
        <f>_xll.EditDistance($C$3,C1805,2)</f>
        <v>10</v>
      </c>
      <c r="E1805" s="13"/>
    </row>
    <row r="1806" spans="2:5" x14ac:dyDescent="0.2">
      <c r="B1806" t="s">
        <v>8366</v>
      </c>
      <c r="C1806" t="s">
        <v>8367</v>
      </c>
      <c r="D1806" s="13">
        <f>_xll.EditDistance($C$3,C1806,2)</f>
        <v>10</v>
      </c>
      <c r="E1806" s="13"/>
    </row>
    <row r="1807" spans="2:5" x14ac:dyDescent="0.2">
      <c r="B1807" t="s">
        <v>8398</v>
      </c>
      <c r="C1807" t="s">
        <v>8399</v>
      </c>
      <c r="D1807" s="13">
        <f>_xll.EditDistance($C$3,C1807,2)</f>
        <v>10</v>
      </c>
      <c r="E1807" s="13"/>
    </row>
    <row r="1808" spans="2:5" x14ac:dyDescent="0.2">
      <c r="B1808" t="s">
        <v>8433</v>
      </c>
      <c r="C1808" t="s">
        <v>8434</v>
      </c>
      <c r="D1808" s="13">
        <f>_xll.EditDistance($C$3,C1808,2)</f>
        <v>10</v>
      </c>
      <c r="E1808" s="13"/>
    </row>
    <row r="1809" spans="2:5" x14ac:dyDescent="0.2">
      <c r="B1809" t="s">
        <v>8474</v>
      </c>
      <c r="C1809" t="s">
        <v>8475</v>
      </c>
      <c r="D1809" s="13">
        <f>_xll.EditDistance($C$3,C1809,2)</f>
        <v>10</v>
      </c>
      <c r="E1809" s="13"/>
    </row>
    <row r="1810" spans="2:5" x14ac:dyDescent="0.2">
      <c r="B1810" t="s">
        <v>8526</v>
      </c>
      <c r="C1810" t="s">
        <v>8527</v>
      </c>
      <c r="D1810" s="13">
        <f>_xll.EditDistance($C$3,C1810,2)</f>
        <v>10</v>
      </c>
      <c r="E1810" s="13"/>
    </row>
    <row r="1811" spans="2:5" x14ac:dyDescent="0.2">
      <c r="B1811" t="s">
        <v>8534</v>
      </c>
      <c r="C1811" t="s">
        <v>8535</v>
      </c>
      <c r="D1811" s="13">
        <f>_xll.EditDistance($C$3,C1811,2)</f>
        <v>10</v>
      </c>
      <c r="E1811" s="13"/>
    </row>
    <row r="1812" spans="2:5" x14ac:dyDescent="0.2">
      <c r="B1812" t="s">
        <v>8576</v>
      </c>
      <c r="C1812" t="s">
        <v>8577</v>
      </c>
      <c r="D1812" s="13">
        <f>_xll.EditDistance($C$3,C1812,2)</f>
        <v>20</v>
      </c>
      <c r="E1812" s="13"/>
    </row>
    <row r="1813" spans="2:5" x14ac:dyDescent="0.2">
      <c r="B1813" t="s">
        <v>8609</v>
      </c>
      <c r="C1813" t="s">
        <v>8610</v>
      </c>
      <c r="D1813" s="13">
        <f>_xll.EditDistance($C$3,C1813,2)</f>
        <v>10</v>
      </c>
      <c r="E1813" s="13"/>
    </row>
    <row r="1814" spans="2:5" x14ac:dyDescent="0.2">
      <c r="B1814" t="s">
        <v>8615</v>
      </c>
      <c r="C1814" t="s">
        <v>8616</v>
      </c>
      <c r="D1814" s="13">
        <f>_xll.EditDistance($C$3,C1814,2)</f>
        <v>10</v>
      </c>
      <c r="E1814" s="13"/>
    </row>
    <row r="1815" spans="2:5" x14ac:dyDescent="0.2">
      <c r="B1815" t="s">
        <v>8639</v>
      </c>
      <c r="C1815" t="s">
        <v>8640</v>
      </c>
      <c r="D1815" s="13">
        <f>_xll.EditDistance($C$3,C1815,2)</f>
        <v>10</v>
      </c>
      <c r="E1815" s="13"/>
    </row>
    <row r="1816" spans="2:5" x14ac:dyDescent="0.2">
      <c r="B1816" t="s">
        <v>8651</v>
      </c>
      <c r="C1816" t="s">
        <v>8652</v>
      </c>
      <c r="D1816" s="13">
        <f>_xll.EditDistance($C$3,C1816,2)</f>
        <v>10</v>
      </c>
      <c r="E1816" s="13"/>
    </row>
    <row r="1817" spans="2:5" x14ac:dyDescent="0.2">
      <c r="B1817" t="s">
        <v>8668</v>
      </c>
      <c r="C1817" t="s">
        <v>8669</v>
      </c>
      <c r="D1817" s="13">
        <f>_xll.EditDistance($C$3,C1817,2)</f>
        <v>20</v>
      </c>
      <c r="E1817" s="13"/>
    </row>
    <row r="1818" spans="2:5" x14ac:dyDescent="0.2">
      <c r="B1818" t="s">
        <v>8670</v>
      </c>
      <c r="C1818" t="s">
        <v>8671</v>
      </c>
      <c r="D1818" s="13">
        <f>_xll.EditDistance($C$3,C1818,2)</f>
        <v>10</v>
      </c>
      <c r="E1818" s="13"/>
    </row>
    <row r="1819" spans="2:5" x14ac:dyDescent="0.2">
      <c r="B1819" t="s">
        <v>178</v>
      </c>
      <c r="C1819" t="s">
        <v>179</v>
      </c>
      <c r="D1819" s="13">
        <f>_xll.EditDistance($C$3,C1819,2)</f>
        <v>20</v>
      </c>
      <c r="E1819" s="13"/>
    </row>
    <row r="1820" spans="2:5" x14ac:dyDescent="0.2">
      <c r="B1820" t="s">
        <v>522</v>
      </c>
      <c r="C1820" t="s">
        <v>523</v>
      </c>
      <c r="D1820" s="13">
        <f>_xll.EditDistance($C$3,C1820,2)</f>
        <v>10</v>
      </c>
      <c r="E1820" s="13"/>
    </row>
    <row r="1821" spans="2:5" x14ac:dyDescent="0.2">
      <c r="B1821" t="s">
        <v>796</v>
      </c>
      <c r="C1821" t="s">
        <v>797</v>
      </c>
      <c r="D1821" s="13">
        <f>_xll.EditDistance($C$3,C1821,2)</f>
        <v>10</v>
      </c>
      <c r="E1821" s="13"/>
    </row>
    <row r="1822" spans="2:5" x14ac:dyDescent="0.2">
      <c r="B1822" t="s">
        <v>1048</v>
      </c>
      <c r="C1822" t="s">
        <v>1049</v>
      </c>
      <c r="D1822" s="13">
        <f>_xll.EditDistance($C$3,C1822,2)</f>
        <v>20</v>
      </c>
      <c r="E1822" s="13"/>
    </row>
    <row r="1823" spans="2:5" x14ac:dyDescent="0.2">
      <c r="B1823" t="s">
        <v>1387</v>
      </c>
      <c r="C1823" t="s">
        <v>1388</v>
      </c>
      <c r="D1823" s="13">
        <f>_xll.EditDistance($C$3,C1823,2)</f>
        <v>10</v>
      </c>
      <c r="E1823" s="13"/>
    </row>
    <row r="1824" spans="2:5" x14ac:dyDescent="0.2">
      <c r="B1824" s="22" t="s">
        <v>1630</v>
      </c>
      <c r="C1824" t="s">
        <v>1631</v>
      </c>
      <c r="D1824" s="13">
        <f>_xll.EditDistance($C$3,C1824,2)</f>
        <v>10</v>
      </c>
      <c r="E1824" s="13"/>
    </row>
    <row r="1825" spans="2:5" x14ac:dyDescent="0.2">
      <c r="B1825" t="s">
        <v>1783</v>
      </c>
      <c r="C1825" t="s">
        <v>1784</v>
      </c>
      <c r="D1825" s="13">
        <f>_xll.EditDistance($C$3,C1825,2)</f>
        <v>10</v>
      </c>
      <c r="E1825" s="13"/>
    </row>
    <row r="1826" spans="2:5" x14ac:dyDescent="0.2">
      <c r="B1826" t="s">
        <v>2396</v>
      </c>
      <c r="C1826" t="s">
        <v>2397</v>
      </c>
      <c r="D1826" s="13">
        <f>_xll.EditDistance($C$3,C1826,2)</f>
        <v>10</v>
      </c>
      <c r="E1826" s="13"/>
    </row>
    <row r="1827" spans="2:5" x14ac:dyDescent="0.2">
      <c r="B1827" t="s">
        <v>2396</v>
      </c>
      <c r="C1827" t="s">
        <v>2398</v>
      </c>
      <c r="D1827" s="13">
        <f>_xll.EditDistance($C$3,C1827,2)</f>
        <v>10</v>
      </c>
      <c r="E1827" s="13"/>
    </row>
    <row r="1828" spans="2:5" x14ac:dyDescent="0.2">
      <c r="B1828" t="s">
        <v>2434</v>
      </c>
      <c r="C1828" t="s">
        <v>2435</v>
      </c>
      <c r="D1828" s="13">
        <f>_xll.EditDistance($C$3,C1828,2)</f>
        <v>10</v>
      </c>
      <c r="E1828" s="13"/>
    </row>
    <row r="1829" spans="2:5" x14ac:dyDescent="0.2">
      <c r="B1829" t="s">
        <v>2480</v>
      </c>
      <c r="C1829" t="s">
        <v>2481</v>
      </c>
      <c r="D1829" s="13">
        <f>_xll.EditDistance($C$3,C1829,2)</f>
        <v>10</v>
      </c>
      <c r="E1829" s="13"/>
    </row>
    <row r="1830" spans="2:5" x14ac:dyDescent="0.2">
      <c r="B1830" t="s">
        <v>2652</v>
      </c>
      <c r="C1830" t="s">
        <v>2653</v>
      </c>
      <c r="D1830" s="13">
        <f>_xll.EditDistance($C$3,C1830,2)</f>
        <v>10</v>
      </c>
      <c r="E1830" s="13"/>
    </row>
    <row r="1831" spans="2:5" x14ac:dyDescent="0.2">
      <c r="B1831" t="s">
        <v>2684</v>
      </c>
      <c r="C1831" t="s">
        <v>2685</v>
      </c>
      <c r="D1831" s="13">
        <f>_xll.EditDistance($C$3,C1831,2)</f>
        <v>20</v>
      </c>
      <c r="E1831" s="13"/>
    </row>
    <row r="1832" spans="2:5" x14ac:dyDescent="0.2">
      <c r="B1832" t="s">
        <v>2711</v>
      </c>
      <c r="C1832" t="s">
        <v>2712</v>
      </c>
      <c r="D1832" s="13">
        <f>_xll.EditDistance($C$3,C1832,2)</f>
        <v>20</v>
      </c>
      <c r="E1832" s="13"/>
    </row>
    <row r="1833" spans="2:5" x14ac:dyDescent="0.2">
      <c r="B1833" t="s">
        <v>3141</v>
      </c>
      <c r="C1833" t="s">
        <v>3142</v>
      </c>
      <c r="D1833" s="13">
        <f>_xll.EditDistance($C$3,C1833,2)</f>
        <v>10</v>
      </c>
      <c r="E1833" s="13"/>
    </row>
    <row r="1834" spans="2:5" x14ac:dyDescent="0.2">
      <c r="B1834" t="s">
        <v>3504</v>
      </c>
      <c r="C1834" t="s">
        <v>3505</v>
      </c>
      <c r="D1834" s="13">
        <f>_xll.EditDistance($C$3,C1834,2)</f>
        <v>30</v>
      </c>
      <c r="E1834" s="13"/>
    </row>
    <row r="1835" spans="2:5" x14ac:dyDescent="0.2">
      <c r="B1835" t="s">
        <v>3548</v>
      </c>
      <c r="C1835" t="s">
        <v>3549</v>
      </c>
      <c r="D1835" s="13">
        <f>_xll.EditDistance($C$3,C1835,2)</f>
        <v>10</v>
      </c>
      <c r="E1835" s="13"/>
    </row>
    <row r="1836" spans="2:5" x14ac:dyDescent="0.2">
      <c r="B1836" t="s">
        <v>3918</v>
      </c>
      <c r="C1836" t="s">
        <v>3919</v>
      </c>
      <c r="D1836" s="13">
        <f>_xll.EditDistance($C$3,C1836,2)</f>
        <v>20</v>
      </c>
      <c r="E1836" s="13"/>
    </row>
    <row r="1837" spans="2:5" x14ac:dyDescent="0.2">
      <c r="B1837" t="s">
        <v>4197</v>
      </c>
      <c r="C1837" t="s">
        <v>4198</v>
      </c>
      <c r="D1837" s="13">
        <f>_xll.EditDistance($C$3,C1837,2)</f>
        <v>10</v>
      </c>
      <c r="E1837" s="13"/>
    </row>
    <row r="1838" spans="2:5" x14ac:dyDescent="0.2">
      <c r="B1838" t="s">
        <v>4252</v>
      </c>
      <c r="C1838" t="s">
        <v>4253</v>
      </c>
      <c r="D1838" s="13">
        <f>_xll.EditDistance($C$3,C1838,2)</f>
        <v>10</v>
      </c>
      <c r="E1838" s="13"/>
    </row>
    <row r="1839" spans="2:5" x14ac:dyDescent="0.2">
      <c r="B1839" t="s">
        <v>4595</v>
      </c>
      <c r="C1839" t="s">
        <v>4596</v>
      </c>
      <c r="D1839" s="13">
        <f>_xll.EditDistance($C$3,C1839,2)</f>
        <v>10</v>
      </c>
      <c r="E1839" s="13"/>
    </row>
    <row r="1840" spans="2:5" x14ac:dyDescent="0.2">
      <c r="B1840" t="s">
        <v>4767</v>
      </c>
      <c r="C1840" t="s">
        <v>4768</v>
      </c>
      <c r="D1840" s="13">
        <f>_xll.EditDistance($C$3,C1840,2)</f>
        <v>10</v>
      </c>
      <c r="E1840" s="13"/>
    </row>
    <row r="1841" spans="2:5" x14ac:dyDescent="0.2">
      <c r="B1841" t="s">
        <v>4905</v>
      </c>
      <c r="C1841" t="s">
        <v>4907</v>
      </c>
      <c r="D1841" s="13">
        <f>_xll.EditDistance($C$3,C1841,2)</f>
        <v>10</v>
      </c>
      <c r="E1841" s="13"/>
    </row>
    <row r="1842" spans="2:5" x14ac:dyDescent="0.2">
      <c r="B1842" t="s">
        <v>5164</v>
      </c>
      <c r="C1842" t="s">
        <v>5165</v>
      </c>
      <c r="D1842" s="13">
        <f>_xll.EditDistance($C$3,C1842,2)</f>
        <v>10</v>
      </c>
      <c r="E1842" s="13"/>
    </row>
    <row r="1843" spans="2:5" x14ac:dyDescent="0.2">
      <c r="B1843" t="s">
        <v>5287</v>
      </c>
      <c r="C1843" t="s">
        <v>5288</v>
      </c>
      <c r="D1843" s="13">
        <f>_xll.EditDistance($C$3,C1843,2)</f>
        <v>10</v>
      </c>
      <c r="E1843" s="13"/>
    </row>
    <row r="1844" spans="2:5" x14ac:dyDescent="0.2">
      <c r="B1844" t="s">
        <v>5950</v>
      </c>
      <c r="C1844" t="s">
        <v>5951</v>
      </c>
      <c r="D1844" s="13">
        <f>_xll.EditDistance($C$3,C1844,2)</f>
        <v>10</v>
      </c>
      <c r="E1844" s="13"/>
    </row>
    <row r="1845" spans="2:5" x14ac:dyDescent="0.2">
      <c r="B1845" t="s">
        <v>6235</v>
      </c>
      <c r="C1845" t="s">
        <v>6236</v>
      </c>
      <c r="D1845" s="13">
        <f>_xll.EditDistance($C$3,C1845,2)</f>
        <v>10</v>
      </c>
      <c r="E1845" s="13"/>
    </row>
    <row r="1846" spans="2:5" x14ac:dyDescent="0.2">
      <c r="B1846" t="s">
        <v>6276</v>
      </c>
      <c r="C1846" t="s">
        <v>6277</v>
      </c>
      <c r="D1846" s="13">
        <f>_xll.EditDistance($C$3,C1846,2)</f>
        <v>10</v>
      </c>
      <c r="E1846" s="13"/>
    </row>
    <row r="1847" spans="2:5" x14ac:dyDescent="0.2">
      <c r="B1847" t="s">
        <v>6401</v>
      </c>
      <c r="C1847" t="s">
        <v>6402</v>
      </c>
      <c r="D1847" s="13">
        <f>_xll.EditDistance($C$3,C1847,2)</f>
        <v>10</v>
      </c>
      <c r="E1847" s="13"/>
    </row>
    <row r="1848" spans="2:5" x14ac:dyDescent="0.2">
      <c r="B1848" t="s">
        <v>6544</v>
      </c>
      <c r="C1848" t="s">
        <v>6545</v>
      </c>
      <c r="D1848" s="13">
        <f>_xll.EditDistance($C$3,C1848,2)</f>
        <v>10</v>
      </c>
      <c r="E1848" s="13"/>
    </row>
    <row r="1849" spans="2:5" x14ac:dyDescent="0.2">
      <c r="B1849" t="s">
        <v>7535</v>
      </c>
      <c r="C1849" t="s">
        <v>7536</v>
      </c>
      <c r="D1849" s="13">
        <f>_xll.EditDistance($C$3,C1849,2)</f>
        <v>10</v>
      </c>
      <c r="E1849" s="13"/>
    </row>
    <row r="1850" spans="2:5" x14ac:dyDescent="0.2">
      <c r="B1850" t="s">
        <v>7768</v>
      </c>
      <c r="C1850" t="s">
        <v>7769</v>
      </c>
      <c r="D1850" s="13">
        <f>_xll.EditDistance($C$3,C1850,2)</f>
        <v>10</v>
      </c>
      <c r="E1850" s="13"/>
    </row>
    <row r="1851" spans="2:5" x14ac:dyDescent="0.2">
      <c r="B1851" t="s">
        <v>7950</v>
      </c>
      <c r="C1851" t="s">
        <v>7951</v>
      </c>
      <c r="D1851" s="13">
        <f>_xll.EditDistance($C$3,C1851,2)</f>
        <v>10</v>
      </c>
      <c r="E1851" s="13"/>
    </row>
    <row r="1852" spans="2:5" x14ac:dyDescent="0.2">
      <c r="B1852" t="s">
        <v>8102</v>
      </c>
      <c r="C1852" t="s">
        <v>8103</v>
      </c>
      <c r="D1852" s="13">
        <f>_xll.EditDistance($C$3,C1852,2)</f>
        <v>10</v>
      </c>
      <c r="E1852" s="13"/>
    </row>
    <row r="1853" spans="2:5" x14ac:dyDescent="0.2">
      <c r="B1853" t="s">
        <v>8134</v>
      </c>
      <c r="C1853" t="s">
        <v>8135</v>
      </c>
      <c r="D1853" s="13">
        <f>_xll.EditDistance($C$3,C1853,2)</f>
        <v>10</v>
      </c>
      <c r="E1853" s="13"/>
    </row>
    <row r="1854" spans="2:5" x14ac:dyDescent="0.2">
      <c r="B1854" t="s">
        <v>8146</v>
      </c>
      <c r="C1854" t="s">
        <v>8147</v>
      </c>
      <c r="D1854" s="13">
        <f>_xll.EditDistance($C$3,C1854,2)</f>
        <v>10</v>
      </c>
      <c r="E1854" s="13"/>
    </row>
    <row r="1855" spans="2:5" x14ac:dyDescent="0.2">
      <c r="B1855" t="s">
        <v>8150</v>
      </c>
      <c r="C1855" t="s">
        <v>8151</v>
      </c>
      <c r="D1855" s="13">
        <f>_xll.EditDistance($C$3,C1855,2)</f>
        <v>10</v>
      </c>
      <c r="E1855" s="13"/>
    </row>
    <row r="1856" spans="2:5" x14ac:dyDescent="0.2">
      <c r="B1856" t="s">
        <v>8248</v>
      </c>
      <c r="C1856" t="s">
        <v>8249</v>
      </c>
      <c r="D1856" s="13">
        <f>_xll.EditDistance($C$3,C1856,2)</f>
        <v>10</v>
      </c>
      <c r="E1856" s="13"/>
    </row>
    <row r="1857" spans="2:5" x14ac:dyDescent="0.2">
      <c r="B1857" t="s">
        <v>8256</v>
      </c>
      <c r="C1857" t="s">
        <v>8257</v>
      </c>
      <c r="D1857" s="13">
        <f>_xll.EditDistance($C$3,C1857,2)</f>
        <v>10</v>
      </c>
      <c r="E1857" s="13"/>
    </row>
    <row r="1858" spans="2:5" x14ac:dyDescent="0.2">
      <c r="B1858" t="s">
        <v>8345</v>
      </c>
      <c r="C1858" t="s">
        <v>8346</v>
      </c>
      <c r="D1858" s="13">
        <f>_xll.EditDistance($C$3,C1858,2)</f>
        <v>10</v>
      </c>
      <c r="E1858" s="13"/>
    </row>
    <row r="1859" spans="2:5" x14ac:dyDescent="0.2">
      <c r="B1859" t="s">
        <v>8431</v>
      </c>
      <c r="C1859" t="s">
        <v>8432</v>
      </c>
      <c r="D1859" s="13">
        <f>_xll.EditDistance($C$3,C1859,2)</f>
        <v>10</v>
      </c>
      <c r="E1859" s="13"/>
    </row>
    <row r="1860" spans="2:5" x14ac:dyDescent="0.2">
      <c r="B1860" t="s">
        <v>8682</v>
      </c>
      <c r="C1860" t="s">
        <v>8683</v>
      </c>
      <c r="D1860" s="13">
        <f>_xll.EditDistance($C$3,C1860,2)</f>
        <v>10</v>
      </c>
      <c r="E1860" s="13"/>
    </row>
    <row r="1861" spans="2:5" x14ac:dyDescent="0.2">
      <c r="B1861" t="s">
        <v>8713</v>
      </c>
      <c r="C1861" t="s">
        <v>8714</v>
      </c>
      <c r="D1861" s="13">
        <f>_xll.EditDistance($C$3,C1861,2)</f>
        <v>10</v>
      </c>
      <c r="E1861" s="13"/>
    </row>
    <row r="1862" spans="2:5" x14ac:dyDescent="0.2">
      <c r="B1862" t="s">
        <v>226</v>
      </c>
      <c r="C1862" t="s">
        <v>227</v>
      </c>
      <c r="D1862" s="13">
        <f>_xll.EditDistance($C$3,C1862,2)</f>
        <v>10</v>
      </c>
      <c r="E1862" s="13"/>
    </row>
    <row r="1863" spans="2:5" x14ac:dyDescent="0.2">
      <c r="B1863" t="s">
        <v>460</v>
      </c>
      <c r="C1863" t="s">
        <v>461</v>
      </c>
      <c r="D1863" s="13">
        <f>_xll.EditDistance($C$3,C1863,2)</f>
        <v>20</v>
      </c>
      <c r="E1863" s="13"/>
    </row>
    <row r="1864" spans="2:5" x14ac:dyDescent="0.2">
      <c r="B1864" s="22" t="s">
        <v>545</v>
      </c>
      <c r="C1864" t="s">
        <v>548</v>
      </c>
      <c r="D1864" s="13">
        <f>_xll.EditDistance($C$3,C1864,2)</f>
        <v>10</v>
      </c>
      <c r="E1864" s="13"/>
    </row>
    <row r="1865" spans="2:5" x14ac:dyDescent="0.2">
      <c r="B1865" t="s">
        <v>587</v>
      </c>
      <c r="C1865" t="s">
        <v>588</v>
      </c>
      <c r="D1865" s="13">
        <f>_xll.EditDistance($C$3,C1865,2)</f>
        <v>10</v>
      </c>
      <c r="E1865" s="13"/>
    </row>
    <row r="1866" spans="2:5" x14ac:dyDescent="0.2">
      <c r="B1866" t="s">
        <v>628</v>
      </c>
      <c r="C1866" t="s">
        <v>629</v>
      </c>
      <c r="D1866" s="13">
        <f>_xll.EditDistance($C$3,C1866,2)</f>
        <v>20</v>
      </c>
      <c r="E1866" s="13"/>
    </row>
    <row r="1867" spans="2:5" x14ac:dyDescent="0.2">
      <c r="B1867" t="s">
        <v>748</v>
      </c>
      <c r="C1867" t="s">
        <v>749</v>
      </c>
      <c r="D1867" s="13">
        <f>_xll.EditDistance($C$3,C1867,2)</f>
        <v>10</v>
      </c>
      <c r="E1867" s="13"/>
    </row>
    <row r="1868" spans="2:5" x14ac:dyDescent="0.2">
      <c r="B1868" t="s">
        <v>911</v>
      </c>
      <c r="C1868" t="s">
        <v>912</v>
      </c>
      <c r="D1868" s="13">
        <f>_xll.EditDistance($C$3,C1868,2)</f>
        <v>10</v>
      </c>
      <c r="E1868" s="13"/>
    </row>
    <row r="1869" spans="2:5" x14ac:dyDescent="0.2">
      <c r="B1869" t="s">
        <v>954</v>
      </c>
      <c r="C1869" t="s">
        <v>955</v>
      </c>
      <c r="D1869" s="13">
        <f>_xll.EditDistance($C$3,C1869,2)</f>
        <v>10</v>
      </c>
      <c r="E1869" s="13"/>
    </row>
    <row r="1870" spans="2:5" x14ac:dyDescent="0.2">
      <c r="B1870" t="s">
        <v>1046</v>
      </c>
      <c r="C1870" t="s">
        <v>1047</v>
      </c>
      <c r="D1870" s="13">
        <f>_xll.EditDistance($C$3,C1870,2)</f>
        <v>10</v>
      </c>
      <c r="E1870" s="13"/>
    </row>
    <row r="1871" spans="2:5" x14ac:dyDescent="0.2">
      <c r="B1871" t="s">
        <v>1271</v>
      </c>
      <c r="C1871" t="s">
        <v>1272</v>
      </c>
      <c r="D1871" s="13">
        <f>_xll.EditDistance($C$3,C1871,2)</f>
        <v>10</v>
      </c>
      <c r="E1871" s="13"/>
    </row>
    <row r="1872" spans="2:5" x14ac:dyDescent="0.2">
      <c r="B1872" t="s">
        <v>1568</v>
      </c>
      <c r="C1872" t="s">
        <v>1569</v>
      </c>
      <c r="D1872" s="13">
        <f>_xll.EditDistance($C$3,C1872,2)</f>
        <v>10</v>
      </c>
      <c r="E1872" s="13"/>
    </row>
    <row r="1873" spans="2:5" x14ac:dyDescent="0.2">
      <c r="B1873" t="s">
        <v>1658</v>
      </c>
      <c r="C1873" t="s">
        <v>1659</v>
      </c>
      <c r="D1873" s="13">
        <f>_xll.EditDistance($C$3,C1873,2)</f>
        <v>10</v>
      </c>
      <c r="E1873" s="13"/>
    </row>
    <row r="1874" spans="2:5" x14ac:dyDescent="0.2">
      <c r="B1874" t="s">
        <v>1718</v>
      </c>
      <c r="C1874" t="s">
        <v>1719</v>
      </c>
      <c r="D1874" s="13">
        <f>_xll.EditDistance($C$3,C1874,2)</f>
        <v>20</v>
      </c>
      <c r="E1874" s="13"/>
    </row>
    <row r="1875" spans="2:5" x14ac:dyDescent="0.2">
      <c r="B1875" t="s">
        <v>2028</v>
      </c>
      <c r="C1875" t="s">
        <v>2029</v>
      </c>
      <c r="D1875" s="13">
        <f>_xll.EditDistance($C$3,C1875,2)</f>
        <v>10</v>
      </c>
      <c r="E1875" s="13"/>
    </row>
    <row r="1876" spans="2:5" x14ac:dyDescent="0.2">
      <c r="B1876" t="s">
        <v>2646</v>
      </c>
      <c r="C1876" t="s">
        <v>2647</v>
      </c>
      <c r="D1876" s="13">
        <f>_xll.EditDistance($C$3,C1876,2)</f>
        <v>10</v>
      </c>
      <c r="E1876" s="13"/>
    </row>
    <row r="1877" spans="2:5" x14ac:dyDescent="0.2">
      <c r="B1877" t="s">
        <v>3482</v>
      </c>
      <c r="C1877" t="s">
        <v>3483</v>
      </c>
      <c r="D1877" s="13">
        <f>_xll.EditDistance($C$3,C1877,2)</f>
        <v>10</v>
      </c>
      <c r="E1877" s="13"/>
    </row>
    <row r="1878" spans="2:5" x14ac:dyDescent="0.2">
      <c r="B1878" t="s">
        <v>3562</v>
      </c>
      <c r="C1878" t="s">
        <v>3563</v>
      </c>
      <c r="D1878" s="13">
        <f>_xll.EditDistance($C$3,C1878,2)</f>
        <v>10</v>
      </c>
      <c r="E1878" s="13"/>
    </row>
    <row r="1879" spans="2:5" x14ac:dyDescent="0.2">
      <c r="B1879" t="s">
        <v>3754</v>
      </c>
      <c r="C1879" t="s">
        <v>3755</v>
      </c>
      <c r="D1879" s="13">
        <f>_xll.EditDistance($C$3,C1879,2)</f>
        <v>10</v>
      </c>
      <c r="E1879" s="13"/>
    </row>
    <row r="1880" spans="2:5" x14ac:dyDescent="0.2">
      <c r="B1880" t="s">
        <v>4633</v>
      </c>
      <c r="C1880" t="s">
        <v>4634</v>
      </c>
      <c r="D1880" s="13">
        <f>_xll.EditDistance($C$3,C1880,2)</f>
        <v>10</v>
      </c>
      <c r="E1880" s="13"/>
    </row>
    <row r="1881" spans="2:5" x14ac:dyDescent="0.2">
      <c r="B1881" t="s">
        <v>4686</v>
      </c>
      <c r="C1881" t="s">
        <v>4687</v>
      </c>
      <c r="D1881" s="13">
        <f>_xll.EditDistance($C$3,C1881,2)</f>
        <v>10</v>
      </c>
      <c r="E1881" s="13"/>
    </row>
    <row r="1882" spans="2:5" x14ac:dyDescent="0.2">
      <c r="B1882" t="s">
        <v>5162</v>
      </c>
      <c r="C1882" t="s">
        <v>5163</v>
      </c>
      <c r="D1882" s="13">
        <f>_xll.EditDistance($C$3,C1882,2)</f>
        <v>10</v>
      </c>
      <c r="E1882" s="13"/>
    </row>
    <row r="1883" spans="2:5" x14ac:dyDescent="0.2">
      <c r="B1883" t="s">
        <v>5365</v>
      </c>
      <c r="C1883" t="s">
        <v>5366</v>
      </c>
      <c r="D1883" s="13">
        <f>_xll.EditDistance($C$3,C1883,2)</f>
        <v>10</v>
      </c>
      <c r="E1883" s="13"/>
    </row>
    <row r="1884" spans="2:5" x14ac:dyDescent="0.2">
      <c r="B1884" t="s">
        <v>5392</v>
      </c>
      <c r="C1884" t="s">
        <v>5393</v>
      </c>
      <c r="D1884" s="13">
        <f>_xll.EditDistance($C$3,C1884,2)</f>
        <v>10</v>
      </c>
      <c r="E1884" s="13"/>
    </row>
    <row r="1885" spans="2:5" x14ac:dyDescent="0.2">
      <c r="B1885" t="s">
        <v>5471</v>
      </c>
      <c r="C1885" t="s">
        <v>5472</v>
      </c>
      <c r="D1885" s="13">
        <f>_xll.EditDistance($C$3,C1885,2)</f>
        <v>10</v>
      </c>
      <c r="E1885" s="13"/>
    </row>
    <row r="1886" spans="2:5" x14ac:dyDescent="0.2">
      <c r="B1886" t="s">
        <v>5507</v>
      </c>
      <c r="C1886" t="s">
        <v>5508</v>
      </c>
      <c r="D1886" s="13">
        <f>_xll.EditDistance($C$3,C1886,2)</f>
        <v>10</v>
      </c>
      <c r="E1886" s="13"/>
    </row>
    <row r="1887" spans="2:5" x14ac:dyDescent="0.2">
      <c r="B1887" t="s">
        <v>5543</v>
      </c>
      <c r="C1887" t="s">
        <v>5544</v>
      </c>
      <c r="D1887" s="13">
        <f>_xll.EditDistance($C$3,C1887,2)</f>
        <v>20</v>
      </c>
      <c r="E1887" s="13"/>
    </row>
    <row r="1888" spans="2:5" x14ac:dyDescent="0.2">
      <c r="B1888" t="s">
        <v>5684</v>
      </c>
      <c r="C1888" t="s">
        <v>5685</v>
      </c>
      <c r="D1888" s="13">
        <f>_xll.EditDistance($C$3,C1888,2)</f>
        <v>10</v>
      </c>
      <c r="E1888" s="13"/>
    </row>
    <row r="1889" spans="2:5" x14ac:dyDescent="0.2">
      <c r="B1889" t="s">
        <v>5738</v>
      </c>
      <c r="C1889" t="s">
        <v>5739</v>
      </c>
      <c r="D1889" s="13">
        <f>_xll.EditDistance($C$3,C1889,2)</f>
        <v>10</v>
      </c>
      <c r="E1889" s="13"/>
    </row>
    <row r="1890" spans="2:5" x14ac:dyDescent="0.2">
      <c r="B1890" t="s">
        <v>5790</v>
      </c>
      <c r="C1890" t="s">
        <v>5791</v>
      </c>
      <c r="D1890" s="13">
        <f>_xll.EditDistance($C$3,C1890,2)</f>
        <v>10</v>
      </c>
      <c r="E1890" s="13"/>
    </row>
    <row r="1891" spans="2:5" x14ac:dyDescent="0.2">
      <c r="B1891" t="s">
        <v>6029</v>
      </c>
      <c r="C1891" t="s">
        <v>6030</v>
      </c>
      <c r="D1891" s="13">
        <f>_xll.EditDistance($C$3,C1891,2)</f>
        <v>10</v>
      </c>
      <c r="E1891" s="13"/>
    </row>
    <row r="1892" spans="2:5" x14ac:dyDescent="0.2">
      <c r="B1892" t="s">
        <v>6221</v>
      </c>
      <c r="C1892" t="s">
        <v>6222</v>
      </c>
      <c r="D1892" s="13">
        <f>_xll.EditDistance($C$3,C1892,2)</f>
        <v>10</v>
      </c>
      <c r="E1892" s="13"/>
    </row>
    <row r="1893" spans="2:5" x14ac:dyDescent="0.2">
      <c r="B1893" t="s">
        <v>6506</v>
      </c>
      <c r="C1893" t="s">
        <v>6507</v>
      </c>
      <c r="D1893" s="13">
        <f>_xll.EditDistance($C$3,C1893,2)</f>
        <v>10</v>
      </c>
      <c r="E1893" s="13"/>
    </row>
    <row r="1894" spans="2:5" x14ac:dyDescent="0.2">
      <c r="B1894" t="s">
        <v>6603</v>
      </c>
      <c r="C1894" t="s">
        <v>6604</v>
      </c>
      <c r="D1894" s="13">
        <f>_xll.EditDistance($C$3,C1894,2)</f>
        <v>10</v>
      </c>
      <c r="E1894" s="13"/>
    </row>
    <row r="1895" spans="2:5" x14ac:dyDescent="0.2">
      <c r="B1895" t="s">
        <v>6691</v>
      </c>
      <c r="C1895" t="s">
        <v>6692</v>
      </c>
      <c r="D1895" s="13">
        <f>_xll.EditDistance($C$3,C1895,2)</f>
        <v>10</v>
      </c>
      <c r="E1895" s="13"/>
    </row>
    <row r="1896" spans="2:5" x14ac:dyDescent="0.2">
      <c r="B1896" t="s">
        <v>6717</v>
      </c>
      <c r="C1896" t="s">
        <v>6718</v>
      </c>
      <c r="D1896" s="13">
        <f>_xll.EditDistance($C$3,C1896,2)</f>
        <v>20</v>
      </c>
      <c r="E1896" s="13"/>
    </row>
    <row r="1897" spans="2:5" x14ac:dyDescent="0.2">
      <c r="B1897" t="s">
        <v>6777</v>
      </c>
      <c r="C1897" t="s">
        <v>6778</v>
      </c>
      <c r="D1897" s="13">
        <f>_xll.EditDistance($C$3,C1897,2)</f>
        <v>10</v>
      </c>
      <c r="E1897" s="13"/>
    </row>
    <row r="1898" spans="2:5" x14ac:dyDescent="0.2">
      <c r="B1898" t="s">
        <v>7016</v>
      </c>
      <c r="C1898" t="s">
        <v>7017</v>
      </c>
      <c r="D1898" s="13">
        <f>_xll.EditDistance($C$3,C1898,2)</f>
        <v>10</v>
      </c>
      <c r="E1898" s="13"/>
    </row>
    <row r="1899" spans="2:5" x14ac:dyDescent="0.2">
      <c r="B1899" t="s">
        <v>7079</v>
      </c>
      <c r="C1899" t="s">
        <v>7081</v>
      </c>
      <c r="D1899" s="13">
        <f>_xll.EditDistance($C$3,C1899,2)</f>
        <v>27</v>
      </c>
      <c r="E1899" s="13"/>
    </row>
    <row r="1900" spans="2:5" x14ac:dyDescent="0.2">
      <c r="B1900" t="s">
        <v>7079</v>
      </c>
      <c r="C1900" t="s">
        <v>7082</v>
      </c>
      <c r="D1900" s="13">
        <f>_xll.EditDistance($C$3,C1900,2)</f>
        <v>27</v>
      </c>
      <c r="E1900" s="13"/>
    </row>
    <row r="1901" spans="2:5" x14ac:dyDescent="0.2">
      <c r="B1901" t="s">
        <v>7256</v>
      </c>
      <c r="C1901" t="s">
        <v>7261</v>
      </c>
      <c r="D1901" s="13">
        <f>_xll.EditDistance($C$3,C1901,2)</f>
        <v>10</v>
      </c>
      <c r="E1901" s="13"/>
    </row>
    <row r="1902" spans="2:5" x14ac:dyDescent="0.2">
      <c r="B1902" t="s">
        <v>7328</v>
      </c>
      <c r="C1902" t="s">
        <v>7329</v>
      </c>
      <c r="D1902" s="13">
        <f>_xll.EditDistance($C$3,C1902,2)</f>
        <v>10</v>
      </c>
      <c r="E1902" s="13"/>
    </row>
    <row r="1903" spans="2:5" x14ac:dyDescent="0.2">
      <c r="B1903" t="s">
        <v>7488</v>
      </c>
      <c r="C1903" t="s">
        <v>7490</v>
      </c>
      <c r="D1903" s="13">
        <f>_xll.EditDistance($C$3,C1903,2)</f>
        <v>10</v>
      </c>
      <c r="E1903" s="13"/>
    </row>
    <row r="1904" spans="2:5" x14ac:dyDescent="0.2">
      <c r="B1904" t="s">
        <v>7495</v>
      </c>
      <c r="C1904" t="s">
        <v>7496</v>
      </c>
      <c r="D1904" s="13">
        <f>_xll.EditDistance($C$3,C1904,2)</f>
        <v>10</v>
      </c>
      <c r="E1904" s="13"/>
    </row>
    <row r="1905" spans="2:5" x14ac:dyDescent="0.2">
      <c r="B1905" t="s">
        <v>7605</v>
      </c>
      <c r="C1905" t="s">
        <v>7606</v>
      </c>
      <c r="D1905" s="13">
        <f>_xll.EditDistance($C$3,C1905,2)</f>
        <v>10</v>
      </c>
      <c r="E1905" s="13"/>
    </row>
    <row r="1906" spans="2:5" x14ac:dyDescent="0.2">
      <c r="B1906" t="s">
        <v>7640</v>
      </c>
      <c r="C1906" t="s">
        <v>7641</v>
      </c>
      <c r="D1906" s="13">
        <f>_xll.EditDistance($C$3,C1906,2)</f>
        <v>10</v>
      </c>
      <c r="E1906" s="13"/>
    </row>
    <row r="1907" spans="2:5" x14ac:dyDescent="0.2">
      <c r="B1907" t="s">
        <v>7669</v>
      </c>
      <c r="C1907" t="s">
        <v>7670</v>
      </c>
      <c r="D1907" s="13">
        <f>_xll.EditDistance($C$3,C1907,2)</f>
        <v>10</v>
      </c>
      <c r="E1907" s="13"/>
    </row>
    <row r="1908" spans="2:5" x14ac:dyDescent="0.2">
      <c r="B1908" t="s">
        <v>7758</v>
      </c>
      <c r="C1908" t="s">
        <v>7759</v>
      </c>
      <c r="D1908" s="13">
        <f>_xll.EditDistance($C$3,C1908,2)</f>
        <v>10</v>
      </c>
      <c r="E1908" s="13"/>
    </row>
    <row r="1909" spans="2:5" x14ac:dyDescent="0.2">
      <c r="B1909" t="s">
        <v>7885</v>
      </c>
      <c r="C1909" t="s">
        <v>7886</v>
      </c>
      <c r="D1909" s="13">
        <f>_xll.EditDistance($C$3,C1909,2)</f>
        <v>10</v>
      </c>
      <c r="E1909" s="13"/>
    </row>
    <row r="1910" spans="2:5" x14ac:dyDescent="0.2">
      <c r="B1910" t="s">
        <v>8110</v>
      </c>
      <c r="C1910" t="s">
        <v>8111</v>
      </c>
      <c r="D1910" s="13">
        <f>_xll.EditDistance($C$3,C1910,2)</f>
        <v>10</v>
      </c>
      <c r="E1910" s="13"/>
    </row>
    <row r="1911" spans="2:5" x14ac:dyDescent="0.2">
      <c r="B1911" t="s">
        <v>8116</v>
      </c>
      <c r="C1911" t="s">
        <v>8117</v>
      </c>
      <c r="D1911" s="13">
        <f>_xll.EditDistance($C$3,C1911,2)</f>
        <v>10</v>
      </c>
      <c r="E1911" s="13"/>
    </row>
    <row r="1912" spans="2:5" x14ac:dyDescent="0.2">
      <c r="B1912" t="s">
        <v>8374</v>
      </c>
      <c r="C1912" t="s">
        <v>8375</v>
      </c>
      <c r="D1912" s="13">
        <f>_xll.EditDistance($C$3,C1912,2)</f>
        <v>10</v>
      </c>
      <c r="E1912" s="13"/>
    </row>
    <row r="1913" spans="2:5" x14ac:dyDescent="0.2">
      <c r="B1913" t="s">
        <v>8443</v>
      </c>
      <c r="C1913" t="s">
        <v>8444</v>
      </c>
      <c r="D1913" s="13">
        <f>_xll.EditDistance($C$3,C1913,2)</f>
        <v>10</v>
      </c>
      <c r="E1913" s="13"/>
    </row>
    <row r="1914" spans="2:5" x14ac:dyDescent="0.2">
      <c r="B1914" t="s">
        <v>8545</v>
      </c>
      <c r="C1914" t="s">
        <v>8546</v>
      </c>
      <c r="D1914" s="13">
        <f>_xll.EditDistance($C$3,C1914,2)</f>
        <v>10</v>
      </c>
      <c r="E1914" s="13"/>
    </row>
    <row r="1915" spans="2:5" x14ac:dyDescent="0.2">
      <c r="B1915" t="s">
        <v>8586</v>
      </c>
      <c r="C1915" t="s">
        <v>8587</v>
      </c>
      <c r="D1915" s="13">
        <f>_xll.EditDistance($C$3,C1915,2)</f>
        <v>10</v>
      </c>
      <c r="E1915" s="13"/>
    </row>
    <row r="1916" spans="2:5" x14ac:dyDescent="0.2">
      <c r="B1916" t="s">
        <v>8613</v>
      </c>
      <c r="C1916" t="s">
        <v>8614</v>
      </c>
      <c r="D1916" s="13">
        <f>_xll.EditDistance($C$3,C1916,2)</f>
        <v>10</v>
      </c>
      <c r="E1916" s="13"/>
    </row>
    <row r="1917" spans="2:5" x14ac:dyDescent="0.2">
      <c r="B1917" t="s">
        <v>8697</v>
      </c>
      <c r="C1917" t="s">
        <v>8698</v>
      </c>
      <c r="D1917" s="13">
        <f>_xll.EditDistance($C$3,C1917,2)</f>
        <v>10</v>
      </c>
      <c r="E1917" s="13"/>
    </row>
    <row r="1918" spans="2:5" x14ac:dyDescent="0.2">
      <c r="B1918" t="s">
        <v>139</v>
      </c>
      <c r="C1918" t="s">
        <v>140</v>
      </c>
      <c r="D1918" s="13">
        <f>_xll.EditDistance($C$3,C1918,2)</f>
        <v>10</v>
      </c>
      <c r="E1918" s="13"/>
    </row>
    <row r="1919" spans="2:5" x14ac:dyDescent="0.2">
      <c r="B1919" t="s">
        <v>960</v>
      </c>
      <c r="C1919" t="s">
        <v>961</v>
      </c>
      <c r="D1919" s="13">
        <f>_xll.EditDistance($C$3,C1919,2)</f>
        <v>10</v>
      </c>
      <c r="E1919" s="13"/>
    </row>
    <row r="1920" spans="2:5" x14ac:dyDescent="0.2">
      <c r="B1920" t="s">
        <v>1673</v>
      </c>
      <c r="C1920" t="s">
        <v>1674</v>
      </c>
      <c r="D1920" s="13">
        <f>_xll.EditDistance($C$3,C1920,2)</f>
        <v>10</v>
      </c>
      <c r="E1920" s="13"/>
    </row>
    <row r="1921" spans="2:5" x14ac:dyDescent="0.2">
      <c r="B1921" t="s">
        <v>2882</v>
      </c>
      <c r="C1921" t="s">
        <v>2883</v>
      </c>
      <c r="D1921" s="13">
        <f>_xll.EditDistance($C$3,C1921,2)</f>
        <v>10</v>
      </c>
      <c r="E1921" s="13"/>
    </row>
    <row r="1922" spans="2:5" x14ac:dyDescent="0.2">
      <c r="B1922" t="s">
        <v>3419</v>
      </c>
      <c r="C1922" t="s">
        <v>3421</v>
      </c>
      <c r="D1922" s="13">
        <f>_xll.EditDistance($C$3,C1922,2)</f>
        <v>10</v>
      </c>
      <c r="E1922" s="13"/>
    </row>
    <row r="1923" spans="2:5" x14ac:dyDescent="0.2">
      <c r="B1923" t="s">
        <v>5103</v>
      </c>
      <c r="C1923" t="s">
        <v>5104</v>
      </c>
      <c r="D1923" s="13">
        <f>_xll.EditDistance($C$3,C1923,2)</f>
        <v>10</v>
      </c>
      <c r="E1923" s="13"/>
    </row>
    <row r="1924" spans="2:5" x14ac:dyDescent="0.2">
      <c r="B1924" t="s">
        <v>5224</v>
      </c>
      <c r="C1924" t="s">
        <v>5225</v>
      </c>
      <c r="D1924" s="13">
        <f>_xll.EditDistance($C$3,C1924,2)</f>
        <v>20</v>
      </c>
      <c r="E1924" s="13"/>
    </row>
    <row r="1925" spans="2:5" x14ac:dyDescent="0.2">
      <c r="B1925" t="s">
        <v>6014</v>
      </c>
      <c r="C1925" t="s">
        <v>6015</v>
      </c>
      <c r="D1925" s="13">
        <f>_xll.EditDistance($C$3,C1925,2)</f>
        <v>10</v>
      </c>
      <c r="E1925" s="13"/>
    </row>
    <row r="1926" spans="2:5" x14ac:dyDescent="0.2">
      <c r="B1926" t="s">
        <v>7792</v>
      </c>
      <c r="C1926" t="s">
        <v>7793</v>
      </c>
      <c r="D1926" s="13">
        <f>_xll.EditDistance($C$3,C1926,2)</f>
        <v>54</v>
      </c>
      <c r="E1926" s="13"/>
    </row>
    <row r="1927" spans="2:5" x14ac:dyDescent="0.2">
      <c r="B1927" t="s">
        <v>7932</v>
      </c>
      <c r="C1927" t="s">
        <v>7933</v>
      </c>
      <c r="D1927" s="13">
        <f>_xll.EditDistance($C$3,C1927,2)</f>
        <v>10</v>
      </c>
      <c r="E1927" s="13"/>
    </row>
    <row r="1928" spans="2:5" x14ac:dyDescent="0.2">
      <c r="B1928" t="s">
        <v>7942</v>
      </c>
      <c r="C1928" t="s">
        <v>7943</v>
      </c>
      <c r="D1928" s="13">
        <f>_xll.EditDistance($C$3,C1928,2)</f>
        <v>10</v>
      </c>
      <c r="E1928" s="13"/>
    </row>
    <row r="1929" spans="2:5" x14ac:dyDescent="0.2">
      <c r="B1929" t="s">
        <v>1062</v>
      </c>
      <c r="C1929" t="s">
        <v>1063</v>
      </c>
      <c r="D1929" s="13">
        <f>_xll.EditDistance($C$3,C1929,2)</f>
        <v>20</v>
      </c>
      <c r="E1929" s="13"/>
    </row>
    <row r="1930" spans="2:5" x14ac:dyDescent="0.2">
      <c r="B1930" t="s">
        <v>6368</v>
      </c>
      <c r="C1930" t="s">
        <v>6369</v>
      </c>
      <c r="D1930" s="13">
        <f>_xll.EditDistance($C$3,C1930,2)</f>
        <v>10</v>
      </c>
      <c r="E1930" s="13"/>
    </row>
    <row r="1931" spans="2:5" x14ac:dyDescent="0.2">
      <c r="B1931" t="s">
        <v>7079</v>
      </c>
      <c r="C1931" t="s">
        <v>7080</v>
      </c>
      <c r="D1931" s="13">
        <f>_xll.EditDistance($C$3,C1931,2)</f>
        <v>27</v>
      </c>
      <c r="E1931" s="13"/>
    </row>
    <row r="1932" spans="2:5" x14ac:dyDescent="0.2">
      <c r="B1932" t="s">
        <v>2474</v>
      </c>
      <c r="C1932" t="s">
        <v>2475</v>
      </c>
      <c r="D1932" s="13">
        <f>_xll.EditDistance($C$3,C1932,2)</f>
        <v>10</v>
      </c>
      <c r="E1932" s="13"/>
    </row>
    <row r="1933" spans="2:5" x14ac:dyDescent="0.2">
      <c r="B1933" t="s">
        <v>3478</v>
      </c>
      <c r="C1933" t="s">
        <v>3480</v>
      </c>
      <c r="D1933" s="13">
        <f>_xll.EditDistance($C$3,C1933,2)</f>
        <v>20</v>
      </c>
      <c r="E1933" s="13"/>
    </row>
    <row r="1934" spans="2:5" x14ac:dyDescent="0.2">
      <c r="B1934" t="s">
        <v>3692</v>
      </c>
      <c r="C1934" t="s">
        <v>3693</v>
      </c>
      <c r="D1934" s="13">
        <f>_xll.EditDistance($C$3,C1934,2)</f>
        <v>10</v>
      </c>
      <c r="E1934" s="13"/>
    </row>
    <row r="1935" spans="2:5" x14ac:dyDescent="0.2">
      <c r="B1935" t="s">
        <v>4030</v>
      </c>
      <c r="C1935" t="s">
        <v>4031</v>
      </c>
      <c r="D1935" s="13">
        <f>_xll.EditDistance($C$3,C1935,2)</f>
        <v>20</v>
      </c>
      <c r="E1935" s="13"/>
    </row>
    <row r="1936" spans="2:5" x14ac:dyDescent="0.2">
      <c r="B1936" t="s">
        <v>4742</v>
      </c>
      <c r="C1936" t="s">
        <v>4743</v>
      </c>
      <c r="D1936" s="13">
        <f>_xll.EditDistance($C$3,C1936,2)</f>
        <v>18</v>
      </c>
      <c r="E1936" s="13"/>
    </row>
    <row r="1937" spans="2:5" x14ac:dyDescent="0.2">
      <c r="B1937" t="s">
        <v>4883</v>
      </c>
      <c r="C1937" t="s">
        <v>4884</v>
      </c>
      <c r="D1937" s="13">
        <f>_xll.EditDistance($C$3,C1937,2)</f>
        <v>10</v>
      </c>
      <c r="E1937" s="13"/>
    </row>
    <row r="1938" spans="2:5" x14ac:dyDescent="0.2">
      <c r="B1938" t="s">
        <v>119</v>
      </c>
      <c r="C1938" t="s">
        <v>121</v>
      </c>
      <c r="D1938" s="13">
        <f>_xll.EditDistance($C$3,C1938,2)</f>
        <v>20</v>
      </c>
      <c r="E1938" s="13"/>
    </row>
    <row r="1939" spans="2:5" x14ac:dyDescent="0.2">
      <c r="B1939" t="s">
        <v>386</v>
      </c>
      <c r="C1939" t="s">
        <v>387</v>
      </c>
      <c r="D1939" s="13">
        <f>_xll.EditDistance($C$3,C1939,2)</f>
        <v>20</v>
      </c>
      <c r="E1939" s="13"/>
    </row>
    <row r="1940" spans="2:5" x14ac:dyDescent="0.2">
      <c r="B1940" t="s">
        <v>432</v>
      </c>
      <c r="C1940" t="s">
        <v>433</v>
      </c>
      <c r="D1940" s="13">
        <f>_xll.EditDistance($C$3,C1940,2)</f>
        <v>10</v>
      </c>
      <c r="E1940" s="13"/>
    </row>
    <row r="1941" spans="2:5" x14ac:dyDescent="0.2">
      <c r="B1941" t="s">
        <v>502</v>
      </c>
      <c r="C1941" t="s">
        <v>503</v>
      </c>
      <c r="D1941" s="13">
        <f>_xll.EditDistance($C$3,C1941,2)</f>
        <v>10</v>
      </c>
      <c r="E1941" s="13"/>
    </row>
    <row r="1942" spans="2:5" x14ac:dyDescent="0.2">
      <c r="B1942" s="22" t="s">
        <v>558</v>
      </c>
      <c r="C1942" t="s">
        <v>559</v>
      </c>
      <c r="D1942" s="13">
        <f>_xll.EditDistance($C$3,C1942,2)</f>
        <v>10</v>
      </c>
      <c r="E1942" s="13"/>
    </row>
    <row r="1943" spans="2:5" x14ac:dyDescent="0.2">
      <c r="B1943" t="s">
        <v>806</v>
      </c>
      <c r="C1943" t="s">
        <v>807</v>
      </c>
      <c r="D1943" s="13">
        <f>_xll.EditDistance($C$3,C1943,2)</f>
        <v>10</v>
      </c>
      <c r="E1943" s="13"/>
    </row>
    <row r="1944" spans="2:5" x14ac:dyDescent="0.2">
      <c r="B1944" t="s">
        <v>830</v>
      </c>
      <c r="C1944" t="s">
        <v>831</v>
      </c>
      <c r="D1944" s="13">
        <f>_xll.EditDistance($C$3,C1944,2)</f>
        <v>10</v>
      </c>
      <c r="E1944" s="13"/>
    </row>
    <row r="1945" spans="2:5" x14ac:dyDescent="0.2">
      <c r="B1945" t="s">
        <v>1113</v>
      </c>
      <c r="C1945" t="s">
        <v>1114</v>
      </c>
      <c r="D1945" s="13">
        <f>_xll.EditDistance($C$3,C1945,2)</f>
        <v>10</v>
      </c>
      <c r="E1945" s="13"/>
    </row>
    <row r="1946" spans="2:5" x14ac:dyDescent="0.2">
      <c r="B1946" s="22" t="s">
        <v>1147</v>
      </c>
      <c r="C1946" t="s">
        <v>1148</v>
      </c>
      <c r="D1946" s="13">
        <f>_xll.EditDistance($C$3,C1946,2)</f>
        <v>10</v>
      </c>
      <c r="E1946" s="13"/>
    </row>
    <row r="1947" spans="2:5" x14ac:dyDescent="0.2">
      <c r="B1947" t="s">
        <v>1422</v>
      </c>
      <c r="C1947" t="s">
        <v>1423</v>
      </c>
      <c r="D1947" s="13">
        <f>_xll.EditDistance($C$3,C1947,2)</f>
        <v>10</v>
      </c>
      <c r="E1947" s="13"/>
    </row>
    <row r="1948" spans="2:5" x14ac:dyDescent="0.2">
      <c r="B1948" t="s">
        <v>1640</v>
      </c>
      <c r="C1948" t="s">
        <v>1641</v>
      </c>
      <c r="D1948" s="13">
        <f>_xll.EditDistance($C$3,C1948,2)</f>
        <v>10</v>
      </c>
      <c r="E1948" s="13"/>
    </row>
    <row r="1949" spans="2:5" x14ac:dyDescent="0.2">
      <c r="B1949" t="s">
        <v>1656</v>
      </c>
      <c r="C1949" t="s">
        <v>1657</v>
      </c>
      <c r="D1949" s="13">
        <f>_xll.EditDistance($C$3,C1949,2)</f>
        <v>20</v>
      </c>
      <c r="E1949" s="13"/>
    </row>
    <row r="1950" spans="2:5" x14ac:dyDescent="0.2">
      <c r="B1950" t="s">
        <v>1687</v>
      </c>
      <c r="C1950" t="s">
        <v>1688</v>
      </c>
      <c r="D1950" s="13">
        <f>_xll.EditDistance($C$3,C1950,2)</f>
        <v>10</v>
      </c>
      <c r="E1950" s="13"/>
    </row>
    <row r="1951" spans="2:5" x14ac:dyDescent="0.2">
      <c r="B1951" s="22" t="s">
        <v>1793</v>
      </c>
      <c r="C1951" t="s">
        <v>1794</v>
      </c>
      <c r="D1951" s="13">
        <f>_xll.EditDistance($C$3,C1951,2)</f>
        <v>20</v>
      </c>
      <c r="E1951" s="13"/>
    </row>
    <row r="1952" spans="2:5" x14ac:dyDescent="0.2">
      <c r="B1952" s="22" t="s">
        <v>1793</v>
      </c>
      <c r="C1952" t="s">
        <v>1795</v>
      </c>
      <c r="D1952" s="13">
        <f>_xll.EditDistance($C$3,C1952,2)</f>
        <v>20</v>
      </c>
      <c r="E1952" s="13"/>
    </row>
    <row r="1953" spans="2:5" x14ac:dyDescent="0.2">
      <c r="B1953" t="s">
        <v>2010</v>
      </c>
      <c r="C1953" t="s">
        <v>2011</v>
      </c>
      <c r="D1953" s="13">
        <f>_xll.EditDistance($C$3,C1953,2)</f>
        <v>10</v>
      </c>
      <c r="E1953" s="13"/>
    </row>
    <row r="1954" spans="2:5" x14ac:dyDescent="0.2">
      <c r="B1954" t="s">
        <v>2131</v>
      </c>
      <c r="C1954" t="s">
        <v>2132</v>
      </c>
      <c r="D1954" s="13">
        <f>_xll.EditDistance($C$3,C1954,2)</f>
        <v>10</v>
      </c>
      <c r="E1954" s="13"/>
    </row>
    <row r="1955" spans="2:5" x14ac:dyDescent="0.2">
      <c r="B1955" t="s">
        <v>2269</v>
      </c>
      <c r="C1955" t="s">
        <v>2270</v>
      </c>
      <c r="D1955" s="13">
        <f>_xll.EditDistance($C$3,C1955,2)</f>
        <v>10</v>
      </c>
      <c r="E1955" s="13"/>
    </row>
    <row r="1956" spans="2:5" x14ac:dyDescent="0.2">
      <c r="B1956" t="s">
        <v>2756</v>
      </c>
      <c r="C1956" t="s">
        <v>2757</v>
      </c>
      <c r="D1956" s="13">
        <f>_xll.EditDistance($C$3,C1956,2)</f>
        <v>10</v>
      </c>
      <c r="E1956" s="13"/>
    </row>
    <row r="1957" spans="2:5" x14ac:dyDescent="0.2">
      <c r="B1957" t="s">
        <v>2967</v>
      </c>
      <c r="C1957" t="s">
        <v>2968</v>
      </c>
      <c r="D1957" s="13">
        <f>_xll.EditDistance($C$3,C1957,2)</f>
        <v>10</v>
      </c>
      <c r="E1957" s="13"/>
    </row>
    <row r="1958" spans="2:5" x14ac:dyDescent="0.2">
      <c r="B1958" t="s">
        <v>3181</v>
      </c>
      <c r="C1958" t="s">
        <v>3182</v>
      </c>
      <c r="D1958" s="13">
        <f>_xll.EditDistance($C$3,C1958,2)</f>
        <v>10</v>
      </c>
      <c r="E1958" s="13"/>
    </row>
    <row r="1959" spans="2:5" x14ac:dyDescent="0.2">
      <c r="B1959" t="s">
        <v>3611</v>
      </c>
      <c r="C1959" t="s">
        <v>3612</v>
      </c>
      <c r="D1959" s="13">
        <f>_xll.EditDistance($C$3,C1959,2)</f>
        <v>10</v>
      </c>
      <c r="E1959" s="13"/>
    </row>
    <row r="1960" spans="2:5" x14ac:dyDescent="0.2">
      <c r="B1960" t="s">
        <v>4734</v>
      </c>
      <c r="C1960" t="s">
        <v>4735</v>
      </c>
      <c r="D1960" s="13">
        <f>_xll.EditDistance($C$3,C1960,2)</f>
        <v>10</v>
      </c>
      <c r="E1960" s="13"/>
    </row>
    <row r="1961" spans="2:5" x14ac:dyDescent="0.2">
      <c r="B1961" t="s">
        <v>4738</v>
      </c>
      <c r="C1961" t="s">
        <v>4739</v>
      </c>
      <c r="D1961" s="13">
        <f>_xll.EditDistance($C$3,C1961,2)</f>
        <v>10</v>
      </c>
      <c r="E1961" s="13"/>
    </row>
    <row r="1962" spans="2:5" x14ac:dyDescent="0.2">
      <c r="B1962" t="s">
        <v>4991</v>
      </c>
      <c r="C1962" t="s">
        <v>4992</v>
      </c>
      <c r="D1962" s="13">
        <f>_xll.EditDistance($C$3,C1962,2)</f>
        <v>10</v>
      </c>
      <c r="E1962" s="13"/>
    </row>
    <row r="1963" spans="2:5" x14ac:dyDescent="0.2">
      <c r="B1963" t="s">
        <v>5068</v>
      </c>
      <c r="C1963" t="s">
        <v>5069</v>
      </c>
      <c r="D1963" s="13">
        <f>_xll.EditDistance($C$3,C1963,2)</f>
        <v>10</v>
      </c>
      <c r="E1963" s="13"/>
    </row>
    <row r="1964" spans="2:5" x14ac:dyDescent="0.2">
      <c r="B1964" t="s">
        <v>5634</v>
      </c>
      <c r="C1964" t="s">
        <v>5635</v>
      </c>
      <c r="D1964" s="13">
        <f>_xll.EditDistance($C$3,C1964,2)</f>
        <v>20</v>
      </c>
      <c r="E1964" s="13"/>
    </row>
    <row r="1965" spans="2:5" x14ac:dyDescent="0.2">
      <c r="B1965" t="s">
        <v>5802</v>
      </c>
      <c r="C1965" t="s">
        <v>5803</v>
      </c>
      <c r="D1965" s="13">
        <f>_xll.EditDistance($C$3,C1965,2)</f>
        <v>20</v>
      </c>
      <c r="E1965" s="13"/>
    </row>
    <row r="1966" spans="2:5" x14ac:dyDescent="0.2">
      <c r="B1966" t="s">
        <v>6018</v>
      </c>
      <c r="C1966" t="s">
        <v>6019</v>
      </c>
      <c r="D1966" s="13">
        <f>_xll.EditDistance($C$3,C1966,2)</f>
        <v>10</v>
      </c>
      <c r="E1966" s="13"/>
    </row>
    <row r="1967" spans="2:5" x14ac:dyDescent="0.2">
      <c r="B1967" t="s">
        <v>6283</v>
      </c>
      <c r="C1967" t="s">
        <v>6284</v>
      </c>
      <c r="D1967" s="13">
        <f>_xll.EditDistance($C$3,C1967,2)</f>
        <v>10</v>
      </c>
      <c r="E1967" s="13"/>
    </row>
    <row r="1968" spans="2:5" x14ac:dyDescent="0.2">
      <c r="B1968" t="s">
        <v>6324</v>
      </c>
      <c r="C1968" t="s">
        <v>6325</v>
      </c>
      <c r="D1968" s="13">
        <f>_xll.EditDistance($C$3,C1968,2)</f>
        <v>10</v>
      </c>
      <c r="E1968" s="13"/>
    </row>
    <row r="1969" spans="2:5" x14ac:dyDescent="0.2">
      <c r="B1969" t="s">
        <v>6666</v>
      </c>
      <c r="C1969" t="s">
        <v>6667</v>
      </c>
      <c r="D1969" s="13">
        <f>_xll.EditDistance($C$3,C1969,2)</f>
        <v>10</v>
      </c>
      <c r="E1969" s="13"/>
    </row>
    <row r="1970" spans="2:5" x14ac:dyDescent="0.2">
      <c r="B1970" t="s">
        <v>6998</v>
      </c>
      <c r="C1970" t="s">
        <v>6999</v>
      </c>
      <c r="D1970" s="13">
        <f>_xll.EditDistance($C$3,C1970,2)</f>
        <v>10</v>
      </c>
      <c r="E1970" s="13"/>
    </row>
    <row r="1971" spans="2:5" x14ac:dyDescent="0.2">
      <c r="B1971" t="s">
        <v>7476</v>
      </c>
      <c r="C1971" t="s">
        <v>7477</v>
      </c>
      <c r="D1971" s="13">
        <f>_xll.EditDistance($C$3,C1971,2)</f>
        <v>20</v>
      </c>
      <c r="E1971" s="13"/>
    </row>
    <row r="1972" spans="2:5" x14ac:dyDescent="0.2">
      <c r="B1972" t="s">
        <v>7503</v>
      </c>
      <c r="C1972" t="s">
        <v>7504</v>
      </c>
      <c r="D1972" s="13">
        <f>_xll.EditDistance($C$3,C1972,2)</f>
        <v>10</v>
      </c>
      <c r="E1972" s="13"/>
    </row>
    <row r="1973" spans="2:5" x14ac:dyDescent="0.2">
      <c r="B1973" t="s">
        <v>7832</v>
      </c>
      <c r="C1973" t="s">
        <v>7833</v>
      </c>
      <c r="D1973" s="13">
        <f>_xll.EditDistance($C$3,C1973,2)</f>
        <v>10</v>
      </c>
      <c r="E1973" s="13"/>
    </row>
    <row r="1974" spans="2:5" x14ac:dyDescent="0.2">
      <c r="B1974" t="s">
        <v>8032</v>
      </c>
      <c r="C1974" t="s">
        <v>8034</v>
      </c>
      <c r="D1974" s="13">
        <f>_xll.EditDistance($C$3,C1974,2)</f>
        <v>20</v>
      </c>
      <c r="E1974" s="13"/>
    </row>
    <row r="1975" spans="2:5" x14ac:dyDescent="0.2">
      <c r="B1975" t="s">
        <v>8315</v>
      </c>
      <c r="C1975" t="s">
        <v>8316</v>
      </c>
      <c r="D1975" s="13">
        <f>_xll.EditDistance($C$3,C1975,2)</f>
        <v>10</v>
      </c>
      <c r="E1975" s="13"/>
    </row>
    <row r="1976" spans="2:5" x14ac:dyDescent="0.2">
      <c r="B1976" t="s">
        <v>468</v>
      </c>
      <c r="C1976" t="s">
        <v>469</v>
      </c>
      <c r="D1976" s="13">
        <f>_xll.EditDistance($C$3,C1976,2)</f>
        <v>20</v>
      </c>
      <c r="E1976" s="13"/>
    </row>
    <row r="1977" spans="2:5" x14ac:dyDescent="0.2">
      <c r="B1977" t="s">
        <v>842</v>
      </c>
      <c r="C1977" t="s">
        <v>843</v>
      </c>
      <c r="D1977" s="13">
        <f>_xll.EditDistance($C$3,C1977,2)</f>
        <v>20</v>
      </c>
      <c r="E1977" s="13"/>
    </row>
    <row r="1978" spans="2:5" x14ac:dyDescent="0.2">
      <c r="B1978" t="s">
        <v>962</v>
      </c>
      <c r="C1978" t="s">
        <v>963</v>
      </c>
      <c r="D1978" s="13">
        <f>_xll.EditDistance($C$3,C1978,2)</f>
        <v>10</v>
      </c>
      <c r="E1978" s="13"/>
    </row>
    <row r="1979" spans="2:5" x14ac:dyDescent="0.2">
      <c r="B1979" t="s">
        <v>1538</v>
      </c>
      <c r="C1979" t="s">
        <v>1539</v>
      </c>
      <c r="D1979" s="13">
        <f>_xll.EditDistance($C$3,C1979,2)</f>
        <v>10</v>
      </c>
      <c r="E1979" s="13"/>
    </row>
    <row r="1980" spans="2:5" x14ac:dyDescent="0.2">
      <c r="B1980" t="s">
        <v>1662</v>
      </c>
      <c r="C1980" t="s">
        <v>1663</v>
      </c>
      <c r="D1980" s="13">
        <f>_xll.EditDistance($C$3,C1980,2)</f>
        <v>10</v>
      </c>
      <c r="E1980" s="13"/>
    </row>
    <row r="1981" spans="2:5" x14ac:dyDescent="0.2">
      <c r="B1981" t="s">
        <v>1700</v>
      </c>
      <c r="C1981" t="s">
        <v>1701</v>
      </c>
      <c r="D1981" s="13">
        <f>_xll.EditDistance($C$3,C1981,2)</f>
        <v>10</v>
      </c>
      <c r="E1981" s="13"/>
    </row>
    <row r="1982" spans="2:5" x14ac:dyDescent="0.2">
      <c r="B1982" t="s">
        <v>1708</v>
      </c>
      <c r="C1982" t="s">
        <v>1709</v>
      </c>
      <c r="D1982" s="13">
        <f>_xll.EditDistance($C$3,C1982,2)</f>
        <v>20</v>
      </c>
      <c r="E1982" s="13"/>
    </row>
    <row r="1983" spans="2:5" x14ac:dyDescent="0.2">
      <c r="B1983" t="s">
        <v>1966</v>
      </c>
      <c r="C1983" t="s">
        <v>1967</v>
      </c>
      <c r="D1983" s="13">
        <f>_xll.EditDistance($C$3,C1983,2)</f>
        <v>10</v>
      </c>
      <c r="E1983" s="13"/>
    </row>
    <row r="1984" spans="2:5" x14ac:dyDescent="0.2">
      <c r="B1984" t="s">
        <v>2322</v>
      </c>
      <c r="C1984" t="s">
        <v>2323</v>
      </c>
      <c r="D1984" s="13">
        <f>_xll.EditDistance($C$3,C1984,2)</f>
        <v>20</v>
      </c>
      <c r="E1984" s="13"/>
    </row>
    <row r="1985" spans="2:5" x14ac:dyDescent="0.2">
      <c r="B1985" t="s">
        <v>2363</v>
      </c>
      <c r="C1985" t="s">
        <v>2364</v>
      </c>
      <c r="D1985" s="13">
        <f>_xll.EditDistance($C$3,C1985,2)</f>
        <v>10</v>
      </c>
      <c r="E1985" s="13"/>
    </row>
    <row r="1986" spans="2:5" x14ac:dyDescent="0.2">
      <c r="B1986" t="s">
        <v>2654</v>
      </c>
      <c r="C1986" t="s">
        <v>2655</v>
      </c>
      <c r="D1986" s="13">
        <f>_xll.EditDistance($C$3,C1986,2)</f>
        <v>10</v>
      </c>
      <c r="E1986" s="13"/>
    </row>
    <row r="1987" spans="2:5" x14ac:dyDescent="0.2">
      <c r="B1987" t="s">
        <v>2661</v>
      </c>
      <c r="C1987" t="s">
        <v>2662</v>
      </c>
      <c r="D1987" s="13">
        <f>_xll.EditDistance($C$3,C1987,2)</f>
        <v>20</v>
      </c>
      <c r="E1987" s="13"/>
    </row>
    <row r="1988" spans="2:5" x14ac:dyDescent="0.2">
      <c r="B1988" t="s">
        <v>2929</v>
      </c>
      <c r="C1988" t="s">
        <v>2930</v>
      </c>
      <c r="D1988" s="13">
        <f>_xll.EditDistance($C$3,C1988,2)</f>
        <v>10</v>
      </c>
      <c r="E1988" s="13"/>
    </row>
    <row r="1989" spans="2:5" x14ac:dyDescent="0.2">
      <c r="B1989" t="s">
        <v>2990</v>
      </c>
      <c r="C1989" t="s">
        <v>2991</v>
      </c>
      <c r="D1989" s="13">
        <f>_xll.EditDistance($C$3,C1989,2)</f>
        <v>20</v>
      </c>
      <c r="E1989" s="13"/>
    </row>
    <row r="1990" spans="2:5" x14ac:dyDescent="0.2">
      <c r="B1990" t="s">
        <v>3378</v>
      </c>
      <c r="C1990" t="s">
        <v>3379</v>
      </c>
      <c r="D1990" s="13">
        <f>_xll.EditDistance($C$3,C1990,2)</f>
        <v>10</v>
      </c>
      <c r="E1990" s="13"/>
    </row>
    <row r="1991" spans="2:5" x14ac:dyDescent="0.2">
      <c r="B1991" t="s">
        <v>3605</v>
      </c>
      <c r="C1991" t="s">
        <v>3606</v>
      </c>
      <c r="D1991" s="13">
        <f>_xll.EditDistance($C$3,C1991,2)</f>
        <v>10</v>
      </c>
      <c r="E1991" s="13"/>
    </row>
    <row r="1992" spans="2:5" x14ac:dyDescent="0.2">
      <c r="B1992" t="s">
        <v>3746</v>
      </c>
      <c r="C1992" t="s">
        <v>3747</v>
      </c>
      <c r="D1992" s="13">
        <f>_xll.EditDistance($C$3,C1992,2)</f>
        <v>14</v>
      </c>
      <c r="E1992" s="13"/>
    </row>
    <row r="1993" spans="2:5" x14ac:dyDescent="0.2">
      <c r="B1993" t="s">
        <v>4040</v>
      </c>
      <c r="C1993" t="s">
        <v>4041</v>
      </c>
      <c r="D1993" s="13">
        <f>_xll.EditDistance($C$3,C1993,2)</f>
        <v>10</v>
      </c>
      <c r="E1993" s="13"/>
    </row>
    <row r="1994" spans="2:5" x14ac:dyDescent="0.2">
      <c r="B1994" t="s">
        <v>4157</v>
      </c>
      <c r="C1994" t="s">
        <v>4158</v>
      </c>
      <c r="D1994" s="13">
        <f>_xll.EditDistance($C$3,C1994,2)</f>
        <v>10</v>
      </c>
      <c r="E1994" s="13"/>
    </row>
    <row r="1995" spans="2:5" x14ac:dyDescent="0.2">
      <c r="B1995" t="s">
        <v>4315</v>
      </c>
      <c r="C1995" t="s">
        <v>4316</v>
      </c>
      <c r="D1995" s="13">
        <f>_xll.EditDistance($C$3,C1995,2)</f>
        <v>10</v>
      </c>
      <c r="E1995" s="13"/>
    </row>
    <row r="1996" spans="2:5" x14ac:dyDescent="0.2">
      <c r="B1996" t="s">
        <v>4315</v>
      </c>
      <c r="C1996" t="s">
        <v>4317</v>
      </c>
      <c r="D1996" s="13">
        <f>_xll.EditDistance($C$3,C1996,2)</f>
        <v>10</v>
      </c>
      <c r="E1996" s="13"/>
    </row>
    <row r="1997" spans="2:5" x14ac:dyDescent="0.2">
      <c r="B1997" t="s">
        <v>4353</v>
      </c>
      <c r="C1997" t="s">
        <v>4354</v>
      </c>
      <c r="D1997" s="13">
        <f>_xll.EditDistance($C$3,C1997,2)</f>
        <v>10</v>
      </c>
      <c r="E1997" s="13"/>
    </row>
    <row r="1998" spans="2:5" x14ac:dyDescent="0.2">
      <c r="B1998" t="s">
        <v>4424</v>
      </c>
      <c r="C1998" t="s">
        <v>4425</v>
      </c>
      <c r="D1998" s="13">
        <f>_xll.EditDistance($C$3,C1998,2)</f>
        <v>10</v>
      </c>
      <c r="E1998" s="13"/>
    </row>
    <row r="1999" spans="2:5" x14ac:dyDescent="0.2">
      <c r="B1999" t="s">
        <v>4509</v>
      </c>
      <c r="C1999" t="s">
        <v>4510</v>
      </c>
      <c r="D1999" s="13">
        <f>_xll.EditDistance($C$3,C1999,2)</f>
        <v>10</v>
      </c>
      <c r="E1999" s="13"/>
    </row>
    <row r="2000" spans="2:5" x14ac:dyDescent="0.2">
      <c r="B2000" t="s">
        <v>4585</v>
      </c>
      <c r="C2000" t="s">
        <v>4586</v>
      </c>
      <c r="D2000" s="13">
        <f>_xll.EditDistance($C$3,C2000,2)</f>
        <v>10</v>
      </c>
      <c r="E2000" s="13"/>
    </row>
    <row r="2001" spans="2:5" x14ac:dyDescent="0.2">
      <c r="B2001" t="s">
        <v>4832</v>
      </c>
      <c r="C2001" t="s">
        <v>4833</v>
      </c>
      <c r="D2001" s="13">
        <f>_xll.EditDistance($C$3,C2001,2)</f>
        <v>10</v>
      </c>
      <c r="E2001" s="13"/>
    </row>
    <row r="2002" spans="2:5" x14ac:dyDescent="0.2">
      <c r="B2002" t="s">
        <v>4881</v>
      </c>
      <c r="C2002" t="s">
        <v>4882</v>
      </c>
      <c r="D2002" s="13">
        <f>_xll.EditDistance($C$3,C2002,2)</f>
        <v>10</v>
      </c>
      <c r="E2002" s="13"/>
    </row>
    <row r="2003" spans="2:5" x14ac:dyDescent="0.2">
      <c r="B2003" t="s">
        <v>5029</v>
      </c>
      <c r="C2003" t="s">
        <v>5030</v>
      </c>
      <c r="D2003" s="13">
        <f>_xll.EditDistance($C$3,C2003,2)</f>
        <v>10</v>
      </c>
      <c r="E2003" s="13"/>
    </row>
    <row r="2004" spans="2:5" x14ac:dyDescent="0.2">
      <c r="B2004" t="s">
        <v>5185</v>
      </c>
      <c r="C2004" t="s">
        <v>5186</v>
      </c>
      <c r="D2004" s="13">
        <f>_xll.EditDistance($C$3,C2004,2)</f>
        <v>20</v>
      </c>
      <c r="E2004" s="13"/>
    </row>
    <row r="2005" spans="2:5" x14ac:dyDescent="0.2">
      <c r="B2005" t="s">
        <v>5193</v>
      </c>
      <c r="C2005" t="s">
        <v>5194</v>
      </c>
      <c r="D2005" s="13">
        <f>_xll.EditDistance($C$3,C2005,2)</f>
        <v>10</v>
      </c>
      <c r="E2005" s="13"/>
    </row>
    <row r="2006" spans="2:5" x14ac:dyDescent="0.2">
      <c r="B2006" t="s">
        <v>5754</v>
      </c>
      <c r="C2006" t="s">
        <v>5755</v>
      </c>
      <c r="D2006" s="13">
        <f>_xll.EditDistance($C$3,C2006,2)</f>
        <v>20</v>
      </c>
      <c r="E2006" s="13"/>
    </row>
    <row r="2007" spans="2:5" x14ac:dyDescent="0.2">
      <c r="B2007" t="s">
        <v>5942</v>
      </c>
      <c r="C2007" t="s">
        <v>5943</v>
      </c>
      <c r="D2007" s="13">
        <f>_xll.EditDistance($C$3,C2007,2)</f>
        <v>10</v>
      </c>
      <c r="E2007" s="13"/>
    </row>
    <row r="2008" spans="2:5" x14ac:dyDescent="0.2">
      <c r="B2008" t="s">
        <v>6065</v>
      </c>
      <c r="C2008" t="s">
        <v>6066</v>
      </c>
      <c r="D2008" s="13">
        <f>_xll.EditDistance($C$3,C2008,2)</f>
        <v>10</v>
      </c>
      <c r="E2008" s="13"/>
    </row>
    <row r="2009" spans="2:5" x14ac:dyDescent="0.2">
      <c r="B2009" t="s">
        <v>6075</v>
      </c>
      <c r="C2009" t="s">
        <v>6076</v>
      </c>
      <c r="D2009" s="13">
        <f>_xll.EditDistance($C$3,C2009,2)</f>
        <v>10</v>
      </c>
      <c r="E2009" s="13"/>
    </row>
    <row r="2010" spans="2:5" x14ac:dyDescent="0.2">
      <c r="B2010" t="s">
        <v>6229</v>
      </c>
      <c r="C2010" t="s">
        <v>6230</v>
      </c>
      <c r="D2010" s="13">
        <f>_xll.EditDistance($C$3,C2010,2)</f>
        <v>20</v>
      </c>
      <c r="E2010" s="13"/>
    </row>
    <row r="2011" spans="2:5" x14ac:dyDescent="0.2">
      <c r="B2011" t="s">
        <v>6353</v>
      </c>
      <c r="C2011" t="s">
        <v>6354</v>
      </c>
      <c r="D2011" s="13">
        <f>_xll.EditDistance($C$3,C2011,2)</f>
        <v>10</v>
      </c>
      <c r="E2011" s="13"/>
    </row>
    <row r="2012" spans="2:5" x14ac:dyDescent="0.2">
      <c r="B2012" t="s">
        <v>6382</v>
      </c>
      <c r="C2012" t="s">
        <v>6383</v>
      </c>
      <c r="D2012" s="13">
        <f>_xll.EditDistance($C$3,C2012,2)</f>
        <v>10</v>
      </c>
      <c r="E2012" s="13"/>
    </row>
    <row r="2013" spans="2:5" x14ac:dyDescent="0.2">
      <c r="B2013" t="s">
        <v>6449</v>
      </c>
      <c r="C2013" t="s">
        <v>6450</v>
      </c>
      <c r="D2013" s="13">
        <f>_xll.EditDistance($C$3,C2013,2)</f>
        <v>20</v>
      </c>
      <c r="E2013" s="13"/>
    </row>
    <row r="2014" spans="2:5" x14ac:dyDescent="0.2">
      <c r="B2014" t="s">
        <v>6488</v>
      </c>
      <c r="C2014" t="s">
        <v>6489</v>
      </c>
      <c r="D2014" s="13">
        <f>_xll.EditDistance($C$3,C2014,2)</f>
        <v>10</v>
      </c>
      <c r="E2014" s="13"/>
    </row>
    <row r="2015" spans="2:5" x14ac:dyDescent="0.2">
      <c r="B2015" t="s">
        <v>6542</v>
      </c>
      <c r="C2015" t="s">
        <v>6543</v>
      </c>
      <c r="D2015" s="13">
        <f>_xll.EditDistance($C$3,C2015,2)</f>
        <v>20</v>
      </c>
      <c r="E2015" s="13"/>
    </row>
    <row r="2016" spans="2:5" x14ac:dyDescent="0.2">
      <c r="B2016" t="s">
        <v>6781</v>
      </c>
      <c r="C2016" t="s">
        <v>6782</v>
      </c>
      <c r="D2016" s="13">
        <f>_xll.EditDistance($C$3,C2016,2)</f>
        <v>10</v>
      </c>
      <c r="E2016" s="13"/>
    </row>
    <row r="2017" spans="2:5" x14ac:dyDescent="0.2">
      <c r="B2017" t="s">
        <v>6897</v>
      </c>
      <c r="C2017" t="s">
        <v>6898</v>
      </c>
      <c r="D2017" s="13">
        <f>_xll.EditDistance($C$3,C2017,2)</f>
        <v>10</v>
      </c>
      <c r="E2017" s="13"/>
    </row>
    <row r="2018" spans="2:5" x14ac:dyDescent="0.2">
      <c r="B2018" t="s">
        <v>6976</v>
      </c>
      <c r="C2018" t="s">
        <v>6977</v>
      </c>
      <c r="D2018" s="13">
        <f>_xll.EditDistance($C$3,C2018,2)</f>
        <v>20</v>
      </c>
      <c r="E2018" s="13"/>
    </row>
    <row r="2019" spans="2:5" x14ac:dyDescent="0.2">
      <c r="B2019" t="s">
        <v>7079</v>
      </c>
      <c r="C2019" t="s">
        <v>7083</v>
      </c>
      <c r="D2019" s="13">
        <f>_xll.EditDistance($C$3,C2019,2)</f>
        <v>27</v>
      </c>
      <c r="E2019" s="13"/>
    </row>
    <row r="2020" spans="2:5" x14ac:dyDescent="0.2">
      <c r="B2020" t="s">
        <v>7279</v>
      </c>
      <c r="C2020" t="s">
        <v>7280</v>
      </c>
      <c r="D2020" s="13">
        <f>_xll.EditDistance($C$3,C2020,2)</f>
        <v>10</v>
      </c>
      <c r="E2020" s="13"/>
    </row>
    <row r="2021" spans="2:5" x14ac:dyDescent="0.2">
      <c r="B2021" t="s">
        <v>7319</v>
      </c>
      <c r="C2021" t="s">
        <v>7320</v>
      </c>
      <c r="D2021" s="13">
        <f>_xll.EditDistance($C$3,C2021,2)</f>
        <v>10</v>
      </c>
      <c r="E2021" s="13"/>
    </row>
    <row r="2022" spans="2:5" x14ac:dyDescent="0.2">
      <c r="B2022" t="s">
        <v>7332</v>
      </c>
      <c r="C2022" t="s">
        <v>7333</v>
      </c>
      <c r="D2022" s="13">
        <f>_xll.EditDistance($C$3,C2022,2)</f>
        <v>10</v>
      </c>
      <c r="E2022" s="13"/>
    </row>
    <row r="2023" spans="2:5" x14ac:dyDescent="0.2">
      <c r="B2023" t="s">
        <v>7398</v>
      </c>
      <c r="C2023" t="s">
        <v>7399</v>
      </c>
      <c r="D2023" s="13">
        <f>_xll.EditDistance($C$3,C2023,2)</f>
        <v>20</v>
      </c>
      <c r="E2023" s="13"/>
    </row>
    <row r="2024" spans="2:5" x14ac:dyDescent="0.2">
      <c r="B2024" t="s">
        <v>7422</v>
      </c>
      <c r="C2024" t="s">
        <v>7423</v>
      </c>
      <c r="D2024" s="13">
        <f>_xll.EditDistance($C$3,C2024,2)</f>
        <v>10</v>
      </c>
      <c r="E2024" s="13"/>
    </row>
    <row r="2025" spans="2:5" x14ac:dyDescent="0.2">
      <c r="B2025" t="s">
        <v>7488</v>
      </c>
      <c r="C2025" t="s">
        <v>7489</v>
      </c>
      <c r="D2025" s="13">
        <f>_xll.EditDistance($C$3,C2025,2)</f>
        <v>10</v>
      </c>
      <c r="E2025" s="13"/>
    </row>
    <row r="2026" spans="2:5" x14ac:dyDescent="0.2">
      <c r="B2026" t="s">
        <v>8236</v>
      </c>
      <c r="C2026" t="s">
        <v>8237</v>
      </c>
      <c r="D2026" s="13">
        <f>_xll.EditDistance($C$3,C2026,2)</f>
        <v>10</v>
      </c>
      <c r="E2026" s="13"/>
    </row>
    <row r="2027" spans="2:5" x14ac:dyDescent="0.2">
      <c r="B2027" t="s">
        <v>8259</v>
      </c>
      <c r="C2027" t="s">
        <v>8260</v>
      </c>
      <c r="D2027" s="13">
        <f>_xll.EditDistance($C$3,C2027,2)</f>
        <v>10</v>
      </c>
      <c r="E2027" s="13"/>
    </row>
    <row r="2028" spans="2:5" x14ac:dyDescent="0.2">
      <c r="B2028" t="s">
        <v>8327</v>
      </c>
      <c r="C2028" t="s">
        <v>8328</v>
      </c>
      <c r="D2028" s="13">
        <f>_xll.EditDistance($C$3,C2028,2)</f>
        <v>10</v>
      </c>
      <c r="E2028" s="13"/>
    </row>
    <row r="2029" spans="2:5" x14ac:dyDescent="0.2">
      <c r="B2029" t="s">
        <v>8418</v>
      </c>
      <c r="C2029" t="s">
        <v>8419</v>
      </c>
      <c r="D2029" s="13">
        <f>_xll.EditDistance($C$3,C2029,2)</f>
        <v>10</v>
      </c>
      <c r="E2029" s="13"/>
    </row>
    <row r="2030" spans="2:5" x14ac:dyDescent="0.2">
      <c r="B2030" t="s">
        <v>8420</v>
      </c>
      <c r="C2030" t="s">
        <v>8421</v>
      </c>
      <c r="D2030" s="13">
        <f>_xll.EditDistance($C$3,C2030,2)</f>
        <v>10</v>
      </c>
      <c r="E2030" s="13"/>
    </row>
    <row r="2031" spans="2:5" x14ac:dyDescent="0.2">
      <c r="B2031" t="s">
        <v>8492</v>
      </c>
      <c r="C2031" t="s">
        <v>8493</v>
      </c>
      <c r="D2031" s="13">
        <f>_xll.EditDistance($C$3,C2031,2)</f>
        <v>10</v>
      </c>
      <c r="E2031" s="13"/>
    </row>
    <row r="2032" spans="2:5" x14ac:dyDescent="0.2">
      <c r="B2032" t="s">
        <v>8539</v>
      </c>
      <c r="C2032" t="s">
        <v>8542</v>
      </c>
      <c r="D2032" s="13">
        <f>_xll.EditDistance($C$3,C2032,2)</f>
        <v>10</v>
      </c>
      <c r="E2032" s="13"/>
    </row>
    <row r="2033" spans="2:5" x14ac:dyDescent="0.2">
      <c r="B2033" t="s">
        <v>237</v>
      </c>
      <c r="C2033" t="s">
        <v>238</v>
      </c>
      <c r="D2033" s="13">
        <f>_xll.EditDistance($C$3,C2033,2)</f>
        <v>10</v>
      </c>
      <c r="E2033" s="13"/>
    </row>
    <row r="2034" spans="2:5" x14ac:dyDescent="0.2">
      <c r="B2034" t="s">
        <v>269</v>
      </c>
      <c r="C2034" t="s">
        <v>270</v>
      </c>
      <c r="D2034" s="13">
        <f>_xll.EditDistance($C$3,C2034,2)</f>
        <v>10</v>
      </c>
      <c r="E2034" s="13"/>
    </row>
    <row r="2035" spans="2:5" x14ac:dyDescent="0.2">
      <c r="B2035" t="s">
        <v>271</v>
      </c>
      <c r="C2035" t="s">
        <v>272</v>
      </c>
      <c r="D2035" s="13">
        <f>_xll.EditDistance($C$3,C2035,2)</f>
        <v>10</v>
      </c>
      <c r="E2035" s="13"/>
    </row>
    <row r="2036" spans="2:5" x14ac:dyDescent="0.2">
      <c r="B2036" t="s">
        <v>287</v>
      </c>
      <c r="C2036" t="s">
        <v>289</v>
      </c>
      <c r="D2036" s="13">
        <f>_xll.EditDistance($C$3,C2036,2)</f>
        <v>20</v>
      </c>
      <c r="E2036" s="13"/>
    </row>
    <row r="2037" spans="2:5" x14ac:dyDescent="0.2">
      <c r="B2037" t="s">
        <v>337</v>
      </c>
      <c r="C2037" t="s">
        <v>338</v>
      </c>
      <c r="D2037" s="13">
        <f>_xll.EditDistance($C$3,C2037,2)</f>
        <v>10</v>
      </c>
      <c r="E2037" s="13"/>
    </row>
    <row r="2038" spans="2:5" x14ac:dyDescent="0.2">
      <c r="B2038" t="s">
        <v>621</v>
      </c>
      <c r="C2038" t="s">
        <v>622</v>
      </c>
      <c r="D2038" s="13">
        <f>_xll.EditDistance($C$3,C2038,2)</f>
        <v>10</v>
      </c>
      <c r="E2038" s="13"/>
    </row>
    <row r="2039" spans="2:5" x14ac:dyDescent="0.2">
      <c r="B2039" t="s">
        <v>820</v>
      </c>
      <c r="C2039" t="s">
        <v>821</v>
      </c>
      <c r="D2039" s="13">
        <f>_xll.EditDistance($C$3,C2039,2)</f>
        <v>10</v>
      </c>
      <c r="E2039" s="13"/>
    </row>
    <row r="2040" spans="2:5" x14ac:dyDescent="0.2">
      <c r="B2040" s="22" t="s">
        <v>1107</v>
      </c>
      <c r="C2040" t="s">
        <v>1108</v>
      </c>
      <c r="D2040" s="13">
        <f>_xll.EditDistance($C$3,C2040,2)</f>
        <v>10</v>
      </c>
      <c r="E2040" s="13"/>
    </row>
    <row r="2041" spans="2:5" x14ac:dyDescent="0.2">
      <c r="B2041" t="s">
        <v>1121</v>
      </c>
      <c r="C2041" t="s">
        <v>1122</v>
      </c>
      <c r="D2041" s="13">
        <f>_xll.EditDistance($C$3,C2041,2)</f>
        <v>10</v>
      </c>
      <c r="E2041" s="13"/>
    </row>
    <row r="2042" spans="2:5" x14ac:dyDescent="0.2">
      <c r="B2042" t="s">
        <v>1521</v>
      </c>
      <c r="C2042" t="s">
        <v>1523</v>
      </c>
      <c r="D2042" s="13">
        <f>_xll.EditDistance($C$3,C2042,2)</f>
        <v>10</v>
      </c>
      <c r="E2042" s="13"/>
    </row>
    <row r="2043" spans="2:5" x14ac:dyDescent="0.2">
      <c r="B2043" t="s">
        <v>2454</v>
      </c>
      <c r="C2043" t="s">
        <v>2455</v>
      </c>
      <c r="D2043" s="13">
        <f>_xll.EditDistance($C$3,C2043,2)</f>
        <v>10</v>
      </c>
      <c r="E2043" s="13"/>
    </row>
    <row r="2044" spans="2:5" x14ac:dyDescent="0.2">
      <c r="B2044" t="s">
        <v>2809</v>
      </c>
      <c r="C2044" t="s">
        <v>2810</v>
      </c>
      <c r="D2044" s="13">
        <f>_xll.EditDistance($C$3,C2044,2)</f>
        <v>10</v>
      </c>
      <c r="E2044" s="13"/>
    </row>
    <row r="2045" spans="2:5" x14ac:dyDescent="0.2">
      <c r="B2045" t="s">
        <v>2863</v>
      </c>
      <c r="C2045" t="s">
        <v>2864</v>
      </c>
      <c r="D2045" s="13">
        <f>_xll.EditDistance($C$3,C2045,2)</f>
        <v>10</v>
      </c>
      <c r="E2045" s="13"/>
    </row>
    <row r="2046" spans="2:5" x14ac:dyDescent="0.2">
      <c r="B2046" t="s">
        <v>3019</v>
      </c>
      <c r="C2046" t="s">
        <v>3020</v>
      </c>
      <c r="D2046" s="13">
        <f>_xll.EditDistance($C$3,C2046,2)</f>
        <v>10</v>
      </c>
      <c r="E2046" s="13"/>
    </row>
    <row r="2047" spans="2:5" x14ac:dyDescent="0.2">
      <c r="B2047" t="s">
        <v>3613</v>
      </c>
      <c r="C2047" t="s">
        <v>3615</v>
      </c>
      <c r="D2047" s="13">
        <f>_xll.EditDistance($C$3,C2047,2)</f>
        <v>10</v>
      </c>
      <c r="E2047" s="13"/>
    </row>
    <row r="2048" spans="2:5" x14ac:dyDescent="0.2">
      <c r="B2048" t="s">
        <v>4034</v>
      </c>
      <c r="C2048" t="s">
        <v>4035</v>
      </c>
      <c r="D2048" s="13">
        <f>_xll.EditDistance($C$3,C2048,2)</f>
        <v>10</v>
      </c>
      <c r="E2048" s="13"/>
    </row>
    <row r="2049" spans="2:5" x14ac:dyDescent="0.2">
      <c r="B2049" t="s">
        <v>4537</v>
      </c>
      <c r="C2049" t="s">
        <v>4538</v>
      </c>
      <c r="D2049" s="13">
        <f>_xll.EditDistance($C$3,C2049,2)</f>
        <v>10</v>
      </c>
      <c r="E2049" s="13"/>
    </row>
    <row r="2050" spans="2:5" x14ac:dyDescent="0.2">
      <c r="B2050" t="s">
        <v>4617</v>
      </c>
      <c r="C2050" t="s">
        <v>4618</v>
      </c>
      <c r="D2050" s="13">
        <f>_xll.EditDistance($C$3,C2050,2)</f>
        <v>20</v>
      </c>
      <c r="E2050" s="13"/>
    </row>
    <row r="2051" spans="2:5" x14ac:dyDescent="0.2">
      <c r="B2051" t="s">
        <v>4621</v>
      </c>
      <c r="C2051" t="s">
        <v>4622</v>
      </c>
      <c r="D2051" s="13">
        <f>_xll.EditDistance($C$3,C2051,2)</f>
        <v>20</v>
      </c>
      <c r="E2051" s="13"/>
    </row>
    <row r="2052" spans="2:5" x14ac:dyDescent="0.2">
      <c r="B2052" t="s">
        <v>4730</v>
      </c>
      <c r="C2052" t="s">
        <v>4731</v>
      </c>
      <c r="D2052" s="13">
        <f>_xll.EditDistance($C$3,C2052,2)</f>
        <v>10</v>
      </c>
      <c r="E2052" s="13"/>
    </row>
    <row r="2053" spans="2:5" x14ac:dyDescent="0.2">
      <c r="B2053" t="s">
        <v>4879</v>
      </c>
      <c r="C2053" t="s">
        <v>4880</v>
      </c>
      <c r="D2053" s="13">
        <f>_xll.EditDistance($C$3,C2053,2)</f>
        <v>10</v>
      </c>
      <c r="E2053" s="13"/>
    </row>
    <row r="2054" spans="2:5" x14ac:dyDescent="0.2">
      <c r="B2054" t="s">
        <v>5191</v>
      </c>
      <c r="C2054" t="s">
        <v>5192</v>
      </c>
      <c r="D2054" s="13">
        <f>_xll.EditDistance($C$3,C2054,2)</f>
        <v>10</v>
      </c>
      <c r="E2054" s="13"/>
    </row>
    <row r="2055" spans="2:5" x14ac:dyDescent="0.2">
      <c r="B2055" t="s">
        <v>5258</v>
      </c>
      <c r="C2055" t="s">
        <v>5259</v>
      </c>
      <c r="D2055" s="13">
        <f>_xll.EditDistance($C$3,C2055,2)</f>
        <v>10</v>
      </c>
      <c r="E2055" s="13"/>
    </row>
    <row r="2056" spans="2:5" x14ac:dyDescent="0.2">
      <c r="B2056" t="s">
        <v>5267</v>
      </c>
      <c r="C2056" t="s">
        <v>5268</v>
      </c>
      <c r="D2056" s="13">
        <f>_xll.EditDistance($C$3,C2056,2)</f>
        <v>10</v>
      </c>
      <c r="E2056" s="13"/>
    </row>
    <row r="2057" spans="2:5" x14ac:dyDescent="0.2">
      <c r="B2057" t="s">
        <v>5457</v>
      </c>
      <c r="C2057" t="s">
        <v>5458</v>
      </c>
      <c r="D2057" s="13">
        <f>_xll.EditDistance($C$3,C2057,2)</f>
        <v>10</v>
      </c>
      <c r="E2057" s="13"/>
    </row>
    <row r="2058" spans="2:5" x14ac:dyDescent="0.2">
      <c r="B2058" t="s">
        <v>5763</v>
      </c>
      <c r="C2058" t="s">
        <v>5764</v>
      </c>
      <c r="D2058" s="13">
        <f>_xll.EditDistance($C$3,C2058,2)</f>
        <v>10</v>
      </c>
      <c r="E2058" s="13"/>
    </row>
    <row r="2059" spans="2:5" x14ac:dyDescent="0.2">
      <c r="B2059" t="s">
        <v>5878</v>
      </c>
      <c r="C2059" t="s">
        <v>5880</v>
      </c>
      <c r="D2059" s="13">
        <f>_xll.EditDistance($C$3,C2059,2)</f>
        <v>10</v>
      </c>
      <c r="E2059" s="13"/>
    </row>
    <row r="2060" spans="2:5" x14ac:dyDescent="0.2">
      <c r="B2060" t="s">
        <v>6190</v>
      </c>
      <c r="C2060" t="s">
        <v>6191</v>
      </c>
      <c r="D2060" s="13">
        <f>_xll.EditDistance($C$3,C2060,2)</f>
        <v>10</v>
      </c>
      <c r="E2060" s="13"/>
    </row>
    <row r="2061" spans="2:5" x14ac:dyDescent="0.2">
      <c r="B2061" t="s">
        <v>6785</v>
      </c>
      <c r="C2061" t="s">
        <v>6786</v>
      </c>
      <c r="D2061" s="13">
        <f>_xll.EditDistance($C$3,C2061,2)</f>
        <v>10</v>
      </c>
      <c r="E2061" s="13"/>
    </row>
    <row r="2062" spans="2:5" x14ac:dyDescent="0.2">
      <c r="B2062" t="s">
        <v>7209</v>
      </c>
      <c r="C2062" t="s">
        <v>7210</v>
      </c>
      <c r="D2062" s="13">
        <f>_xll.EditDistance($C$3,C2062,2)</f>
        <v>30</v>
      </c>
      <c r="E2062" s="13"/>
    </row>
    <row r="2063" spans="2:5" x14ac:dyDescent="0.2">
      <c r="B2063" t="s">
        <v>7245</v>
      </c>
      <c r="C2063" t="s">
        <v>7246</v>
      </c>
      <c r="D2063" s="13">
        <f>_xll.EditDistance($C$3,C2063,2)</f>
        <v>10</v>
      </c>
      <c r="E2063" s="13"/>
    </row>
    <row r="2064" spans="2:5" x14ac:dyDescent="0.2">
      <c r="B2064" t="s">
        <v>7297</v>
      </c>
      <c r="C2064" t="s">
        <v>7299</v>
      </c>
      <c r="D2064" s="13">
        <f>_xll.EditDistance($C$3,C2064,2)</f>
        <v>20</v>
      </c>
      <c r="E2064" s="13"/>
    </row>
    <row r="2065" spans="2:5" x14ac:dyDescent="0.2">
      <c r="B2065" t="s">
        <v>7407</v>
      </c>
      <c r="C2065" t="s">
        <v>7408</v>
      </c>
      <c r="D2065" s="13">
        <f>_xll.EditDistance($C$3,C2065,2)</f>
        <v>10</v>
      </c>
      <c r="E2065" s="13"/>
    </row>
    <row r="2066" spans="2:5" x14ac:dyDescent="0.2">
      <c r="B2066" t="s">
        <v>8170</v>
      </c>
      <c r="C2066" t="s">
        <v>8171</v>
      </c>
      <c r="D2066" s="13">
        <f>_xll.EditDistance($C$3,C2066,2)</f>
        <v>10</v>
      </c>
      <c r="E2066" s="13"/>
    </row>
    <row r="2067" spans="2:5" x14ac:dyDescent="0.2">
      <c r="B2067" t="s">
        <v>8412</v>
      </c>
      <c r="C2067" t="s">
        <v>8413</v>
      </c>
      <c r="D2067" s="13">
        <f>_xll.EditDistance($C$3,C2067,2)</f>
        <v>10</v>
      </c>
      <c r="E2067" s="13"/>
    </row>
    <row r="2068" spans="2:5" x14ac:dyDescent="0.2">
      <c r="B2068" t="s">
        <v>110</v>
      </c>
      <c r="C2068" t="s">
        <v>112</v>
      </c>
      <c r="D2068" s="13">
        <f>_xll.EditDistance($C$3,C2068,2)</f>
        <v>20</v>
      </c>
      <c r="E2068" s="13"/>
    </row>
    <row r="2069" spans="2:5" x14ac:dyDescent="0.2">
      <c r="B2069" s="22" t="s">
        <v>114</v>
      </c>
      <c r="C2069" t="s">
        <v>112</v>
      </c>
      <c r="D2069" s="13">
        <f>_xll.EditDistance($C$3,C2069,2)</f>
        <v>20</v>
      </c>
      <c r="E2069" s="13"/>
    </row>
    <row r="2070" spans="2:5" x14ac:dyDescent="0.2">
      <c r="B2070" t="s">
        <v>119</v>
      </c>
      <c r="C2070" t="s">
        <v>122</v>
      </c>
      <c r="D2070" s="13">
        <f>_xll.EditDistance($C$3,C2070,2)</f>
        <v>20</v>
      </c>
      <c r="E2070" s="13"/>
    </row>
    <row r="2071" spans="2:5" x14ac:dyDescent="0.2">
      <c r="B2071" t="s">
        <v>247</v>
      </c>
      <c r="C2071" t="s">
        <v>248</v>
      </c>
      <c r="D2071" s="13">
        <f>_xll.EditDistance($C$3,C2071,2)</f>
        <v>20</v>
      </c>
      <c r="E2071" s="13"/>
    </row>
    <row r="2072" spans="2:5" x14ac:dyDescent="0.2">
      <c r="B2072" t="s">
        <v>255</v>
      </c>
      <c r="C2072" t="s">
        <v>256</v>
      </c>
      <c r="D2072" s="13">
        <f>_xll.EditDistance($C$3,C2072,2)</f>
        <v>20</v>
      </c>
      <c r="E2072" s="13"/>
    </row>
    <row r="2073" spans="2:5" x14ac:dyDescent="0.2">
      <c r="B2073" t="s">
        <v>281</v>
      </c>
      <c r="C2073" t="s">
        <v>282</v>
      </c>
      <c r="D2073" s="13">
        <f>_xll.EditDistance($C$3,C2073,2)</f>
        <v>10</v>
      </c>
      <c r="E2073" s="13"/>
    </row>
    <row r="2074" spans="2:5" x14ac:dyDescent="0.2">
      <c r="B2074" t="s">
        <v>283</v>
      </c>
      <c r="C2074" t="s">
        <v>284</v>
      </c>
      <c r="D2074" s="13">
        <f>_xll.EditDistance($C$3,C2074,2)</f>
        <v>10</v>
      </c>
      <c r="E2074" s="13"/>
    </row>
    <row r="2075" spans="2:5" x14ac:dyDescent="0.2">
      <c r="B2075" t="s">
        <v>408</v>
      </c>
      <c r="C2075" t="s">
        <v>409</v>
      </c>
      <c r="D2075" s="13">
        <f>_xll.EditDistance($C$3,C2075,2)</f>
        <v>10</v>
      </c>
      <c r="E2075" s="13"/>
    </row>
    <row r="2076" spans="2:5" x14ac:dyDescent="0.2">
      <c r="B2076" t="s">
        <v>446</v>
      </c>
      <c r="C2076" t="s">
        <v>447</v>
      </c>
      <c r="D2076" s="13">
        <f>_xll.EditDistance($C$3,C2076,2)</f>
        <v>10</v>
      </c>
      <c r="E2076" s="13"/>
    </row>
    <row r="2077" spans="2:5" x14ac:dyDescent="0.2">
      <c r="B2077" t="s">
        <v>512</v>
      </c>
      <c r="C2077" t="s">
        <v>513</v>
      </c>
      <c r="D2077" s="13">
        <f>_xll.EditDistance($C$3,C2077,2)</f>
        <v>10</v>
      </c>
      <c r="E2077" s="13"/>
    </row>
    <row r="2078" spans="2:5" x14ac:dyDescent="0.2">
      <c r="B2078" t="s">
        <v>549</v>
      </c>
      <c r="C2078" t="s">
        <v>550</v>
      </c>
      <c r="D2078" s="13">
        <f>_xll.EditDistance($C$3,C2078,2)</f>
        <v>10</v>
      </c>
      <c r="E2078" s="13"/>
    </row>
    <row r="2079" spans="2:5" x14ac:dyDescent="0.2">
      <c r="B2079" s="22" t="s">
        <v>555</v>
      </c>
      <c r="C2079" t="s">
        <v>557</v>
      </c>
      <c r="D2079" s="13">
        <f>_xll.EditDistance($C$3,C2079,2)</f>
        <v>10</v>
      </c>
      <c r="E2079" s="13"/>
    </row>
    <row r="2080" spans="2:5" x14ac:dyDescent="0.2">
      <c r="B2080" t="s">
        <v>601</v>
      </c>
      <c r="C2080" t="s">
        <v>602</v>
      </c>
      <c r="D2080" s="13">
        <f>_xll.EditDistance($C$3,C2080,2)</f>
        <v>10</v>
      </c>
      <c r="E2080" s="13"/>
    </row>
    <row r="2081" spans="2:5" x14ac:dyDescent="0.2">
      <c r="B2081" t="s">
        <v>609</v>
      </c>
      <c r="C2081" t="s">
        <v>610</v>
      </c>
      <c r="D2081" s="13">
        <f>_xll.EditDistance($C$3,C2081,2)</f>
        <v>20</v>
      </c>
      <c r="E2081" s="13"/>
    </row>
    <row r="2082" spans="2:5" x14ac:dyDescent="0.2">
      <c r="B2082" t="s">
        <v>623</v>
      </c>
      <c r="C2082" t="s">
        <v>624</v>
      </c>
      <c r="D2082" s="13">
        <f>_xll.EditDistance($C$3,C2082,2)</f>
        <v>10</v>
      </c>
      <c r="E2082" s="13"/>
    </row>
    <row r="2083" spans="2:5" x14ac:dyDescent="0.2">
      <c r="B2083" t="s">
        <v>636</v>
      </c>
      <c r="C2083" t="s">
        <v>639</v>
      </c>
      <c r="D2083" s="13">
        <f>_xll.EditDistance($C$3,C2083,2)</f>
        <v>10</v>
      </c>
      <c r="E2083" s="13"/>
    </row>
    <row r="2084" spans="2:5" x14ac:dyDescent="0.2">
      <c r="B2084" t="s">
        <v>644</v>
      </c>
      <c r="C2084" t="s">
        <v>647</v>
      </c>
      <c r="D2084" s="13">
        <f>_xll.EditDistance($C$3,C2084,2)</f>
        <v>10</v>
      </c>
      <c r="E2084" s="13"/>
    </row>
    <row r="2085" spans="2:5" x14ac:dyDescent="0.2">
      <c r="B2085" t="s">
        <v>685</v>
      </c>
      <c r="C2085" t="s">
        <v>686</v>
      </c>
      <c r="D2085" s="13">
        <f>_xll.EditDistance($C$3,C2085,2)</f>
        <v>10</v>
      </c>
      <c r="E2085" s="13"/>
    </row>
    <row r="2086" spans="2:5" x14ac:dyDescent="0.2">
      <c r="B2086" t="s">
        <v>710</v>
      </c>
      <c r="C2086" t="s">
        <v>711</v>
      </c>
      <c r="D2086" s="13">
        <f>_xll.EditDistance($C$3,C2086,2)</f>
        <v>10</v>
      </c>
      <c r="E2086" s="13"/>
    </row>
    <row r="2087" spans="2:5" x14ac:dyDescent="0.2">
      <c r="B2087" t="s">
        <v>731</v>
      </c>
      <c r="C2087" t="s">
        <v>732</v>
      </c>
      <c r="D2087" s="13">
        <f>_xll.EditDistance($C$3,C2087,2)</f>
        <v>10</v>
      </c>
      <c r="E2087" s="13"/>
    </row>
    <row r="2088" spans="2:5" x14ac:dyDescent="0.2">
      <c r="B2088" t="s">
        <v>804</v>
      </c>
      <c r="C2088" t="s">
        <v>805</v>
      </c>
      <c r="D2088" s="13">
        <f>_xll.EditDistance($C$3,C2088,2)</f>
        <v>10</v>
      </c>
      <c r="E2088" s="13"/>
    </row>
    <row r="2089" spans="2:5" x14ac:dyDescent="0.2">
      <c r="B2089" t="s">
        <v>867</v>
      </c>
      <c r="C2089" t="s">
        <v>868</v>
      </c>
      <c r="D2089" s="13">
        <f>_xll.EditDistance($C$3,C2089,2)</f>
        <v>10</v>
      </c>
      <c r="E2089" s="13"/>
    </row>
    <row r="2090" spans="2:5" x14ac:dyDescent="0.2">
      <c r="B2090" t="s">
        <v>893</v>
      </c>
      <c r="C2090" t="s">
        <v>894</v>
      </c>
      <c r="D2090" s="13">
        <f>_xll.EditDistance($C$3,C2090,2)</f>
        <v>10</v>
      </c>
      <c r="E2090" s="13"/>
    </row>
    <row r="2091" spans="2:5" x14ac:dyDescent="0.2">
      <c r="B2091" t="s">
        <v>922</v>
      </c>
      <c r="C2091" t="s">
        <v>923</v>
      </c>
      <c r="D2091" s="13">
        <f>_xll.EditDistance($C$3,C2091,2)</f>
        <v>10</v>
      </c>
      <c r="E2091" s="13"/>
    </row>
    <row r="2092" spans="2:5" x14ac:dyDescent="0.2">
      <c r="B2092" t="s">
        <v>940</v>
      </c>
      <c r="C2092" t="s">
        <v>941</v>
      </c>
      <c r="D2092" s="13">
        <f>_xll.EditDistance($C$3,C2092,2)</f>
        <v>10</v>
      </c>
      <c r="E2092" s="13"/>
    </row>
    <row r="2093" spans="2:5" x14ac:dyDescent="0.2">
      <c r="B2093" t="s">
        <v>948</v>
      </c>
      <c r="C2093" t="s">
        <v>949</v>
      </c>
      <c r="D2093" s="13">
        <f>_xll.EditDistance($C$3,C2093,2)</f>
        <v>10</v>
      </c>
      <c r="E2093" s="13"/>
    </row>
    <row r="2094" spans="2:5" x14ac:dyDescent="0.2">
      <c r="B2094" t="s">
        <v>966</v>
      </c>
      <c r="C2094" t="s">
        <v>967</v>
      </c>
      <c r="D2094" s="13">
        <f>_xll.EditDistance($C$3,C2094,2)</f>
        <v>10</v>
      </c>
      <c r="E2094" s="13"/>
    </row>
    <row r="2095" spans="2:5" x14ac:dyDescent="0.2">
      <c r="B2095" t="s">
        <v>1004</v>
      </c>
      <c r="C2095" t="s">
        <v>1005</v>
      </c>
      <c r="D2095" s="13">
        <f>_xll.EditDistance($C$3,C2095,2)</f>
        <v>10</v>
      </c>
      <c r="E2095" s="13"/>
    </row>
    <row r="2096" spans="2:5" x14ac:dyDescent="0.2">
      <c r="B2096" t="s">
        <v>1022</v>
      </c>
      <c r="C2096" t="s">
        <v>1023</v>
      </c>
      <c r="D2096" s="13">
        <f>_xll.EditDistance($C$3,C2096,2)</f>
        <v>10</v>
      </c>
      <c r="E2096" s="13"/>
    </row>
    <row r="2097" spans="2:5" x14ac:dyDescent="0.2">
      <c r="B2097" t="s">
        <v>1103</v>
      </c>
      <c r="C2097" t="s">
        <v>1104</v>
      </c>
      <c r="D2097" s="13">
        <f>_xll.EditDistance($C$3,C2097,2)</f>
        <v>10</v>
      </c>
      <c r="E2097" s="13"/>
    </row>
    <row r="2098" spans="2:5" x14ac:dyDescent="0.2">
      <c r="B2098" t="s">
        <v>1166</v>
      </c>
      <c r="C2098" t="s">
        <v>1167</v>
      </c>
      <c r="D2098" s="13">
        <f>_xll.EditDistance($C$3,C2098,2)</f>
        <v>10</v>
      </c>
      <c r="E2098" s="13"/>
    </row>
    <row r="2099" spans="2:5" x14ac:dyDescent="0.2">
      <c r="B2099" t="s">
        <v>1230</v>
      </c>
      <c r="C2099" t="s">
        <v>1231</v>
      </c>
      <c r="D2099" s="13">
        <f>_xll.EditDistance($C$3,C2099,2)</f>
        <v>10</v>
      </c>
      <c r="E2099" s="13"/>
    </row>
    <row r="2100" spans="2:5" x14ac:dyDescent="0.2">
      <c r="B2100" t="s">
        <v>1252</v>
      </c>
      <c r="C2100" t="s">
        <v>1253</v>
      </c>
      <c r="D2100" s="13">
        <f>_xll.EditDistance($C$3,C2100,2)</f>
        <v>10</v>
      </c>
      <c r="E2100" s="13"/>
    </row>
    <row r="2101" spans="2:5" x14ac:dyDescent="0.2">
      <c r="B2101" t="s">
        <v>1287</v>
      </c>
      <c r="C2101" t="s">
        <v>1288</v>
      </c>
      <c r="D2101" s="13">
        <f>_xll.EditDistance($C$3,C2101,2)</f>
        <v>10</v>
      </c>
      <c r="E2101" s="13"/>
    </row>
    <row r="2102" spans="2:5" x14ac:dyDescent="0.2">
      <c r="B2102" t="s">
        <v>1295</v>
      </c>
      <c r="C2102" t="s">
        <v>1296</v>
      </c>
      <c r="D2102" s="13">
        <f>_xll.EditDistance($C$3,C2102,2)</f>
        <v>20</v>
      </c>
      <c r="E2102" s="13"/>
    </row>
    <row r="2103" spans="2:5" x14ac:dyDescent="0.2">
      <c r="B2103" t="s">
        <v>1308</v>
      </c>
      <c r="C2103" t="s">
        <v>1309</v>
      </c>
      <c r="D2103" s="13">
        <f>_xll.EditDistance($C$3,C2103,2)</f>
        <v>10</v>
      </c>
      <c r="E2103" s="13"/>
    </row>
    <row r="2104" spans="2:5" x14ac:dyDescent="0.2">
      <c r="B2104" t="s">
        <v>1357</v>
      </c>
      <c r="C2104" t="s">
        <v>1358</v>
      </c>
      <c r="D2104" s="13">
        <f>_xll.EditDistance($C$3,C2104,2)</f>
        <v>10</v>
      </c>
      <c r="E2104" s="13"/>
    </row>
    <row r="2105" spans="2:5" x14ac:dyDescent="0.2">
      <c r="B2105" t="s">
        <v>1369</v>
      </c>
      <c r="C2105" t="s">
        <v>1370</v>
      </c>
      <c r="D2105" s="13">
        <f>_xll.EditDistance($C$3,C2105,2)</f>
        <v>10</v>
      </c>
      <c r="E2105" s="13"/>
    </row>
    <row r="2106" spans="2:5" x14ac:dyDescent="0.2">
      <c r="B2106" t="s">
        <v>1399</v>
      </c>
      <c r="C2106" t="s">
        <v>1400</v>
      </c>
      <c r="D2106" s="13">
        <f>_xll.EditDistance($C$3,C2106,2)</f>
        <v>10</v>
      </c>
      <c r="E2106" s="13"/>
    </row>
    <row r="2107" spans="2:5" x14ac:dyDescent="0.2">
      <c r="B2107" t="s">
        <v>1413</v>
      </c>
      <c r="C2107" t="s">
        <v>1414</v>
      </c>
      <c r="D2107" s="13">
        <f>_xll.EditDistance($C$3,C2107,2)</f>
        <v>10</v>
      </c>
      <c r="E2107" s="13"/>
    </row>
    <row r="2108" spans="2:5" x14ac:dyDescent="0.2">
      <c r="B2108" t="s">
        <v>1415</v>
      </c>
      <c r="C2108" t="s">
        <v>1416</v>
      </c>
      <c r="D2108" s="13">
        <f>_xll.EditDistance($C$3,C2108,2)</f>
        <v>10</v>
      </c>
      <c r="E2108" s="13"/>
    </row>
    <row r="2109" spans="2:5" x14ac:dyDescent="0.2">
      <c r="B2109" t="s">
        <v>1443</v>
      </c>
      <c r="C2109" t="s">
        <v>1444</v>
      </c>
      <c r="D2109" s="13">
        <f>_xll.EditDistance($C$3,C2109,2)</f>
        <v>10</v>
      </c>
      <c r="E2109" s="13"/>
    </row>
    <row r="2110" spans="2:5" x14ac:dyDescent="0.2">
      <c r="B2110" t="s">
        <v>1503</v>
      </c>
      <c r="C2110" t="s">
        <v>1504</v>
      </c>
      <c r="D2110" s="13">
        <f>_xll.EditDistance($C$3,C2110,2)</f>
        <v>20</v>
      </c>
      <c r="E2110" s="13"/>
    </row>
    <row r="2111" spans="2:5" x14ac:dyDescent="0.2">
      <c r="B2111" t="s">
        <v>1532</v>
      </c>
      <c r="C2111" t="s">
        <v>1533</v>
      </c>
      <c r="D2111" s="13">
        <f>_xll.EditDistance($C$3,C2111,2)</f>
        <v>10</v>
      </c>
      <c r="E2111" s="13"/>
    </row>
    <row r="2112" spans="2:5" x14ac:dyDescent="0.2">
      <c r="B2112" t="s">
        <v>1540</v>
      </c>
      <c r="C2112" t="s">
        <v>1541</v>
      </c>
      <c r="D2112" s="13">
        <f>_xll.EditDistance($C$3,C2112,2)</f>
        <v>10</v>
      </c>
      <c r="E2112" s="13"/>
    </row>
    <row r="2113" spans="2:5" x14ac:dyDescent="0.2">
      <c r="B2113" t="s">
        <v>1620</v>
      </c>
      <c r="C2113" t="s">
        <v>1621</v>
      </c>
      <c r="D2113" s="13">
        <f>_xll.EditDistance($C$3,C2113,2)</f>
        <v>10</v>
      </c>
      <c r="E2113" s="13"/>
    </row>
    <row r="2114" spans="2:5" x14ac:dyDescent="0.2">
      <c r="B2114" t="s">
        <v>1664</v>
      </c>
      <c r="C2114" t="s">
        <v>1665</v>
      </c>
      <c r="D2114" s="13">
        <f>_xll.EditDistance($C$3,C2114,2)</f>
        <v>10</v>
      </c>
      <c r="E2114" s="13"/>
    </row>
    <row r="2115" spans="2:5" x14ac:dyDescent="0.2">
      <c r="B2115" t="s">
        <v>1671</v>
      </c>
      <c r="C2115" t="s">
        <v>1672</v>
      </c>
      <c r="D2115" s="13">
        <f>_xll.EditDistance($C$3,C2115,2)</f>
        <v>10</v>
      </c>
      <c r="E2115" s="13"/>
    </row>
    <row r="2116" spans="2:5" x14ac:dyDescent="0.2">
      <c r="B2116" t="s">
        <v>1732</v>
      </c>
      <c r="C2116" t="s">
        <v>1733</v>
      </c>
      <c r="D2116" s="13">
        <f>_xll.EditDistance($C$3,C2116,2)</f>
        <v>10</v>
      </c>
      <c r="E2116" s="13"/>
    </row>
    <row r="2117" spans="2:5" x14ac:dyDescent="0.2">
      <c r="B2117" t="s">
        <v>1770</v>
      </c>
      <c r="C2117" t="s">
        <v>1771</v>
      </c>
      <c r="D2117" s="13">
        <f>_xll.EditDistance($C$3,C2117,2)</f>
        <v>10</v>
      </c>
      <c r="E2117" s="13"/>
    </row>
    <row r="2118" spans="2:5" x14ac:dyDescent="0.2">
      <c r="B2118" t="s">
        <v>1828</v>
      </c>
      <c r="C2118" t="s">
        <v>1829</v>
      </c>
      <c r="D2118" s="13">
        <f>_xll.EditDistance($C$3,C2118,2)</f>
        <v>10</v>
      </c>
      <c r="E2118" s="13"/>
    </row>
    <row r="2119" spans="2:5" x14ac:dyDescent="0.2">
      <c r="B2119" t="s">
        <v>1832</v>
      </c>
      <c r="C2119" t="s">
        <v>1833</v>
      </c>
      <c r="D2119" s="13">
        <f>_xll.EditDistance($C$3,C2119,2)</f>
        <v>10</v>
      </c>
      <c r="E2119" s="13"/>
    </row>
    <row r="2120" spans="2:5" x14ac:dyDescent="0.2">
      <c r="B2120" s="22" t="s">
        <v>2016</v>
      </c>
      <c r="C2120" t="s">
        <v>2017</v>
      </c>
      <c r="D2120" s="13">
        <f>_xll.EditDistance($C$3,C2120,2)</f>
        <v>10</v>
      </c>
      <c r="E2120" s="13"/>
    </row>
    <row r="2121" spans="2:5" x14ac:dyDescent="0.2">
      <c r="B2121" t="s">
        <v>2030</v>
      </c>
      <c r="C2121" t="s">
        <v>2031</v>
      </c>
      <c r="D2121" s="13">
        <f>_xll.EditDistance($C$3,C2121,2)</f>
        <v>10</v>
      </c>
      <c r="E2121" s="13"/>
    </row>
    <row r="2122" spans="2:5" x14ac:dyDescent="0.2">
      <c r="B2122" t="s">
        <v>2051</v>
      </c>
      <c r="C2122" t="s">
        <v>2052</v>
      </c>
      <c r="D2122" s="13">
        <f>_xll.EditDistance($C$3,C2122,2)</f>
        <v>10</v>
      </c>
      <c r="E2122" s="13"/>
    </row>
    <row r="2123" spans="2:5" x14ac:dyDescent="0.2">
      <c r="B2123" t="s">
        <v>2097</v>
      </c>
      <c r="C2123" t="s">
        <v>2098</v>
      </c>
      <c r="D2123" s="13">
        <f>_xll.EditDistance($C$3,C2123,2)</f>
        <v>20</v>
      </c>
      <c r="E2123" s="13"/>
    </row>
    <row r="2124" spans="2:5" x14ac:dyDescent="0.2">
      <c r="B2124" t="s">
        <v>2150</v>
      </c>
      <c r="C2124" t="s">
        <v>2151</v>
      </c>
      <c r="D2124" s="13">
        <f>_xll.EditDistance($C$3,C2124,2)</f>
        <v>10</v>
      </c>
      <c r="E2124" s="13"/>
    </row>
    <row r="2125" spans="2:5" x14ac:dyDescent="0.2">
      <c r="B2125" t="s">
        <v>2175</v>
      </c>
      <c r="C2125" t="s">
        <v>2176</v>
      </c>
      <c r="D2125" s="13">
        <f>_xll.EditDistance($C$3,C2125,2)</f>
        <v>10</v>
      </c>
      <c r="E2125" s="13"/>
    </row>
    <row r="2126" spans="2:5" x14ac:dyDescent="0.2">
      <c r="B2126" t="s">
        <v>2251</v>
      </c>
      <c r="C2126" t="s">
        <v>2252</v>
      </c>
      <c r="D2126" s="13">
        <f>_xll.EditDistance($C$3,C2126,2)</f>
        <v>10</v>
      </c>
      <c r="E2126" s="13"/>
    </row>
    <row r="2127" spans="2:5" x14ac:dyDescent="0.2">
      <c r="B2127" t="s">
        <v>2353</v>
      </c>
      <c r="C2127" t="s">
        <v>2354</v>
      </c>
      <c r="D2127" s="13">
        <f>_xll.EditDistance($C$3,C2127,2)</f>
        <v>10</v>
      </c>
      <c r="E2127" s="13"/>
    </row>
    <row r="2128" spans="2:5" x14ac:dyDescent="0.2">
      <c r="B2128" t="s">
        <v>2379</v>
      </c>
      <c r="C2128" t="s">
        <v>2380</v>
      </c>
      <c r="D2128" s="13">
        <f>_xll.EditDistance($C$3,C2128,2)</f>
        <v>10</v>
      </c>
      <c r="E2128" s="13"/>
    </row>
    <row r="2129" spans="2:5" x14ac:dyDescent="0.2">
      <c r="B2129" t="s">
        <v>2408</v>
      </c>
      <c r="C2129" t="s">
        <v>2409</v>
      </c>
      <c r="D2129" s="13">
        <f>_xll.EditDistance($C$3,C2129,2)</f>
        <v>10</v>
      </c>
      <c r="E2129" s="13"/>
    </row>
    <row r="2130" spans="2:5" x14ac:dyDescent="0.2">
      <c r="B2130" t="s">
        <v>2514</v>
      </c>
      <c r="C2130" t="s">
        <v>2515</v>
      </c>
      <c r="D2130" s="13">
        <f>_xll.EditDistance($C$3,C2130,2)</f>
        <v>10</v>
      </c>
      <c r="E2130" s="13"/>
    </row>
    <row r="2131" spans="2:5" x14ac:dyDescent="0.2">
      <c r="B2131" t="s">
        <v>2568</v>
      </c>
      <c r="C2131" t="s">
        <v>2569</v>
      </c>
      <c r="D2131" s="13">
        <f>_xll.EditDistance($C$3,C2131,2)</f>
        <v>10</v>
      </c>
      <c r="E2131" s="13"/>
    </row>
    <row r="2132" spans="2:5" x14ac:dyDescent="0.2">
      <c r="B2132" t="s">
        <v>2590</v>
      </c>
      <c r="C2132" t="s">
        <v>2591</v>
      </c>
      <c r="D2132" s="13">
        <f>_xll.EditDistance($C$3,C2132,2)</f>
        <v>10</v>
      </c>
      <c r="E2132" s="13"/>
    </row>
    <row r="2133" spans="2:5" x14ac:dyDescent="0.2">
      <c r="B2133" t="s">
        <v>2600</v>
      </c>
      <c r="C2133" t="s">
        <v>2601</v>
      </c>
      <c r="D2133" s="13">
        <f>_xll.EditDistance($C$3,C2133,2)</f>
        <v>10</v>
      </c>
      <c r="E2133" s="13"/>
    </row>
    <row r="2134" spans="2:5" x14ac:dyDescent="0.2">
      <c r="B2134" t="s">
        <v>2626</v>
      </c>
      <c r="C2134" t="s">
        <v>2627</v>
      </c>
      <c r="D2134" s="13">
        <f>_xll.EditDistance($C$3,C2134,2)</f>
        <v>10</v>
      </c>
      <c r="E2134" s="13"/>
    </row>
    <row r="2135" spans="2:5" x14ac:dyDescent="0.2">
      <c r="B2135" t="s">
        <v>2701</v>
      </c>
      <c r="C2135" t="s">
        <v>2702</v>
      </c>
      <c r="D2135" s="13">
        <f>_xll.EditDistance($C$3,C2135,2)</f>
        <v>10</v>
      </c>
      <c r="E2135" s="13"/>
    </row>
    <row r="2136" spans="2:5" x14ac:dyDescent="0.2">
      <c r="B2136" t="s">
        <v>2709</v>
      </c>
      <c r="C2136" t="s">
        <v>2710</v>
      </c>
      <c r="D2136" s="13">
        <f>_xll.EditDistance($C$3,C2136,2)</f>
        <v>10</v>
      </c>
      <c r="E2136" s="13"/>
    </row>
    <row r="2137" spans="2:5" x14ac:dyDescent="0.2">
      <c r="B2137" t="s">
        <v>2788</v>
      </c>
      <c r="C2137" t="s">
        <v>2789</v>
      </c>
      <c r="D2137" s="13">
        <f>_xll.EditDistance($C$3,C2137,2)</f>
        <v>10</v>
      </c>
      <c r="E2137" s="13"/>
    </row>
    <row r="2138" spans="2:5" x14ac:dyDescent="0.2">
      <c r="B2138" t="s">
        <v>2890</v>
      </c>
      <c r="C2138" t="s">
        <v>2891</v>
      </c>
      <c r="D2138" s="13">
        <f>_xll.EditDistance($C$3,C2138,2)</f>
        <v>10</v>
      </c>
      <c r="E2138" s="13"/>
    </row>
    <row r="2139" spans="2:5" x14ac:dyDescent="0.2">
      <c r="B2139" t="s">
        <v>2896</v>
      </c>
      <c r="C2139" t="s">
        <v>2897</v>
      </c>
      <c r="D2139" s="13">
        <f>_xll.EditDistance($C$3,C2139,2)</f>
        <v>10</v>
      </c>
      <c r="E2139" s="13"/>
    </row>
    <row r="2140" spans="2:5" x14ac:dyDescent="0.2">
      <c r="B2140" t="s">
        <v>2927</v>
      </c>
      <c r="C2140" t="s">
        <v>2928</v>
      </c>
      <c r="D2140" s="13">
        <f>_xll.EditDistance($C$3,C2140,2)</f>
        <v>10</v>
      </c>
      <c r="E2140" s="13"/>
    </row>
    <row r="2141" spans="2:5" x14ac:dyDescent="0.2">
      <c r="B2141" t="s">
        <v>3046</v>
      </c>
      <c r="C2141" t="s">
        <v>3047</v>
      </c>
      <c r="D2141" s="13">
        <f>_xll.EditDistance($C$3,C2141,2)</f>
        <v>10</v>
      </c>
      <c r="E2141" s="13"/>
    </row>
    <row r="2142" spans="2:5" x14ac:dyDescent="0.2">
      <c r="B2142" t="s">
        <v>3114</v>
      </c>
      <c r="C2142" t="s">
        <v>3115</v>
      </c>
      <c r="D2142" s="13">
        <f>_xll.EditDistance($C$3,C2142,2)</f>
        <v>10</v>
      </c>
      <c r="E2142" s="13"/>
    </row>
    <row r="2143" spans="2:5" x14ac:dyDescent="0.2">
      <c r="B2143" t="s">
        <v>3233</v>
      </c>
      <c r="C2143" t="s">
        <v>3234</v>
      </c>
      <c r="D2143" s="13">
        <f>_xll.EditDistance($C$3,C2143,2)</f>
        <v>10</v>
      </c>
      <c r="E2143" s="13"/>
    </row>
    <row r="2144" spans="2:5" x14ac:dyDescent="0.2">
      <c r="B2144" t="s">
        <v>3257</v>
      </c>
      <c r="C2144" t="s">
        <v>3258</v>
      </c>
      <c r="D2144" s="13">
        <f>_xll.EditDistance($C$3,C2144,2)</f>
        <v>10</v>
      </c>
      <c r="E2144" s="13"/>
    </row>
    <row r="2145" spans="2:5" x14ac:dyDescent="0.2">
      <c r="B2145" t="s">
        <v>3312</v>
      </c>
      <c r="C2145" t="s">
        <v>3313</v>
      </c>
      <c r="D2145" s="13">
        <f>_xll.EditDistance($C$3,C2145,2)</f>
        <v>10</v>
      </c>
      <c r="E2145" s="13"/>
    </row>
    <row r="2146" spans="2:5" x14ac:dyDescent="0.2">
      <c r="B2146" t="s">
        <v>3370</v>
      </c>
      <c r="C2146" t="s">
        <v>3371</v>
      </c>
      <c r="D2146" s="13">
        <f>_xll.EditDistance($C$3,C2146,2)</f>
        <v>10</v>
      </c>
      <c r="E2146" s="13"/>
    </row>
    <row r="2147" spans="2:5" x14ac:dyDescent="0.2">
      <c r="B2147" t="s">
        <v>3382</v>
      </c>
      <c r="C2147" t="s">
        <v>3383</v>
      </c>
      <c r="D2147" s="13">
        <f>_xll.EditDistance($C$3,C2147,2)</f>
        <v>10</v>
      </c>
      <c r="E2147" s="13"/>
    </row>
    <row r="2148" spans="2:5" x14ac:dyDescent="0.2">
      <c r="B2148" t="s">
        <v>3424</v>
      </c>
      <c r="C2148" t="s">
        <v>3425</v>
      </c>
      <c r="D2148" s="13">
        <f>_xll.EditDistance($C$3,C2148,2)</f>
        <v>10</v>
      </c>
      <c r="E2148" s="13"/>
    </row>
    <row r="2149" spans="2:5" x14ac:dyDescent="0.2">
      <c r="B2149" t="s">
        <v>3450</v>
      </c>
      <c r="C2149" t="s">
        <v>3451</v>
      </c>
      <c r="D2149" s="13">
        <f>_xll.EditDistance($C$3,C2149,2)</f>
        <v>10</v>
      </c>
      <c r="E2149" s="13"/>
    </row>
    <row r="2150" spans="2:5" x14ac:dyDescent="0.2">
      <c r="B2150" t="s">
        <v>3490</v>
      </c>
      <c r="C2150" t="s">
        <v>3491</v>
      </c>
      <c r="D2150" s="13">
        <f>_xll.EditDistance($C$3,C2150,2)</f>
        <v>10</v>
      </c>
      <c r="E2150" s="13"/>
    </row>
    <row r="2151" spans="2:5" x14ac:dyDescent="0.2">
      <c r="B2151" t="s">
        <v>3546</v>
      </c>
      <c r="C2151" t="s">
        <v>3547</v>
      </c>
      <c r="D2151" s="13">
        <f>_xll.EditDistance($C$3,C2151,2)</f>
        <v>10</v>
      </c>
      <c r="E2151" s="13"/>
    </row>
    <row r="2152" spans="2:5" x14ac:dyDescent="0.2">
      <c r="B2152" t="s">
        <v>3596</v>
      </c>
      <c r="C2152" t="s">
        <v>3597</v>
      </c>
      <c r="D2152" s="13">
        <f>_xll.EditDistance($C$3,C2152,2)</f>
        <v>10</v>
      </c>
      <c r="E2152" s="13"/>
    </row>
    <row r="2153" spans="2:5" x14ac:dyDescent="0.2">
      <c r="B2153" t="s">
        <v>3640</v>
      </c>
      <c r="C2153" t="s">
        <v>3641</v>
      </c>
      <c r="D2153" s="13">
        <f>_xll.EditDistance($C$3,C2153,2)</f>
        <v>10</v>
      </c>
      <c r="E2153" s="13"/>
    </row>
    <row r="2154" spans="2:5" x14ac:dyDescent="0.2">
      <c r="B2154" t="s">
        <v>3650</v>
      </c>
      <c r="C2154" t="s">
        <v>3651</v>
      </c>
      <c r="D2154" s="13">
        <f>_xll.EditDistance($C$3,C2154,2)</f>
        <v>10</v>
      </c>
      <c r="E2154" s="13"/>
    </row>
    <row r="2155" spans="2:5" x14ac:dyDescent="0.2">
      <c r="B2155" t="s">
        <v>3673</v>
      </c>
      <c r="C2155" t="s">
        <v>3674</v>
      </c>
      <c r="D2155" s="13">
        <f>_xll.EditDistance($C$3,C2155,2)</f>
        <v>10</v>
      </c>
      <c r="E2155" s="13"/>
    </row>
    <row r="2156" spans="2:5" x14ac:dyDescent="0.2">
      <c r="B2156" t="s">
        <v>3698</v>
      </c>
      <c r="C2156" t="s">
        <v>3699</v>
      </c>
      <c r="D2156" s="13">
        <f>_xll.EditDistance($C$3,C2156,2)</f>
        <v>10</v>
      </c>
      <c r="E2156" s="13"/>
    </row>
    <row r="2157" spans="2:5" x14ac:dyDescent="0.2">
      <c r="B2157" t="s">
        <v>3708</v>
      </c>
      <c r="C2157" t="s">
        <v>3709</v>
      </c>
      <c r="D2157" s="13">
        <f>_xll.EditDistance($C$3,C2157,2)</f>
        <v>10</v>
      </c>
      <c r="E2157" s="13"/>
    </row>
    <row r="2158" spans="2:5" x14ac:dyDescent="0.2">
      <c r="B2158" t="s">
        <v>3722</v>
      </c>
      <c r="C2158" t="s">
        <v>3723</v>
      </c>
      <c r="D2158" s="13">
        <f>_xll.EditDistance($C$3,C2158,2)</f>
        <v>10</v>
      </c>
      <c r="E2158" s="13"/>
    </row>
    <row r="2159" spans="2:5" x14ac:dyDescent="0.2">
      <c r="B2159" t="s">
        <v>3764</v>
      </c>
      <c r="C2159" t="s">
        <v>3765</v>
      </c>
      <c r="D2159" s="13">
        <f>_xll.EditDistance($C$3,C2159,2)</f>
        <v>10</v>
      </c>
      <c r="E2159" s="13"/>
    </row>
    <row r="2160" spans="2:5" x14ac:dyDescent="0.2">
      <c r="B2160" t="s">
        <v>3792</v>
      </c>
      <c r="C2160" t="s">
        <v>3793</v>
      </c>
      <c r="D2160" s="13">
        <f>_xll.EditDistance($C$3,C2160,2)</f>
        <v>10</v>
      </c>
      <c r="E2160" s="13"/>
    </row>
    <row r="2161" spans="2:5" x14ac:dyDescent="0.2">
      <c r="B2161" t="s">
        <v>3823</v>
      </c>
      <c r="C2161" t="s">
        <v>3824</v>
      </c>
      <c r="D2161" s="13">
        <f>_xll.EditDistance($C$3,C2161,2)</f>
        <v>10</v>
      </c>
      <c r="E2161" s="13"/>
    </row>
    <row r="2162" spans="2:5" x14ac:dyDescent="0.2">
      <c r="B2162" s="22" t="s">
        <v>3893</v>
      </c>
      <c r="C2162" t="s">
        <v>3894</v>
      </c>
      <c r="D2162" s="13">
        <f>_xll.EditDistance($C$3,C2162,2)</f>
        <v>10</v>
      </c>
      <c r="E2162" s="13"/>
    </row>
    <row r="2163" spans="2:5" x14ac:dyDescent="0.2">
      <c r="B2163" t="s">
        <v>3973</v>
      </c>
      <c r="C2163" t="s">
        <v>3974</v>
      </c>
      <c r="D2163" s="13">
        <f>_xll.EditDistance($C$3,C2163,2)</f>
        <v>10</v>
      </c>
      <c r="E2163" s="13"/>
    </row>
    <row r="2164" spans="2:5" x14ac:dyDescent="0.2">
      <c r="B2164" t="s">
        <v>3991</v>
      </c>
      <c r="C2164" t="s">
        <v>3992</v>
      </c>
      <c r="D2164" s="13">
        <f>_xll.EditDistance($C$3,C2164,2)</f>
        <v>10</v>
      </c>
      <c r="E2164" s="13"/>
    </row>
    <row r="2165" spans="2:5" x14ac:dyDescent="0.2">
      <c r="B2165" t="s">
        <v>4014</v>
      </c>
      <c r="C2165" t="s">
        <v>4015</v>
      </c>
      <c r="D2165" s="13">
        <f>_xll.EditDistance($C$3,C2165,2)</f>
        <v>18</v>
      </c>
      <c r="E2165" s="13"/>
    </row>
    <row r="2166" spans="2:5" x14ac:dyDescent="0.2">
      <c r="B2166" t="s">
        <v>4138</v>
      </c>
      <c r="C2166" t="s">
        <v>4139</v>
      </c>
      <c r="D2166" s="13">
        <f>_xll.EditDistance($C$3,C2166,2)</f>
        <v>10</v>
      </c>
      <c r="E2166" s="13"/>
    </row>
    <row r="2167" spans="2:5" x14ac:dyDescent="0.2">
      <c r="B2167" t="s">
        <v>4167</v>
      </c>
      <c r="C2167" t="s">
        <v>4168</v>
      </c>
      <c r="D2167" s="13">
        <f>_xll.EditDistance($C$3,C2167,2)</f>
        <v>10</v>
      </c>
      <c r="E2167" s="13"/>
    </row>
    <row r="2168" spans="2:5" x14ac:dyDescent="0.2">
      <c r="B2168" t="s">
        <v>4250</v>
      </c>
      <c r="C2168" t="s">
        <v>4251</v>
      </c>
      <c r="D2168" s="13">
        <f>_xll.EditDistance($C$3,C2168,2)</f>
        <v>10</v>
      </c>
      <c r="E2168" s="13"/>
    </row>
    <row r="2169" spans="2:5" x14ac:dyDescent="0.2">
      <c r="B2169" t="s">
        <v>4294</v>
      </c>
      <c r="C2169" t="s">
        <v>4295</v>
      </c>
      <c r="D2169" s="13">
        <f>_xll.EditDistance($C$3,C2169,2)</f>
        <v>10</v>
      </c>
      <c r="E2169" s="13"/>
    </row>
    <row r="2170" spans="2:5" x14ac:dyDescent="0.2">
      <c r="B2170" t="s">
        <v>4302</v>
      </c>
      <c r="C2170" t="s">
        <v>4303</v>
      </c>
      <c r="D2170" s="13">
        <f>_xll.EditDistance($C$3,C2170,2)</f>
        <v>10</v>
      </c>
      <c r="E2170" s="13"/>
    </row>
    <row r="2171" spans="2:5" x14ac:dyDescent="0.2">
      <c r="B2171" t="s">
        <v>4313</v>
      </c>
      <c r="C2171" t="s">
        <v>4314</v>
      </c>
      <c r="D2171" s="13">
        <f>_xll.EditDistance($C$3,C2171,2)</f>
        <v>10</v>
      </c>
      <c r="E2171" s="13"/>
    </row>
    <row r="2172" spans="2:5" x14ac:dyDescent="0.2">
      <c r="B2172" t="s">
        <v>4351</v>
      </c>
      <c r="C2172" t="s">
        <v>4352</v>
      </c>
      <c r="D2172" s="13">
        <f>_xll.EditDistance($C$3,C2172,2)</f>
        <v>10</v>
      </c>
      <c r="E2172" s="13"/>
    </row>
    <row r="2173" spans="2:5" x14ac:dyDescent="0.2">
      <c r="B2173" t="s">
        <v>4361</v>
      </c>
      <c r="C2173" t="s">
        <v>4362</v>
      </c>
      <c r="D2173" s="13">
        <f>_xll.EditDistance($C$3,C2173,2)</f>
        <v>10</v>
      </c>
      <c r="E2173" s="13"/>
    </row>
    <row r="2174" spans="2:5" x14ac:dyDescent="0.2">
      <c r="B2174" t="s">
        <v>4369</v>
      </c>
      <c r="C2174" t="s">
        <v>4370</v>
      </c>
      <c r="D2174" s="13">
        <f>_xll.EditDistance($C$3,C2174,2)</f>
        <v>10</v>
      </c>
      <c r="E2174" s="13"/>
    </row>
    <row r="2175" spans="2:5" x14ac:dyDescent="0.2">
      <c r="B2175" s="22" t="s">
        <v>4449</v>
      </c>
      <c r="C2175" t="s">
        <v>4450</v>
      </c>
      <c r="D2175" s="13">
        <f>_xll.EditDistance($C$3,C2175,2)</f>
        <v>104</v>
      </c>
      <c r="E2175" s="13"/>
    </row>
    <row r="2176" spans="2:5" x14ac:dyDescent="0.2">
      <c r="B2176" t="s">
        <v>4472</v>
      </c>
      <c r="C2176" t="s">
        <v>4473</v>
      </c>
      <c r="D2176" s="13">
        <f>_xll.EditDistance($C$3,C2176,2)</f>
        <v>10</v>
      </c>
      <c r="E2176" s="13"/>
    </row>
    <row r="2177" spans="2:5" x14ac:dyDescent="0.2">
      <c r="B2177" t="s">
        <v>4515</v>
      </c>
      <c r="C2177" t="s">
        <v>4516</v>
      </c>
      <c r="D2177" s="13">
        <f>_xll.EditDistance($C$3,C2177,2)</f>
        <v>10</v>
      </c>
      <c r="E2177" s="13"/>
    </row>
    <row r="2178" spans="2:5" x14ac:dyDescent="0.2">
      <c r="B2178" s="22" t="s">
        <v>4519</v>
      </c>
      <c r="C2178" t="s">
        <v>4520</v>
      </c>
      <c r="D2178" s="13">
        <f>_xll.EditDistance($C$3,C2178,2)</f>
        <v>18</v>
      </c>
      <c r="E2178" s="13"/>
    </row>
    <row r="2179" spans="2:5" x14ac:dyDescent="0.2">
      <c r="B2179" t="s">
        <v>4521</v>
      </c>
      <c r="C2179" t="s">
        <v>4523</v>
      </c>
      <c r="D2179" s="13">
        <f>_xll.EditDistance($C$3,C2179,2)</f>
        <v>60</v>
      </c>
      <c r="E2179" s="13"/>
    </row>
    <row r="2180" spans="2:5" x14ac:dyDescent="0.2">
      <c r="B2180" t="s">
        <v>4631</v>
      </c>
      <c r="C2180" t="s">
        <v>4632</v>
      </c>
      <c r="D2180" s="13">
        <f>_xll.EditDistance($C$3,C2180,2)</f>
        <v>18</v>
      </c>
      <c r="E2180" s="13"/>
    </row>
    <row r="2181" spans="2:5" x14ac:dyDescent="0.2">
      <c r="B2181" t="s">
        <v>4639</v>
      </c>
      <c r="C2181" t="s">
        <v>4640</v>
      </c>
      <c r="D2181" s="13">
        <f>_xll.EditDistance($C$3,C2181,2)</f>
        <v>10</v>
      </c>
      <c r="E2181" s="13"/>
    </row>
    <row r="2182" spans="2:5" x14ac:dyDescent="0.2">
      <c r="B2182" t="s">
        <v>4651</v>
      </c>
      <c r="C2182" t="s">
        <v>4652</v>
      </c>
      <c r="D2182" s="13">
        <f>_xll.EditDistance($C$3,C2182,2)</f>
        <v>10</v>
      </c>
      <c r="E2182" s="13"/>
    </row>
    <row r="2183" spans="2:5" x14ac:dyDescent="0.2">
      <c r="B2183" t="s">
        <v>4703</v>
      </c>
      <c r="C2183" t="s">
        <v>4704</v>
      </c>
      <c r="D2183" s="13">
        <f>_xll.EditDistance($C$3,C2183,2)</f>
        <v>10</v>
      </c>
      <c r="E2183" s="13"/>
    </row>
    <row r="2184" spans="2:5" x14ac:dyDescent="0.2">
      <c r="B2184" t="s">
        <v>4732</v>
      </c>
      <c r="C2184" t="s">
        <v>4733</v>
      </c>
      <c r="D2184" s="13">
        <f>_xll.EditDistance($C$3,C2184,2)</f>
        <v>10</v>
      </c>
      <c r="E2184" s="13"/>
    </row>
    <row r="2185" spans="2:5" x14ac:dyDescent="0.2">
      <c r="B2185" t="s">
        <v>4802</v>
      </c>
      <c r="C2185" t="s">
        <v>4803</v>
      </c>
      <c r="D2185" s="13">
        <f>_xll.EditDistance($C$3,C2185,2)</f>
        <v>10</v>
      </c>
      <c r="E2185" s="13"/>
    </row>
    <row r="2186" spans="2:5" x14ac:dyDescent="0.2">
      <c r="B2186" t="s">
        <v>4893</v>
      </c>
      <c r="C2186" t="s">
        <v>4894</v>
      </c>
      <c r="D2186" s="13">
        <f>_xll.EditDistance($C$3,C2186,2)</f>
        <v>20</v>
      </c>
      <c r="E2186" s="13"/>
    </row>
    <row r="2187" spans="2:5" x14ac:dyDescent="0.2">
      <c r="B2187" t="s">
        <v>4962</v>
      </c>
      <c r="C2187" t="s">
        <v>4963</v>
      </c>
      <c r="D2187" s="13">
        <f>_xll.EditDistance($C$3,C2187,2)</f>
        <v>10</v>
      </c>
      <c r="E2187" s="13"/>
    </row>
    <row r="2188" spans="2:5" x14ac:dyDescent="0.2">
      <c r="B2188" t="s">
        <v>5115</v>
      </c>
      <c r="C2188" t="s">
        <v>5116</v>
      </c>
      <c r="D2188" s="13">
        <f>_xll.EditDistance($C$3,C2188,2)</f>
        <v>10</v>
      </c>
      <c r="E2188" s="13"/>
    </row>
    <row r="2189" spans="2:5" x14ac:dyDescent="0.2">
      <c r="B2189" t="s">
        <v>5117</v>
      </c>
      <c r="C2189" t="s">
        <v>5118</v>
      </c>
      <c r="D2189" s="13">
        <f>_xll.EditDistance($C$3,C2189,2)</f>
        <v>10</v>
      </c>
      <c r="E2189" s="13"/>
    </row>
    <row r="2190" spans="2:5" x14ac:dyDescent="0.2">
      <c r="B2190" t="s">
        <v>5142</v>
      </c>
      <c r="C2190" t="s">
        <v>5143</v>
      </c>
      <c r="D2190" s="13">
        <f>_xll.EditDistance($C$3,C2190,2)</f>
        <v>48</v>
      </c>
      <c r="E2190" s="13"/>
    </row>
    <row r="2191" spans="2:5" x14ac:dyDescent="0.2">
      <c r="B2191" t="s">
        <v>5197</v>
      </c>
      <c r="C2191" t="s">
        <v>5198</v>
      </c>
      <c r="D2191" s="13">
        <f>_xll.EditDistance($C$3,C2191,2)</f>
        <v>10</v>
      </c>
      <c r="E2191" s="13"/>
    </row>
    <row r="2192" spans="2:5" x14ac:dyDescent="0.2">
      <c r="B2192" t="s">
        <v>5209</v>
      </c>
      <c r="C2192" t="s">
        <v>5210</v>
      </c>
      <c r="D2192" s="13">
        <f>_xll.EditDistance($C$3,C2192,2)</f>
        <v>10</v>
      </c>
      <c r="E2192" s="13"/>
    </row>
    <row r="2193" spans="2:5" x14ac:dyDescent="0.2">
      <c r="B2193" t="s">
        <v>5216</v>
      </c>
      <c r="C2193" t="s">
        <v>5217</v>
      </c>
      <c r="D2193" s="13">
        <f>_xll.EditDistance($C$3,C2193,2)</f>
        <v>10</v>
      </c>
      <c r="E2193" s="13"/>
    </row>
    <row r="2194" spans="2:5" x14ac:dyDescent="0.2">
      <c r="B2194" t="s">
        <v>5260</v>
      </c>
      <c r="C2194" t="s">
        <v>5261</v>
      </c>
      <c r="D2194" s="13">
        <f>_xll.EditDistance($C$3,C2194,2)</f>
        <v>10</v>
      </c>
      <c r="E2194" s="13"/>
    </row>
    <row r="2195" spans="2:5" x14ac:dyDescent="0.2">
      <c r="B2195" t="s">
        <v>5295</v>
      </c>
      <c r="C2195" t="s">
        <v>5296</v>
      </c>
      <c r="D2195" s="13">
        <f>_xll.EditDistance($C$3,C2195,2)</f>
        <v>10</v>
      </c>
      <c r="E2195" s="13"/>
    </row>
    <row r="2196" spans="2:5" x14ac:dyDescent="0.2">
      <c r="B2196" t="s">
        <v>5352</v>
      </c>
      <c r="C2196" t="s">
        <v>5353</v>
      </c>
      <c r="D2196" s="13">
        <f>_xll.EditDistance($C$3,C2196,2)</f>
        <v>20</v>
      </c>
      <c r="E2196" s="13"/>
    </row>
    <row r="2197" spans="2:5" x14ac:dyDescent="0.2">
      <c r="B2197" t="s">
        <v>5352</v>
      </c>
      <c r="C2197" t="s">
        <v>5354</v>
      </c>
      <c r="D2197" s="13">
        <f>_xll.EditDistance($C$3,C2197,2)</f>
        <v>10</v>
      </c>
      <c r="E2197" s="13"/>
    </row>
    <row r="2198" spans="2:5" x14ac:dyDescent="0.2">
      <c r="B2198" t="s">
        <v>5415</v>
      </c>
      <c r="C2198" t="s">
        <v>5416</v>
      </c>
      <c r="D2198" s="13">
        <f>_xll.EditDistance($C$3,C2198,2)</f>
        <v>10</v>
      </c>
      <c r="E2198" s="13"/>
    </row>
    <row r="2199" spans="2:5" x14ac:dyDescent="0.2">
      <c r="B2199" t="s">
        <v>5449</v>
      </c>
      <c r="C2199" t="s">
        <v>5450</v>
      </c>
      <c r="D2199" s="13">
        <f>_xll.EditDistance($C$3,C2199,2)</f>
        <v>10</v>
      </c>
      <c r="E2199" s="13"/>
    </row>
    <row r="2200" spans="2:5" x14ac:dyDescent="0.2">
      <c r="B2200" t="s">
        <v>5477</v>
      </c>
      <c r="C2200" t="s">
        <v>5478</v>
      </c>
      <c r="D2200" s="13">
        <f>_xll.EditDistance($C$3,C2200,2)</f>
        <v>10</v>
      </c>
      <c r="E2200" s="13"/>
    </row>
    <row r="2201" spans="2:5" x14ac:dyDescent="0.2">
      <c r="B2201" t="s">
        <v>5527</v>
      </c>
      <c r="C2201" t="s">
        <v>5528</v>
      </c>
      <c r="D2201" s="13">
        <f>_xll.EditDistance($C$3,C2201,2)</f>
        <v>10</v>
      </c>
      <c r="E2201" s="13"/>
    </row>
    <row r="2202" spans="2:5" x14ac:dyDescent="0.2">
      <c r="B2202" t="s">
        <v>5658</v>
      </c>
      <c r="C2202" t="s">
        <v>5659</v>
      </c>
      <c r="D2202" s="13">
        <f>_xll.EditDistance($C$3,C2202,2)</f>
        <v>10</v>
      </c>
      <c r="E2202" s="13"/>
    </row>
    <row r="2203" spans="2:5" x14ac:dyDescent="0.2">
      <c r="B2203" t="s">
        <v>5734</v>
      </c>
      <c r="C2203" t="s">
        <v>5735</v>
      </c>
      <c r="D2203" s="13">
        <f>_xll.EditDistance($C$3,C2203,2)</f>
        <v>10</v>
      </c>
      <c r="E2203" s="13"/>
    </row>
    <row r="2204" spans="2:5" x14ac:dyDescent="0.2">
      <c r="B2204" t="s">
        <v>5736</v>
      </c>
      <c r="C2204" t="s">
        <v>5737</v>
      </c>
      <c r="D2204" s="13">
        <f>_xll.EditDistance($C$3,C2204,2)</f>
        <v>10</v>
      </c>
      <c r="E2204" s="13"/>
    </row>
    <row r="2205" spans="2:5" x14ac:dyDescent="0.2">
      <c r="B2205" t="s">
        <v>5891</v>
      </c>
      <c r="C2205" t="s">
        <v>5892</v>
      </c>
      <c r="D2205" s="13">
        <f>_xll.EditDistance($C$3,C2205,2)</f>
        <v>10</v>
      </c>
      <c r="E2205" s="13"/>
    </row>
    <row r="2206" spans="2:5" x14ac:dyDescent="0.2">
      <c r="B2206" t="s">
        <v>5904</v>
      </c>
      <c r="C2206" t="s">
        <v>5905</v>
      </c>
      <c r="D2206" s="13">
        <f>_xll.EditDistance($C$3,C2206,2)</f>
        <v>10</v>
      </c>
      <c r="E2206" s="13"/>
    </row>
    <row r="2207" spans="2:5" x14ac:dyDescent="0.2">
      <c r="B2207" t="s">
        <v>5916</v>
      </c>
      <c r="C2207" t="s">
        <v>5917</v>
      </c>
      <c r="D2207" s="13">
        <f>_xll.EditDistance($C$3,C2207,2)</f>
        <v>10</v>
      </c>
      <c r="E2207" s="13"/>
    </row>
    <row r="2208" spans="2:5" x14ac:dyDescent="0.2">
      <c r="B2208" t="s">
        <v>5929</v>
      </c>
      <c r="C2208" t="s">
        <v>5930</v>
      </c>
      <c r="D2208" s="13">
        <f>_xll.EditDistance($C$3,C2208,2)</f>
        <v>10</v>
      </c>
      <c r="E2208" s="13"/>
    </row>
    <row r="2209" spans="2:5" x14ac:dyDescent="0.2">
      <c r="B2209" t="s">
        <v>5983</v>
      </c>
      <c r="C2209" t="s">
        <v>5984</v>
      </c>
      <c r="D2209" s="13">
        <f>_xll.EditDistance($C$3,C2209,2)</f>
        <v>10</v>
      </c>
      <c r="E2209" s="13"/>
    </row>
    <row r="2210" spans="2:5" x14ac:dyDescent="0.2">
      <c r="B2210" t="s">
        <v>5987</v>
      </c>
      <c r="C2210" t="s">
        <v>5988</v>
      </c>
      <c r="D2210" s="13">
        <f>_xll.EditDistance($C$3,C2210,2)</f>
        <v>10</v>
      </c>
      <c r="E2210" s="13"/>
    </row>
    <row r="2211" spans="2:5" x14ac:dyDescent="0.2">
      <c r="B2211" t="s">
        <v>5996</v>
      </c>
      <c r="C2211" t="s">
        <v>5997</v>
      </c>
      <c r="D2211" s="13">
        <f>_xll.EditDistance($C$3,C2211,2)</f>
        <v>10</v>
      </c>
      <c r="E2211" s="13"/>
    </row>
    <row r="2212" spans="2:5" x14ac:dyDescent="0.2">
      <c r="B2212" t="s">
        <v>5998</v>
      </c>
      <c r="C2212" t="s">
        <v>5999</v>
      </c>
      <c r="D2212" s="13">
        <f>_xll.EditDistance($C$3,C2212,2)</f>
        <v>10</v>
      </c>
      <c r="E2212" s="13"/>
    </row>
    <row r="2213" spans="2:5" x14ac:dyDescent="0.2">
      <c r="B2213" t="s">
        <v>6053</v>
      </c>
      <c r="C2213" t="s">
        <v>6054</v>
      </c>
      <c r="D2213" s="13">
        <f>_xll.EditDistance($C$3,C2213,2)</f>
        <v>10</v>
      </c>
      <c r="E2213" s="13"/>
    </row>
    <row r="2214" spans="2:5" x14ac:dyDescent="0.2">
      <c r="B2214" t="s">
        <v>6098</v>
      </c>
      <c r="C2214" t="s">
        <v>6100</v>
      </c>
      <c r="D2214" s="13">
        <f>_xll.EditDistance($C$3,C2214,2)</f>
        <v>10</v>
      </c>
      <c r="E2214" s="13"/>
    </row>
    <row r="2215" spans="2:5" x14ac:dyDescent="0.2">
      <c r="B2215" t="s">
        <v>6214</v>
      </c>
      <c r="C2215" t="s">
        <v>6215</v>
      </c>
      <c r="D2215" s="13">
        <f>_xll.EditDistance($C$3,C2215,2)</f>
        <v>10</v>
      </c>
      <c r="E2215" s="13"/>
    </row>
    <row r="2216" spans="2:5" x14ac:dyDescent="0.2">
      <c r="B2216" t="s">
        <v>6218</v>
      </c>
      <c r="C2216" t="s">
        <v>6219</v>
      </c>
      <c r="D2216" s="13">
        <f>_xll.EditDistance($C$3,C2216,2)</f>
        <v>10</v>
      </c>
      <c r="E2216" s="13"/>
    </row>
    <row r="2217" spans="2:5" x14ac:dyDescent="0.2">
      <c r="B2217" t="s">
        <v>6238</v>
      </c>
      <c r="C2217" t="s">
        <v>6239</v>
      </c>
      <c r="D2217" s="13">
        <f>_xll.EditDistance($C$3,C2217,2)</f>
        <v>10</v>
      </c>
      <c r="E2217" s="13"/>
    </row>
    <row r="2218" spans="2:5" x14ac:dyDescent="0.2">
      <c r="B2218" t="s">
        <v>6258</v>
      </c>
      <c r="C2218" t="s">
        <v>6259</v>
      </c>
      <c r="D2218" s="13">
        <f>_xll.EditDistance($C$3,C2218,2)</f>
        <v>10</v>
      </c>
      <c r="E2218" s="13"/>
    </row>
    <row r="2219" spans="2:5" x14ac:dyDescent="0.2">
      <c r="B2219" t="s">
        <v>6314</v>
      </c>
      <c r="C2219" t="s">
        <v>6315</v>
      </c>
      <c r="D2219" s="13">
        <f>_xll.EditDistance($C$3,C2219,2)</f>
        <v>10</v>
      </c>
      <c r="E2219" s="13"/>
    </row>
    <row r="2220" spans="2:5" x14ac:dyDescent="0.2">
      <c r="B2220" t="s">
        <v>6370</v>
      </c>
      <c r="C2220" t="s">
        <v>6371</v>
      </c>
      <c r="D2220" s="13">
        <f>_xll.EditDistance($C$3,C2220,2)</f>
        <v>10</v>
      </c>
      <c r="E2220" s="13"/>
    </row>
    <row r="2221" spans="2:5" x14ac:dyDescent="0.2">
      <c r="B2221" t="s">
        <v>6409</v>
      </c>
      <c r="C2221" t="s">
        <v>6410</v>
      </c>
      <c r="D2221" s="13">
        <f>_xll.EditDistance($C$3,C2221,2)</f>
        <v>10</v>
      </c>
      <c r="E2221" s="13"/>
    </row>
    <row r="2222" spans="2:5" x14ac:dyDescent="0.2">
      <c r="B2222" t="s">
        <v>6525</v>
      </c>
      <c r="C2222" t="s">
        <v>6526</v>
      </c>
      <c r="D2222" s="13">
        <f>_xll.EditDistance($C$3,C2222,2)</f>
        <v>10</v>
      </c>
      <c r="E2222" s="13"/>
    </row>
    <row r="2223" spans="2:5" x14ac:dyDescent="0.2">
      <c r="B2223" t="s">
        <v>6605</v>
      </c>
      <c r="C2223" t="s">
        <v>6606</v>
      </c>
      <c r="D2223" s="13">
        <f>_xll.EditDistance($C$3,C2223,2)</f>
        <v>10</v>
      </c>
      <c r="E2223" s="13"/>
    </row>
    <row r="2224" spans="2:5" x14ac:dyDescent="0.2">
      <c r="B2224" t="s">
        <v>6607</v>
      </c>
      <c r="C2224" t="s">
        <v>6608</v>
      </c>
      <c r="D2224" s="13">
        <f>_xll.EditDistance($C$3,C2224,2)</f>
        <v>10</v>
      </c>
      <c r="E2224" s="13"/>
    </row>
    <row r="2225" spans="2:5" x14ac:dyDescent="0.2">
      <c r="B2225" t="s">
        <v>6644</v>
      </c>
      <c r="C2225" t="s">
        <v>6645</v>
      </c>
      <c r="D2225" s="13">
        <f>_xll.EditDistance($C$3,C2225,2)</f>
        <v>10</v>
      </c>
      <c r="E2225" s="13"/>
    </row>
    <row r="2226" spans="2:5" x14ac:dyDescent="0.2">
      <c r="B2226" t="s">
        <v>6644</v>
      </c>
      <c r="C2226" t="s">
        <v>6646</v>
      </c>
      <c r="D2226" s="13">
        <f>_xll.EditDistance($C$3,C2226,2)</f>
        <v>10</v>
      </c>
      <c r="E2226" s="13"/>
    </row>
    <row r="2227" spans="2:5" x14ac:dyDescent="0.2">
      <c r="B2227" t="s">
        <v>6658</v>
      </c>
      <c r="C2227" t="s">
        <v>6659</v>
      </c>
      <c r="D2227" s="13">
        <f>_xll.EditDistance($C$3,C2227,2)</f>
        <v>10</v>
      </c>
      <c r="E2227" s="13"/>
    </row>
    <row r="2228" spans="2:5" x14ac:dyDescent="0.2">
      <c r="B2228" t="s">
        <v>6740</v>
      </c>
      <c r="C2228" t="s">
        <v>6741</v>
      </c>
      <c r="D2228" s="13">
        <f>_xll.EditDistance($C$3,C2228,2)</f>
        <v>10</v>
      </c>
      <c r="E2228" s="13"/>
    </row>
    <row r="2229" spans="2:5" x14ac:dyDescent="0.2">
      <c r="B2229" t="s">
        <v>6779</v>
      </c>
      <c r="C2229" t="s">
        <v>6780</v>
      </c>
      <c r="D2229" s="13">
        <f>_xll.EditDistance($C$3,C2229,2)</f>
        <v>10</v>
      </c>
      <c r="E2229" s="13"/>
    </row>
    <row r="2230" spans="2:5" x14ac:dyDescent="0.2">
      <c r="B2230" t="s">
        <v>6783</v>
      </c>
      <c r="C2230" t="s">
        <v>6784</v>
      </c>
      <c r="D2230" s="13">
        <f>_xll.EditDistance($C$3,C2230,2)</f>
        <v>20</v>
      </c>
      <c r="E2230" s="13"/>
    </row>
    <row r="2231" spans="2:5" x14ac:dyDescent="0.2">
      <c r="B2231" t="s">
        <v>6810</v>
      </c>
      <c r="C2231" t="s">
        <v>6811</v>
      </c>
      <c r="D2231" s="13">
        <f>_xll.EditDistance($C$3,C2231,2)</f>
        <v>10</v>
      </c>
      <c r="E2231" s="13"/>
    </row>
    <row r="2232" spans="2:5" x14ac:dyDescent="0.2">
      <c r="B2232" t="s">
        <v>6818</v>
      </c>
      <c r="C2232" t="s">
        <v>6819</v>
      </c>
      <c r="D2232" s="13">
        <f>_xll.EditDistance($C$3,C2232,2)</f>
        <v>10</v>
      </c>
      <c r="E2232" s="13"/>
    </row>
    <row r="2233" spans="2:5" x14ac:dyDescent="0.2">
      <c r="B2233" t="s">
        <v>6934</v>
      </c>
      <c r="C2233" t="s">
        <v>6935</v>
      </c>
      <c r="D2233" s="13">
        <f>_xll.EditDistance($C$3,C2233,2)</f>
        <v>10</v>
      </c>
      <c r="E2233" s="13"/>
    </row>
    <row r="2234" spans="2:5" x14ac:dyDescent="0.2">
      <c r="B2234" t="s">
        <v>6952</v>
      </c>
      <c r="C2234" t="s">
        <v>6953</v>
      </c>
      <c r="D2234" s="13">
        <f>_xll.EditDistance($C$3,C2234,2)</f>
        <v>10</v>
      </c>
      <c r="E2234" s="13"/>
    </row>
    <row r="2235" spans="2:5" x14ac:dyDescent="0.2">
      <c r="B2235" t="s">
        <v>6958</v>
      </c>
      <c r="C2235" t="s">
        <v>6959</v>
      </c>
      <c r="D2235" s="13">
        <f>_xll.EditDistance($C$3,C2235,2)</f>
        <v>10</v>
      </c>
      <c r="E2235" s="13"/>
    </row>
    <row r="2236" spans="2:5" x14ac:dyDescent="0.2">
      <c r="B2236" t="s">
        <v>6994</v>
      </c>
      <c r="C2236" t="s">
        <v>6995</v>
      </c>
      <c r="D2236" s="13">
        <f>_xll.EditDistance($C$3,C2236,2)</f>
        <v>10</v>
      </c>
      <c r="E2236" s="13"/>
    </row>
    <row r="2237" spans="2:5" x14ac:dyDescent="0.2">
      <c r="B2237" t="s">
        <v>7038</v>
      </c>
      <c r="C2237" t="s">
        <v>7039</v>
      </c>
      <c r="D2237" s="13">
        <f>_xll.EditDistance($C$3,C2237,2)</f>
        <v>10</v>
      </c>
      <c r="E2237" s="13"/>
    </row>
    <row r="2238" spans="2:5" x14ac:dyDescent="0.2">
      <c r="B2238" t="s">
        <v>7205</v>
      </c>
      <c r="C2238" t="s">
        <v>7206</v>
      </c>
      <c r="D2238" s="13">
        <f>_xll.EditDistance($C$3,C2238,2)</f>
        <v>10</v>
      </c>
      <c r="E2238" s="13"/>
    </row>
    <row r="2239" spans="2:5" x14ac:dyDescent="0.2">
      <c r="B2239" t="s">
        <v>7267</v>
      </c>
      <c r="C2239" t="s">
        <v>7268</v>
      </c>
      <c r="D2239" s="13">
        <f>_xll.EditDistance($C$3,C2239,2)</f>
        <v>10</v>
      </c>
      <c r="E2239" s="13"/>
    </row>
    <row r="2240" spans="2:5" x14ac:dyDescent="0.2">
      <c r="B2240" t="s">
        <v>7273</v>
      </c>
      <c r="C2240" t="s">
        <v>7274</v>
      </c>
      <c r="D2240" s="13">
        <f>_xll.EditDistance($C$3,C2240,2)</f>
        <v>10</v>
      </c>
      <c r="E2240" s="13"/>
    </row>
    <row r="2241" spans="2:5" x14ac:dyDescent="0.2">
      <c r="B2241" t="s">
        <v>7293</v>
      </c>
      <c r="C2241" t="s">
        <v>7294</v>
      </c>
      <c r="D2241" s="13">
        <f>_xll.EditDistance($C$3,C2241,2)</f>
        <v>10</v>
      </c>
      <c r="E2241" s="13"/>
    </row>
    <row r="2242" spans="2:5" x14ac:dyDescent="0.2">
      <c r="B2242" t="s">
        <v>7297</v>
      </c>
      <c r="C2242" t="s">
        <v>7298</v>
      </c>
      <c r="D2242" s="13">
        <f>_xll.EditDistance($C$3,C2242,2)</f>
        <v>20</v>
      </c>
      <c r="E2242" s="13"/>
    </row>
    <row r="2243" spans="2:5" x14ac:dyDescent="0.2">
      <c r="B2243" t="s">
        <v>7359</v>
      </c>
      <c r="C2243" t="s">
        <v>7360</v>
      </c>
      <c r="D2243" s="13">
        <f>_xll.EditDistance($C$3,C2243,2)</f>
        <v>20</v>
      </c>
      <c r="E2243" s="13"/>
    </row>
    <row r="2244" spans="2:5" x14ac:dyDescent="0.2">
      <c r="B2244" t="s">
        <v>7376</v>
      </c>
      <c r="C2244" t="s">
        <v>7377</v>
      </c>
      <c r="D2244" s="13">
        <f>_xll.EditDistance($C$3,C2244,2)</f>
        <v>10</v>
      </c>
      <c r="E2244" s="13"/>
    </row>
    <row r="2245" spans="2:5" x14ac:dyDescent="0.2">
      <c r="B2245" t="s">
        <v>7438</v>
      </c>
      <c r="C2245" t="s">
        <v>7439</v>
      </c>
      <c r="D2245" s="13">
        <f>_xll.EditDistance($C$3,C2245,2)</f>
        <v>10</v>
      </c>
      <c r="E2245" s="13"/>
    </row>
    <row r="2246" spans="2:5" x14ac:dyDescent="0.2">
      <c r="B2246" t="s">
        <v>7442</v>
      </c>
      <c r="C2246" t="s">
        <v>7443</v>
      </c>
      <c r="D2246" s="13">
        <f>_xll.EditDistance($C$3,C2246,2)</f>
        <v>10</v>
      </c>
      <c r="E2246" s="13"/>
    </row>
    <row r="2247" spans="2:5" x14ac:dyDescent="0.2">
      <c r="B2247" t="s">
        <v>7470</v>
      </c>
      <c r="C2247" t="s">
        <v>7471</v>
      </c>
      <c r="D2247" s="13">
        <f>_xll.EditDistance($C$3,C2247,2)</f>
        <v>10</v>
      </c>
      <c r="E2247" s="13"/>
    </row>
    <row r="2248" spans="2:5" x14ac:dyDescent="0.2">
      <c r="B2248" t="s">
        <v>7515</v>
      </c>
      <c r="C2248" t="s">
        <v>7516</v>
      </c>
      <c r="D2248" s="13">
        <f>_xll.EditDistance($C$3,C2248,2)</f>
        <v>10</v>
      </c>
      <c r="E2248" s="13"/>
    </row>
    <row r="2249" spans="2:5" x14ac:dyDescent="0.2">
      <c r="B2249" t="s">
        <v>7531</v>
      </c>
      <c r="C2249" t="s">
        <v>7532</v>
      </c>
      <c r="D2249" s="13">
        <f>_xll.EditDistance($C$3,C2249,2)</f>
        <v>10</v>
      </c>
      <c r="E2249" s="13"/>
    </row>
    <row r="2250" spans="2:5" x14ac:dyDescent="0.2">
      <c r="B2250" t="s">
        <v>7642</v>
      </c>
      <c r="C2250" t="s">
        <v>7643</v>
      </c>
      <c r="D2250" s="13">
        <f>_xll.EditDistance($C$3,C2250,2)</f>
        <v>10</v>
      </c>
      <c r="E2250" s="13"/>
    </row>
    <row r="2251" spans="2:5" x14ac:dyDescent="0.2">
      <c r="B2251" t="s">
        <v>7661</v>
      </c>
      <c r="C2251" t="s">
        <v>7662</v>
      </c>
      <c r="D2251" s="13">
        <f>_xll.EditDistance($C$3,C2251,2)</f>
        <v>10</v>
      </c>
      <c r="E2251" s="13"/>
    </row>
    <row r="2252" spans="2:5" x14ac:dyDescent="0.2">
      <c r="B2252" t="s">
        <v>7699</v>
      </c>
      <c r="C2252" t="s">
        <v>7700</v>
      </c>
      <c r="D2252" s="13">
        <f>_xll.EditDistance($C$3,C2252,2)</f>
        <v>10</v>
      </c>
      <c r="E2252" s="13"/>
    </row>
    <row r="2253" spans="2:5" x14ac:dyDescent="0.2">
      <c r="B2253" t="s">
        <v>7709</v>
      </c>
      <c r="C2253" t="s">
        <v>7710</v>
      </c>
      <c r="D2253" s="13">
        <f>_xll.EditDistance($C$3,C2253,2)</f>
        <v>10</v>
      </c>
      <c r="E2253" s="13"/>
    </row>
    <row r="2254" spans="2:5" x14ac:dyDescent="0.2">
      <c r="B2254" t="s">
        <v>7770</v>
      </c>
      <c r="C2254" t="s">
        <v>7771</v>
      </c>
      <c r="D2254" s="13">
        <f>_xll.EditDistance($C$3,C2254,2)</f>
        <v>10</v>
      </c>
      <c r="E2254" s="13"/>
    </row>
    <row r="2255" spans="2:5" x14ac:dyDescent="0.2">
      <c r="B2255" t="s">
        <v>7788</v>
      </c>
      <c r="C2255" t="s">
        <v>7789</v>
      </c>
      <c r="D2255" s="13">
        <f>_xll.EditDistance($C$3,C2255,2)</f>
        <v>10</v>
      </c>
      <c r="E2255" s="13"/>
    </row>
    <row r="2256" spans="2:5" x14ac:dyDescent="0.2">
      <c r="B2256" t="s">
        <v>7818</v>
      </c>
      <c r="C2256" t="s">
        <v>7819</v>
      </c>
      <c r="D2256" s="13">
        <f>_xll.EditDistance($C$3,C2256,2)</f>
        <v>10</v>
      </c>
      <c r="E2256" s="13"/>
    </row>
    <row r="2257" spans="2:5" x14ac:dyDescent="0.2">
      <c r="B2257" t="s">
        <v>7846</v>
      </c>
      <c r="C2257" t="s">
        <v>7847</v>
      </c>
      <c r="D2257" s="13">
        <f>_xll.EditDistance($C$3,C2257,2)</f>
        <v>10</v>
      </c>
      <c r="E2257" s="13"/>
    </row>
    <row r="2258" spans="2:5" x14ac:dyDescent="0.2">
      <c r="B2258" t="s">
        <v>7854</v>
      </c>
      <c r="C2258" t="s">
        <v>7855</v>
      </c>
      <c r="D2258" s="13">
        <f>_xll.EditDistance($C$3,C2258,2)</f>
        <v>10</v>
      </c>
      <c r="E2258" s="13"/>
    </row>
    <row r="2259" spans="2:5" x14ac:dyDescent="0.2">
      <c r="B2259" t="s">
        <v>7889</v>
      </c>
      <c r="C2259" t="s">
        <v>7890</v>
      </c>
      <c r="D2259" s="13">
        <f>_xll.EditDistance($C$3,C2259,2)</f>
        <v>10</v>
      </c>
      <c r="E2259" s="13"/>
    </row>
    <row r="2260" spans="2:5" x14ac:dyDescent="0.2">
      <c r="B2260" t="s">
        <v>7903</v>
      </c>
      <c r="C2260" t="s">
        <v>7904</v>
      </c>
      <c r="D2260" s="13">
        <f>_xll.EditDistance($C$3,C2260,2)</f>
        <v>20</v>
      </c>
      <c r="E2260" s="13"/>
    </row>
    <row r="2261" spans="2:5" x14ac:dyDescent="0.2">
      <c r="B2261" t="s">
        <v>7923</v>
      </c>
      <c r="C2261" t="s">
        <v>7924</v>
      </c>
      <c r="D2261" s="13">
        <f>_xll.EditDistance($C$3,C2261,2)</f>
        <v>10</v>
      </c>
      <c r="E2261" s="13"/>
    </row>
    <row r="2262" spans="2:5" x14ac:dyDescent="0.2">
      <c r="B2262" t="s">
        <v>7986</v>
      </c>
      <c r="C2262" t="s">
        <v>7987</v>
      </c>
      <c r="D2262" s="13">
        <f>_xll.EditDistance($C$3,C2262,2)</f>
        <v>10</v>
      </c>
      <c r="E2262" s="13"/>
    </row>
    <row r="2263" spans="2:5" x14ac:dyDescent="0.2">
      <c r="B2263" t="s">
        <v>8184</v>
      </c>
      <c r="C2263" t="s">
        <v>8185</v>
      </c>
      <c r="D2263" s="13">
        <f>_xll.EditDistance($C$3,C2263,2)</f>
        <v>10</v>
      </c>
      <c r="E2263" s="13"/>
    </row>
    <row r="2264" spans="2:5" x14ac:dyDescent="0.2">
      <c r="B2264" t="s">
        <v>8276</v>
      </c>
      <c r="C2264" t="s">
        <v>8277</v>
      </c>
      <c r="D2264" s="13">
        <f>_xll.EditDistance($C$3,C2264,2)</f>
        <v>10</v>
      </c>
      <c r="E2264" s="13"/>
    </row>
    <row r="2265" spans="2:5" x14ac:dyDescent="0.2">
      <c r="B2265" t="s">
        <v>8280</v>
      </c>
      <c r="C2265" t="s">
        <v>8281</v>
      </c>
      <c r="D2265" s="13">
        <f>_xll.EditDistance($C$3,C2265,2)</f>
        <v>20</v>
      </c>
      <c r="E2265" s="13"/>
    </row>
    <row r="2266" spans="2:5" x14ac:dyDescent="0.2">
      <c r="B2266" t="s">
        <v>8306</v>
      </c>
      <c r="C2266" t="s">
        <v>8307</v>
      </c>
      <c r="D2266" s="13">
        <f>_xll.EditDistance($C$3,C2266,2)</f>
        <v>10</v>
      </c>
      <c r="E2266" s="13"/>
    </row>
    <row r="2267" spans="2:5" x14ac:dyDescent="0.2">
      <c r="B2267" t="s">
        <v>8357</v>
      </c>
      <c r="C2267" t="s">
        <v>8358</v>
      </c>
      <c r="D2267" s="13">
        <f>_xll.EditDistance($C$3,C2267,2)</f>
        <v>10</v>
      </c>
      <c r="E2267" s="13"/>
    </row>
    <row r="2268" spans="2:5" x14ac:dyDescent="0.2">
      <c r="B2268" t="s">
        <v>8384</v>
      </c>
      <c r="C2268" t="s">
        <v>8385</v>
      </c>
      <c r="D2268" s="13">
        <f>_xll.EditDistance($C$3,C2268,2)</f>
        <v>10</v>
      </c>
      <c r="E2268" s="13"/>
    </row>
    <row r="2269" spans="2:5" x14ac:dyDescent="0.2">
      <c r="B2269" t="s">
        <v>8439</v>
      </c>
      <c r="C2269" t="s">
        <v>8440</v>
      </c>
      <c r="D2269" s="13">
        <f>_xll.EditDistance($C$3,C2269,2)</f>
        <v>10</v>
      </c>
      <c r="E2269" s="13"/>
    </row>
    <row r="2270" spans="2:5" x14ac:dyDescent="0.2">
      <c r="B2270" t="s">
        <v>8478</v>
      </c>
      <c r="C2270" t="s">
        <v>8479</v>
      </c>
      <c r="D2270" s="13">
        <f>_xll.EditDistance($C$3,C2270,2)</f>
        <v>10</v>
      </c>
      <c r="E2270" s="13"/>
    </row>
    <row r="2271" spans="2:5" x14ac:dyDescent="0.2">
      <c r="B2271" t="s">
        <v>8480</v>
      </c>
      <c r="C2271" t="s">
        <v>8481</v>
      </c>
      <c r="D2271" s="13">
        <f>_xll.EditDistance($C$3,C2271,2)</f>
        <v>10</v>
      </c>
      <c r="E2271" s="13"/>
    </row>
    <row r="2272" spans="2:5" x14ac:dyDescent="0.2">
      <c r="B2272" t="s">
        <v>8500</v>
      </c>
      <c r="C2272" t="s">
        <v>8501</v>
      </c>
      <c r="D2272" s="13">
        <f>_xll.EditDistance($C$3,C2272,2)</f>
        <v>20</v>
      </c>
      <c r="E2272" s="13"/>
    </row>
    <row r="2273" spans="2:5" x14ac:dyDescent="0.2">
      <c r="B2273" t="s">
        <v>8539</v>
      </c>
      <c r="C2273" t="s">
        <v>8540</v>
      </c>
      <c r="D2273" s="13">
        <f>_xll.EditDistance($C$3,C2273,2)</f>
        <v>10</v>
      </c>
      <c r="E2273" s="13"/>
    </row>
    <row r="2274" spans="2:5" x14ac:dyDescent="0.2">
      <c r="B2274" t="s">
        <v>8539</v>
      </c>
      <c r="C2274" t="s">
        <v>8541</v>
      </c>
      <c r="D2274" s="13">
        <f>_xll.EditDistance($C$3,C2274,2)</f>
        <v>10</v>
      </c>
      <c r="E2274" s="13"/>
    </row>
    <row r="2275" spans="2:5" x14ac:dyDescent="0.2">
      <c r="B2275" t="s">
        <v>8580</v>
      </c>
      <c r="C2275" t="s">
        <v>8581</v>
      </c>
      <c r="D2275" s="13">
        <f>_xll.EditDistance($C$3,C2275,2)</f>
        <v>10</v>
      </c>
      <c r="E2275" s="13"/>
    </row>
    <row r="2276" spans="2:5" x14ac:dyDescent="0.2">
      <c r="B2276" t="s">
        <v>8631</v>
      </c>
      <c r="C2276" t="s">
        <v>8632</v>
      </c>
      <c r="D2276" s="13">
        <f>_xll.EditDistance($C$3,C2276,2)</f>
        <v>10</v>
      </c>
      <c r="E2276" s="13"/>
    </row>
    <row r="2277" spans="2:5" x14ac:dyDescent="0.2">
      <c r="B2277" t="s">
        <v>8657</v>
      </c>
      <c r="C2277" t="s">
        <v>8658</v>
      </c>
      <c r="D2277" s="13">
        <f>_xll.EditDistance($C$3,C2277,2)</f>
        <v>10</v>
      </c>
      <c r="E2277" s="13"/>
    </row>
    <row r="2278" spans="2:5" x14ac:dyDescent="0.2">
      <c r="B2278" t="s">
        <v>8661</v>
      </c>
      <c r="C2278" t="s">
        <v>8662</v>
      </c>
      <c r="D2278" s="13">
        <f>_xll.EditDistance($C$3,C2278,2)</f>
        <v>20</v>
      </c>
      <c r="E2278" s="13"/>
    </row>
    <row r="2279" spans="2:5" x14ac:dyDescent="0.2">
      <c r="B2279" t="s">
        <v>8695</v>
      </c>
      <c r="C2279" t="s">
        <v>8696</v>
      </c>
      <c r="D2279" s="13">
        <f>_xll.EditDistance($C$3,C2279,2)</f>
        <v>10</v>
      </c>
      <c r="E2279" s="13"/>
    </row>
    <row r="2280" spans="2:5" x14ac:dyDescent="0.2">
      <c r="B2280" t="s">
        <v>8719</v>
      </c>
      <c r="C2280" t="s">
        <v>8720</v>
      </c>
      <c r="D2280" s="13">
        <f>_xll.EditDistance($C$3,C2280,2)</f>
        <v>10</v>
      </c>
      <c r="E2280" s="13"/>
    </row>
    <row r="2281" spans="2:5" x14ac:dyDescent="0.2">
      <c r="B2281" t="s">
        <v>216</v>
      </c>
      <c r="C2281" t="s">
        <v>217</v>
      </c>
      <c r="D2281" s="13">
        <f>_xll.EditDistance($C$3,C2281,2)</f>
        <v>10</v>
      </c>
      <c r="E2281" s="13"/>
    </row>
    <row r="2282" spans="2:5" x14ac:dyDescent="0.2">
      <c r="B2282" t="s">
        <v>368</v>
      </c>
      <c r="C2282" t="s">
        <v>369</v>
      </c>
      <c r="D2282" s="13">
        <f>_xll.EditDistance($C$3,C2282,2)</f>
        <v>10</v>
      </c>
      <c r="E2282" s="13"/>
    </row>
    <row r="2283" spans="2:5" x14ac:dyDescent="0.2">
      <c r="B2283" t="s">
        <v>853</v>
      </c>
      <c r="C2283" t="s">
        <v>854</v>
      </c>
      <c r="D2283" s="13">
        <f>_xll.EditDistance($C$3,C2283,2)</f>
        <v>20</v>
      </c>
      <c r="E2283" s="13"/>
    </row>
    <row r="2284" spans="2:5" x14ac:dyDescent="0.2">
      <c r="B2284" t="s">
        <v>1054</v>
      </c>
      <c r="C2284" t="s">
        <v>1055</v>
      </c>
      <c r="D2284" s="13">
        <f>_xll.EditDistance($C$3,C2284,2)</f>
        <v>10</v>
      </c>
      <c r="E2284" s="13"/>
    </row>
    <row r="2285" spans="2:5" x14ac:dyDescent="0.2">
      <c r="B2285" t="s">
        <v>1430</v>
      </c>
      <c r="C2285" t="s">
        <v>1431</v>
      </c>
      <c r="D2285" s="13">
        <f>_xll.EditDistance($C$3,C2285,2)</f>
        <v>10</v>
      </c>
      <c r="E2285" s="13"/>
    </row>
    <row r="2286" spans="2:5" x14ac:dyDescent="0.2">
      <c r="B2286" t="s">
        <v>1612</v>
      </c>
      <c r="C2286" t="s">
        <v>1613</v>
      </c>
      <c r="D2286" s="13">
        <f>_xll.EditDistance($C$3,C2286,2)</f>
        <v>10</v>
      </c>
      <c r="E2286" s="13"/>
    </row>
    <row r="2287" spans="2:5" x14ac:dyDescent="0.2">
      <c r="B2287" t="s">
        <v>2295</v>
      </c>
      <c r="C2287" t="s">
        <v>2296</v>
      </c>
      <c r="D2287" s="13">
        <f>_xll.EditDistance($C$3,C2287,2)</f>
        <v>10</v>
      </c>
      <c r="E2287" s="13"/>
    </row>
    <row r="2288" spans="2:5" x14ac:dyDescent="0.2">
      <c r="B2288" t="s">
        <v>2456</v>
      </c>
      <c r="C2288" t="s">
        <v>2457</v>
      </c>
      <c r="D2288" s="13">
        <f>_xll.EditDistance($C$3,C2288,2)</f>
        <v>10</v>
      </c>
      <c r="E2288" s="13"/>
    </row>
    <row r="2289" spans="2:5" x14ac:dyDescent="0.2">
      <c r="B2289" t="s">
        <v>2476</v>
      </c>
      <c r="C2289" t="s">
        <v>2477</v>
      </c>
      <c r="D2289" s="13">
        <f>_xll.EditDistance($C$3,C2289,2)</f>
        <v>10</v>
      </c>
      <c r="E2289" s="13"/>
    </row>
    <row r="2290" spans="2:5" x14ac:dyDescent="0.2">
      <c r="B2290" t="s">
        <v>2504</v>
      </c>
      <c r="C2290" t="s">
        <v>2505</v>
      </c>
      <c r="D2290" s="13">
        <f>_xll.EditDistance($C$3,C2290,2)</f>
        <v>10</v>
      </c>
      <c r="E2290" s="13"/>
    </row>
    <row r="2291" spans="2:5" x14ac:dyDescent="0.2">
      <c r="B2291" t="s">
        <v>2861</v>
      </c>
      <c r="C2291" t="s">
        <v>2862</v>
      </c>
      <c r="D2291" s="13">
        <f>_xll.EditDistance($C$3,C2291,2)</f>
        <v>10</v>
      </c>
      <c r="E2291" s="13"/>
    </row>
    <row r="2292" spans="2:5" x14ac:dyDescent="0.2">
      <c r="B2292" t="s">
        <v>2905</v>
      </c>
      <c r="C2292" t="s">
        <v>2906</v>
      </c>
      <c r="D2292" s="13">
        <f>_xll.EditDistance($C$3,C2292,2)</f>
        <v>10</v>
      </c>
      <c r="E2292" s="13"/>
    </row>
    <row r="2293" spans="2:5" x14ac:dyDescent="0.2">
      <c r="B2293" t="s">
        <v>3052</v>
      </c>
      <c r="C2293" t="s">
        <v>3053</v>
      </c>
      <c r="D2293" s="13">
        <f>_xll.EditDistance($C$3,C2293,2)</f>
        <v>10</v>
      </c>
      <c r="E2293" s="13"/>
    </row>
    <row r="2294" spans="2:5" x14ac:dyDescent="0.2">
      <c r="B2294" t="s">
        <v>3241</v>
      </c>
      <c r="C2294" t="s">
        <v>3242</v>
      </c>
      <c r="D2294" s="13">
        <f>_xll.EditDistance($C$3,C2294,2)</f>
        <v>10</v>
      </c>
      <c r="E2294" s="13"/>
    </row>
    <row r="2295" spans="2:5" x14ac:dyDescent="0.2">
      <c r="B2295" t="s">
        <v>3632</v>
      </c>
      <c r="C2295" t="s">
        <v>3633</v>
      </c>
      <c r="D2295" s="13">
        <f>_xll.EditDistance($C$3,C2295,2)</f>
        <v>10</v>
      </c>
      <c r="E2295" s="13"/>
    </row>
    <row r="2296" spans="2:5" x14ac:dyDescent="0.2">
      <c r="B2296" t="s">
        <v>3638</v>
      </c>
      <c r="C2296" t="s">
        <v>3639</v>
      </c>
      <c r="D2296" s="13">
        <f>_xll.EditDistance($C$3,C2296,2)</f>
        <v>10</v>
      </c>
      <c r="E2296" s="13"/>
    </row>
    <row r="2297" spans="2:5" x14ac:dyDescent="0.2">
      <c r="B2297" t="s">
        <v>3912</v>
      </c>
      <c r="C2297" t="s">
        <v>3913</v>
      </c>
      <c r="D2297" s="13">
        <f>_xll.EditDistance($C$3,C2297,2)</f>
        <v>10</v>
      </c>
      <c r="E2297" s="13"/>
    </row>
    <row r="2298" spans="2:5" x14ac:dyDescent="0.2">
      <c r="B2298" t="s">
        <v>4173</v>
      </c>
      <c r="C2298" t="s">
        <v>4174</v>
      </c>
      <c r="D2298" s="13">
        <f>_xll.EditDistance($C$3,C2298,2)</f>
        <v>10</v>
      </c>
      <c r="E2298" s="13"/>
    </row>
    <row r="2299" spans="2:5" x14ac:dyDescent="0.2">
      <c r="B2299" t="s">
        <v>5199</v>
      </c>
      <c r="C2299" t="s">
        <v>5200</v>
      </c>
      <c r="D2299" s="13">
        <f>_xll.EditDistance($C$3,C2299,2)</f>
        <v>10</v>
      </c>
      <c r="E2299" s="13"/>
    </row>
    <row r="2300" spans="2:5" x14ac:dyDescent="0.2">
      <c r="B2300" t="s">
        <v>5429</v>
      </c>
      <c r="C2300" t="s">
        <v>5430</v>
      </c>
      <c r="D2300" s="13">
        <f>_xll.EditDistance($C$3,C2300,2)</f>
        <v>10</v>
      </c>
      <c r="E2300" s="13"/>
    </row>
    <row r="2301" spans="2:5" x14ac:dyDescent="0.2">
      <c r="B2301" t="s">
        <v>5565</v>
      </c>
      <c r="C2301" t="s">
        <v>5566</v>
      </c>
      <c r="D2301" s="13">
        <f>_xll.EditDistance($C$3,C2301,2)</f>
        <v>10</v>
      </c>
      <c r="E2301" s="13"/>
    </row>
    <row r="2302" spans="2:5" x14ac:dyDescent="0.2">
      <c r="B2302" t="s">
        <v>6486</v>
      </c>
      <c r="C2302" t="s">
        <v>6487</v>
      </c>
      <c r="D2302" s="13">
        <f>_xll.EditDistance($C$3,C2302,2)</f>
        <v>10</v>
      </c>
      <c r="E2302" s="13"/>
    </row>
    <row r="2303" spans="2:5" x14ac:dyDescent="0.2">
      <c r="B2303" t="s">
        <v>6841</v>
      </c>
      <c r="C2303" t="s">
        <v>6842</v>
      </c>
      <c r="D2303" s="13">
        <f>_xll.EditDistance($C$3,C2303,2)</f>
        <v>10</v>
      </c>
      <c r="E2303" s="13"/>
    </row>
    <row r="2304" spans="2:5" x14ac:dyDescent="0.2">
      <c r="B2304" t="s">
        <v>7034</v>
      </c>
      <c r="C2304" t="s">
        <v>7035</v>
      </c>
      <c r="D2304" s="13">
        <f>_xll.EditDistance($C$3,C2304,2)</f>
        <v>10</v>
      </c>
      <c r="E2304" s="13"/>
    </row>
    <row r="2305" spans="2:5" x14ac:dyDescent="0.2">
      <c r="B2305" t="s">
        <v>7195</v>
      </c>
      <c r="C2305" t="s">
        <v>7196</v>
      </c>
      <c r="D2305" s="13">
        <f>_xll.EditDistance($C$3,C2305,2)</f>
        <v>10</v>
      </c>
      <c r="E2305" s="13"/>
    </row>
    <row r="2306" spans="2:5" x14ac:dyDescent="0.2">
      <c r="B2306" t="s">
        <v>7254</v>
      </c>
      <c r="C2306" t="s">
        <v>7255</v>
      </c>
      <c r="D2306" s="13">
        <f>_xll.EditDistance($C$3,C2306,2)</f>
        <v>10</v>
      </c>
      <c r="E2306" s="13"/>
    </row>
    <row r="2307" spans="2:5" x14ac:dyDescent="0.2">
      <c r="B2307" t="s">
        <v>7417</v>
      </c>
      <c r="C2307" t="s">
        <v>7419</v>
      </c>
      <c r="D2307" s="13">
        <f>_xll.EditDistance($C$3,C2307,2)</f>
        <v>10</v>
      </c>
      <c r="E2307" s="13"/>
    </row>
    <row r="2308" spans="2:5" x14ac:dyDescent="0.2">
      <c r="B2308" t="s">
        <v>7521</v>
      </c>
      <c r="C2308" t="s">
        <v>7522</v>
      </c>
      <c r="D2308" s="13">
        <f>_xll.EditDistance($C$3,C2308,2)</f>
        <v>20</v>
      </c>
      <c r="E2308" s="13"/>
    </row>
    <row r="2309" spans="2:5" x14ac:dyDescent="0.2">
      <c r="B2309" t="s">
        <v>7579</v>
      </c>
      <c r="C2309" t="s">
        <v>7580</v>
      </c>
      <c r="D2309" s="13">
        <f>_xll.EditDistance($C$3,C2309,2)</f>
        <v>10</v>
      </c>
      <c r="E2309" s="13"/>
    </row>
    <row r="2310" spans="2:5" x14ac:dyDescent="0.2">
      <c r="B2310" t="s">
        <v>7598</v>
      </c>
      <c r="C2310" t="s">
        <v>7599</v>
      </c>
      <c r="D2310" s="13">
        <f>_xll.EditDistance($C$3,C2310,2)</f>
        <v>10</v>
      </c>
      <c r="E2310" s="13"/>
    </row>
    <row r="2311" spans="2:5" x14ac:dyDescent="0.2">
      <c r="B2311" t="s">
        <v>7804</v>
      </c>
      <c r="C2311" t="s">
        <v>7805</v>
      </c>
      <c r="D2311" s="13">
        <f>_xll.EditDistance($C$3,C2311,2)</f>
        <v>10</v>
      </c>
      <c r="E2311" s="13"/>
    </row>
    <row r="2312" spans="2:5" x14ac:dyDescent="0.2">
      <c r="B2312" t="s">
        <v>7814</v>
      </c>
      <c r="C2312" t="s">
        <v>7815</v>
      </c>
      <c r="D2312" s="13">
        <f>_xll.EditDistance($C$3,C2312,2)</f>
        <v>10</v>
      </c>
      <c r="E2312" s="13"/>
    </row>
    <row r="2313" spans="2:5" x14ac:dyDescent="0.2">
      <c r="B2313" t="s">
        <v>7828</v>
      </c>
      <c r="C2313" t="s">
        <v>7829</v>
      </c>
      <c r="D2313" s="13">
        <f>_xll.EditDistance($C$3,C2313,2)</f>
        <v>10</v>
      </c>
      <c r="E2313" s="13"/>
    </row>
    <row r="2314" spans="2:5" x14ac:dyDescent="0.2">
      <c r="B2314" t="s">
        <v>8263</v>
      </c>
      <c r="C2314" t="s">
        <v>8265</v>
      </c>
      <c r="D2314" s="13">
        <f>_xll.EditDistance($C$3,C2314,2)</f>
        <v>10</v>
      </c>
      <c r="E2314" s="13"/>
    </row>
    <row r="2315" spans="2:5" x14ac:dyDescent="0.2">
      <c r="B2315" t="s">
        <v>8678</v>
      </c>
      <c r="C2315" t="s">
        <v>8679</v>
      </c>
      <c r="D2315" s="13">
        <f>_xll.EditDistance($C$3,C2315,2)</f>
        <v>10</v>
      </c>
      <c r="E2315" s="13"/>
    </row>
    <row r="2316" spans="2:5" x14ac:dyDescent="0.2">
      <c r="B2316" t="s">
        <v>1008</v>
      </c>
      <c r="C2316" t="s">
        <v>1009</v>
      </c>
      <c r="D2316" s="13">
        <f>_xll.EditDistance($C$3,C2316,2)</f>
        <v>10</v>
      </c>
      <c r="E2316" s="13"/>
    </row>
    <row r="2317" spans="2:5" x14ac:dyDescent="0.2">
      <c r="B2317" t="s">
        <v>1145</v>
      </c>
      <c r="C2317" t="s">
        <v>1146</v>
      </c>
      <c r="D2317" s="13">
        <f>_xll.EditDistance($C$3,C2317,2)</f>
        <v>10</v>
      </c>
      <c r="E2317" s="13"/>
    </row>
    <row r="2318" spans="2:5" x14ac:dyDescent="0.2">
      <c r="B2318" t="s">
        <v>1474</v>
      </c>
      <c r="C2318" t="s">
        <v>1475</v>
      </c>
      <c r="D2318" s="13">
        <f>_xll.EditDistance($C$3,C2318,2)</f>
        <v>10</v>
      </c>
      <c r="E2318" s="13"/>
    </row>
    <row r="2319" spans="2:5" x14ac:dyDescent="0.2">
      <c r="B2319" t="s">
        <v>1638</v>
      </c>
      <c r="C2319" t="s">
        <v>1639</v>
      </c>
      <c r="D2319" s="13">
        <f>_xll.EditDistance($C$3,C2319,2)</f>
        <v>10</v>
      </c>
      <c r="E2319" s="13"/>
    </row>
    <row r="2320" spans="2:5" x14ac:dyDescent="0.2">
      <c r="B2320" t="s">
        <v>1666</v>
      </c>
      <c r="C2320" t="s">
        <v>1667</v>
      </c>
      <c r="D2320" s="13">
        <f>_xll.EditDistance($C$3,C2320,2)</f>
        <v>20</v>
      </c>
      <c r="E2320" s="13"/>
    </row>
    <row r="2321" spans="2:5" x14ac:dyDescent="0.2">
      <c r="B2321" t="s">
        <v>1891</v>
      </c>
      <c r="C2321" t="s">
        <v>1892</v>
      </c>
      <c r="D2321" s="13">
        <f>_xll.EditDistance($C$3,C2321,2)</f>
        <v>10</v>
      </c>
      <c r="E2321" s="13"/>
    </row>
    <row r="2322" spans="2:5" x14ac:dyDescent="0.2">
      <c r="B2322" t="s">
        <v>2217</v>
      </c>
      <c r="C2322" t="s">
        <v>2218</v>
      </c>
      <c r="D2322" s="13">
        <f>_xll.EditDistance($C$3,C2322,2)</f>
        <v>10</v>
      </c>
      <c r="E2322" s="13"/>
    </row>
    <row r="2323" spans="2:5" x14ac:dyDescent="0.2">
      <c r="B2323" t="s">
        <v>2385</v>
      </c>
      <c r="C2323" t="s">
        <v>2386</v>
      </c>
      <c r="D2323" s="13">
        <f>_xll.EditDistance($C$3,C2323,2)</f>
        <v>10</v>
      </c>
      <c r="E2323" s="13"/>
    </row>
    <row r="2324" spans="2:5" x14ac:dyDescent="0.2">
      <c r="B2324" t="s">
        <v>2886</v>
      </c>
      <c r="C2324" t="s">
        <v>2887</v>
      </c>
      <c r="D2324" s="13">
        <f>_xll.EditDistance($C$3,C2324,2)</f>
        <v>10</v>
      </c>
      <c r="E2324" s="13"/>
    </row>
    <row r="2325" spans="2:5" x14ac:dyDescent="0.2">
      <c r="B2325" t="s">
        <v>3265</v>
      </c>
      <c r="C2325" t="s">
        <v>3266</v>
      </c>
      <c r="D2325" s="13">
        <f>_xll.EditDistance($C$3,C2325,2)</f>
        <v>10</v>
      </c>
      <c r="E2325" s="13"/>
    </row>
    <row r="2326" spans="2:5" x14ac:dyDescent="0.2">
      <c r="B2326" t="s">
        <v>3343</v>
      </c>
      <c r="C2326" t="s">
        <v>3344</v>
      </c>
      <c r="D2326" s="13">
        <f>_xll.EditDistance($C$3,C2326,2)</f>
        <v>10</v>
      </c>
      <c r="E2326" s="13"/>
    </row>
    <row r="2327" spans="2:5" x14ac:dyDescent="0.2">
      <c r="B2327" t="s">
        <v>4061</v>
      </c>
      <c r="C2327" t="s">
        <v>4062</v>
      </c>
      <c r="D2327" s="13">
        <f>_xll.EditDistance($C$3,C2327,2)</f>
        <v>10</v>
      </c>
      <c r="E2327" s="13"/>
    </row>
    <row r="2328" spans="2:5" x14ac:dyDescent="0.2">
      <c r="B2328" t="s">
        <v>4474</v>
      </c>
      <c r="C2328" t="s">
        <v>4475</v>
      </c>
      <c r="D2328" s="13">
        <f>_xll.EditDistance($C$3,C2328,2)</f>
        <v>10</v>
      </c>
      <c r="E2328" s="13"/>
    </row>
    <row r="2329" spans="2:5" x14ac:dyDescent="0.2">
      <c r="B2329" t="s">
        <v>4498</v>
      </c>
      <c r="C2329" t="s">
        <v>4499</v>
      </c>
      <c r="D2329" s="13">
        <f>_xll.EditDistance($C$3,C2329,2)</f>
        <v>10</v>
      </c>
      <c r="E2329" s="13"/>
    </row>
    <row r="2330" spans="2:5" x14ac:dyDescent="0.2">
      <c r="B2330" t="s">
        <v>4740</v>
      </c>
      <c r="C2330" t="s">
        <v>4741</v>
      </c>
      <c r="D2330" s="13">
        <f>_xll.EditDistance($C$3,C2330,2)</f>
        <v>10</v>
      </c>
      <c r="E2330" s="13"/>
    </row>
    <row r="2331" spans="2:5" x14ac:dyDescent="0.2">
      <c r="B2331" t="s">
        <v>4763</v>
      </c>
      <c r="C2331" t="s">
        <v>4764</v>
      </c>
      <c r="D2331" s="13">
        <f>_xll.EditDistance($C$3,C2331,2)</f>
        <v>10</v>
      </c>
      <c r="E2331" s="13"/>
    </row>
    <row r="2332" spans="2:5" x14ac:dyDescent="0.2">
      <c r="B2332" t="s">
        <v>4808</v>
      </c>
      <c r="C2332" t="s">
        <v>4809</v>
      </c>
      <c r="D2332" s="13">
        <f>_xll.EditDistance($C$3,C2332,2)</f>
        <v>20</v>
      </c>
      <c r="E2332" s="13"/>
    </row>
    <row r="2333" spans="2:5" x14ac:dyDescent="0.2">
      <c r="B2333" t="s">
        <v>4905</v>
      </c>
      <c r="C2333" t="s">
        <v>4906</v>
      </c>
      <c r="D2333" s="13">
        <f>_xll.EditDistance($C$3,C2333,2)</f>
        <v>10</v>
      </c>
      <c r="E2333" s="13"/>
    </row>
    <row r="2334" spans="2:5" x14ac:dyDescent="0.2">
      <c r="B2334" t="s">
        <v>5105</v>
      </c>
      <c r="C2334" t="s">
        <v>5106</v>
      </c>
      <c r="D2334" s="13">
        <f>_xll.EditDistance($C$3,C2334,2)</f>
        <v>10</v>
      </c>
      <c r="E2334" s="13"/>
    </row>
    <row r="2335" spans="2:5" x14ac:dyDescent="0.2">
      <c r="B2335" t="s">
        <v>5398</v>
      </c>
      <c r="C2335" t="s">
        <v>5399</v>
      </c>
      <c r="D2335" s="13">
        <f>_xll.EditDistance($C$3,C2335,2)</f>
        <v>10</v>
      </c>
      <c r="E2335" s="13"/>
    </row>
    <row r="2336" spans="2:5" x14ac:dyDescent="0.2">
      <c r="B2336" t="s">
        <v>5688</v>
      </c>
      <c r="C2336" t="s">
        <v>5689</v>
      </c>
      <c r="D2336" s="13">
        <f>_xll.EditDistance($C$3,C2336,2)</f>
        <v>10</v>
      </c>
      <c r="E2336" s="13"/>
    </row>
    <row r="2337" spans="2:5" x14ac:dyDescent="0.2">
      <c r="B2337" t="s">
        <v>5894</v>
      </c>
      <c r="C2337" t="s">
        <v>5895</v>
      </c>
      <c r="D2337" s="13">
        <f>_xll.EditDistance($C$3,C2337,2)</f>
        <v>20</v>
      </c>
      <c r="E2337" s="13"/>
    </row>
    <row r="2338" spans="2:5" x14ac:dyDescent="0.2">
      <c r="B2338" t="s">
        <v>5902</v>
      </c>
      <c r="C2338" t="s">
        <v>5903</v>
      </c>
      <c r="D2338" s="13">
        <f>_xll.EditDistance($C$3,C2338,2)</f>
        <v>10</v>
      </c>
      <c r="E2338" s="13"/>
    </row>
    <row r="2339" spans="2:5" x14ac:dyDescent="0.2">
      <c r="B2339" t="s">
        <v>6476</v>
      </c>
      <c r="C2339" t="s">
        <v>6477</v>
      </c>
      <c r="D2339" s="13">
        <f>_xll.EditDistance($C$3,C2339,2)</f>
        <v>10</v>
      </c>
      <c r="E2339" s="13"/>
    </row>
    <row r="2340" spans="2:5" x14ac:dyDescent="0.2">
      <c r="B2340" t="s">
        <v>6558</v>
      </c>
      <c r="C2340" t="s">
        <v>6559</v>
      </c>
      <c r="D2340" s="13">
        <f>_xll.EditDistance($C$3,C2340,2)</f>
        <v>10</v>
      </c>
      <c r="E2340" s="13"/>
    </row>
    <row r="2341" spans="2:5" x14ac:dyDescent="0.2">
      <c r="B2341" t="s">
        <v>6634</v>
      </c>
      <c r="C2341" t="s">
        <v>6635</v>
      </c>
      <c r="D2341" s="13">
        <f>_xll.EditDistance($C$3,C2341,2)</f>
        <v>10</v>
      </c>
      <c r="E2341" s="13"/>
    </row>
    <row r="2342" spans="2:5" x14ac:dyDescent="0.2">
      <c r="B2342" t="s">
        <v>6871</v>
      </c>
      <c r="C2342" t="s">
        <v>6872</v>
      </c>
      <c r="D2342" s="13">
        <f>_xll.EditDistance($C$3,C2342,2)</f>
        <v>10</v>
      </c>
      <c r="E2342" s="13"/>
    </row>
    <row r="2343" spans="2:5" x14ac:dyDescent="0.2">
      <c r="B2343" t="s">
        <v>7092</v>
      </c>
      <c r="C2343" t="s">
        <v>7093</v>
      </c>
      <c r="D2343" s="13">
        <f>_xll.EditDistance($C$3,C2343,2)</f>
        <v>10</v>
      </c>
      <c r="E2343" s="13"/>
    </row>
    <row r="2344" spans="2:5" x14ac:dyDescent="0.2">
      <c r="B2344" t="s">
        <v>7413</v>
      </c>
      <c r="C2344" t="s">
        <v>7414</v>
      </c>
      <c r="D2344" s="13">
        <f>_xll.EditDistance($C$3,C2344,2)</f>
        <v>20</v>
      </c>
      <c r="E2344" s="13"/>
    </row>
    <row r="2345" spans="2:5" x14ac:dyDescent="0.2">
      <c r="B2345" t="s">
        <v>7424</v>
      </c>
      <c r="C2345" t="s">
        <v>7425</v>
      </c>
      <c r="D2345" s="13">
        <f>_xll.EditDistance($C$3,C2345,2)</f>
        <v>10</v>
      </c>
      <c r="E2345" s="13"/>
    </row>
    <row r="2346" spans="2:5" x14ac:dyDescent="0.2">
      <c r="B2346" t="s">
        <v>8312</v>
      </c>
      <c r="C2346" t="s">
        <v>8314</v>
      </c>
      <c r="D2346" s="13">
        <f>_xll.EditDistance($C$3,C2346,2)</f>
        <v>10</v>
      </c>
      <c r="E2346" s="13"/>
    </row>
    <row r="2347" spans="2:5" x14ac:dyDescent="0.2">
      <c r="B2347" t="s">
        <v>8488</v>
      </c>
      <c r="C2347" t="s">
        <v>8490</v>
      </c>
      <c r="D2347" s="13">
        <f>_xll.EditDistance($C$3,C2347,2)</f>
        <v>20</v>
      </c>
      <c r="E2347" s="13"/>
    </row>
    <row r="2348" spans="2:5" x14ac:dyDescent="0.2">
      <c r="B2348" t="s">
        <v>325</v>
      </c>
      <c r="C2348" t="s">
        <v>326</v>
      </c>
      <c r="D2348" s="13">
        <f>_xll.EditDistance($C$3,C2348,2)</f>
        <v>10</v>
      </c>
      <c r="E2348" s="13"/>
    </row>
    <row r="2349" spans="2:5" x14ac:dyDescent="0.2">
      <c r="B2349" t="s">
        <v>3041</v>
      </c>
      <c r="C2349" t="s">
        <v>3043</v>
      </c>
      <c r="D2349" s="13">
        <f>_xll.EditDistance($C$3,C2349,2)</f>
        <v>10</v>
      </c>
      <c r="E2349" s="13"/>
    </row>
    <row r="2350" spans="2:5" x14ac:dyDescent="0.2">
      <c r="B2350" t="s">
        <v>3274</v>
      </c>
      <c r="C2350" t="s">
        <v>3275</v>
      </c>
      <c r="D2350" s="13">
        <f>_xll.EditDistance($C$3,C2350,2)</f>
        <v>18</v>
      </c>
      <c r="E2350" s="13"/>
    </row>
    <row r="2351" spans="2:5" x14ac:dyDescent="0.2">
      <c r="B2351" t="s">
        <v>4240</v>
      </c>
      <c r="C2351" t="s">
        <v>4241</v>
      </c>
      <c r="D2351" s="13">
        <f>_xll.EditDistance($C$3,C2351,2)</f>
        <v>30</v>
      </c>
      <c r="E2351" s="13"/>
    </row>
    <row r="2352" spans="2:5" x14ac:dyDescent="0.2">
      <c r="B2352" t="s">
        <v>1149</v>
      </c>
      <c r="C2352" t="s">
        <v>1150</v>
      </c>
      <c r="D2352" s="13">
        <f>_xll.EditDistance($C$3,C2352,2)</f>
        <v>10</v>
      </c>
      <c r="E2352" s="13"/>
    </row>
    <row r="2353" spans="2:5" x14ac:dyDescent="0.2">
      <c r="B2353" t="s">
        <v>1730</v>
      </c>
      <c r="C2353" t="s">
        <v>1731</v>
      </c>
      <c r="D2353" s="13">
        <f>_xll.EditDistance($C$3,C2353,2)</f>
        <v>20</v>
      </c>
      <c r="E2353" s="13"/>
    </row>
    <row r="2354" spans="2:5" x14ac:dyDescent="0.2">
      <c r="B2354" t="s">
        <v>2703</v>
      </c>
      <c r="C2354" t="s">
        <v>2704</v>
      </c>
      <c r="D2354" s="13">
        <f>_xll.EditDistance($C$3,C2354,2)</f>
        <v>10</v>
      </c>
      <c r="E2354" s="13"/>
    </row>
    <row r="2355" spans="2:5" x14ac:dyDescent="0.2">
      <c r="B2355" s="22" t="s">
        <v>3360</v>
      </c>
      <c r="C2355" t="s">
        <v>3361</v>
      </c>
      <c r="D2355" s="13">
        <f>_xll.EditDistance($C$3,C2355,2)</f>
        <v>10</v>
      </c>
      <c r="E2355" s="13"/>
    </row>
    <row r="2356" spans="2:5" x14ac:dyDescent="0.2">
      <c r="B2356" t="s">
        <v>3442</v>
      </c>
      <c r="C2356" t="s">
        <v>3443</v>
      </c>
      <c r="D2356" s="13">
        <f>_xll.EditDistance($C$3,C2356,2)</f>
        <v>10</v>
      </c>
      <c r="E2356" s="13"/>
    </row>
    <row r="2357" spans="2:5" x14ac:dyDescent="0.2">
      <c r="B2357" s="22" t="s">
        <v>4430</v>
      </c>
      <c r="C2357" t="s">
        <v>4431</v>
      </c>
      <c r="D2357" s="13">
        <f>_xll.EditDistance($C$3,C2357,2)</f>
        <v>10</v>
      </c>
      <c r="E2357" s="13"/>
    </row>
    <row r="2358" spans="2:5" x14ac:dyDescent="0.2">
      <c r="B2358" t="s">
        <v>6996</v>
      </c>
      <c r="C2358" t="s">
        <v>6997</v>
      </c>
      <c r="D2358" s="13">
        <f>_xll.EditDistance($C$3,C2358,2)</f>
        <v>18</v>
      </c>
      <c r="E2358" s="13"/>
    </row>
    <row r="2359" spans="2:5" x14ac:dyDescent="0.2">
      <c r="B2359" t="s">
        <v>7705</v>
      </c>
      <c r="C2359" t="s">
        <v>7706</v>
      </c>
      <c r="D2359" s="13">
        <f>_xll.EditDistance($C$3,C2359,2)</f>
        <v>10</v>
      </c>
      <c r="E2359" s="13"/>
    </row>
    <row r="2360" spans="2:5" x14ac:dyDescent="0.2">
      <c r="B2360" t="s">
        <v>8082</v>
      </c>
      <c r="C2360" t="s">
        <v>8083</v>
      </c>
      <c r="D2360" s="13">
        <f>_xll.EditDistance($C$3,C2360,2)</f>
        <v>20</v>
      </c>
      <c r="E2360" s="13"/>
    </row>
    <row r="2361" spans="2:5" x14ac:dyDescent="0.2">
      <c r="B2361" t="s">
        <v>8414</v>
      </c>
      <c r="C2361" t="s">
        <v>8415</v>
      </c>
      <c r="D2361" s="13">
        <f>_xll.EditDistance($C$3,C2361,2)</f>
        <v>10</v>
      </c>
      <c r="E2361" s="13"/>
    </row>
    <row r="2362" spans="2:5" x14ac:dyDescent="0.2">
      <c r="B2362" t="s">
        <v>8488</v>
      </c>
      <c r="C2362" t="s">
        <v>8489</v>
      </c>
      <c r="D2362" s="13">
        <f>_xll.EditDistance($C$3,C2362,2)</f>
        <v>20</v>
      </c>
      <c r="E2362" s="13"/>
    </row>
    <row r="2363" spans="2:5" x14ac:dyDescent="0.2">
      <c r="B2363" t="s">
        <v>165</v>
      </c>
      <c r="C2363" t="s">
        <v>166</v>
      </c>
      <c r="D2363" s="13">
        <f>_xll.EditDistance($C$3,C2363,2)</f>
        <v>10</v>
      </c>
      <c r="E2363" s="13"/>
    </row>
    <row r="2364" spans="2:5" x14ac:dyDescent="0.2">
      <c r="B2364" s="22" t="s">
        <v>1300</v>
      </c>
      <c r="C2364" t="s">
        <v>1301</v>
      </c>
      <c r="D2364" s="13">
        <f>_xll.EditDistance($C$3,C2364,2)</f>
        <v>10</v>
      </c>
      <c r="E2364" s="13"/>
    </row>
    <row r="2365" spans="2:5" x14ac:dyDescent="0.2">
      <c r="B2365" t="s">
        <v>1407</v>
      </c>
      <c r="C2365" t="s">
        <v>1408</v>
      </c>
      <c r="D2365" s="13">
        <f>_xll.EditDistance($C$3,C2365,2)</f>
        <v>10</v>
      </c>
      <c r="E2365" s="13"/>
    </row>
    <row r="2366" spans="2:5" x14ac:dyDescent="0.2">
      <c r="B2366" t="s">
        <v>1606</v>
      </c>
      <c r="C2366" t="s">
        <v>1607</v>
      </c>
      <c r="D2366" s="13">
        <f>_xll.EditDistance($C$3,C2366,2)</f>
        <v>10</v>
      </c>
      <c r="E2366" s="13"/>
    </row>
    <row r="2367" spans="2:5" x14ac:dyDescent="0.2">
      <c r="B2367" t="s">
        <v>1677</v>
      </c>
      <c r="C2367" t="s">
        <v>1679</v>
      </c>
      <c r="D2367" s="13">
        <f>_xll.EditDistance($C$3,C2367,2)</f>
        <v>10</v>
      </c>
      <c r="E2367" s="13"/>
    </row>
    <row r="2368" spans="2:5" x14ac:dyDescent="0.2">
      <c r="B2368" t="s">
        <v>2285</v>
      </c>
      <c r="C2368" t="s">
        <v>2286</v>
      </c>
      <c r="D2368" s="13">
        <f>_xll.EditDistance($C$3,C2368,2)</f>
        <v>10</v>
      </c>
      <c r="E2368" s="13"/>
    </row>
    <row r="2369" spans="2:5" x14ac:dyDescent="0.2">
      <c r="B2369" t="s">
        <v>2375</v>
      </c>
      <c r="C2369" t="s">
        <v>2376</v>
      </c>
      <c r="D2369" s="13">
        <f>_xll.EditDistance($C$3,C2369,2)</f>
        <v>10</v>
      </c>
      <c r="E2369" s="13"/>
    </row>
    <row r="2370" spans="2:5" x14ac:dyDescent="0.2">
      <c r="B2370" t="s">
        <v>2838</v>
      </c>
      <c r="C2370" t="s">
        <v>2839</v>
      </c>
      <c r="D2370" s="13">
        <f>_xll.EditDistance($C$3,C2370,2)</f>
        <v>10</v>
      </c>
      <c r="E2370" s="13"/>
    </row>
    <row r="2371" spans="2:5" x14ac:dyDescent="0.2">
      <c r="B2371" t="s">
        <v>2943</v>
      </c>
      <c r="C2371" t="s">
        <v>2944</v>
      </c>
      <c r="D2371" s="13">
        <f>_xll.EditDistance($C$3,C2371,2)</f>
        <v>10</v>
      </c>
      <c r="E2371" s="13"/>
    </row>
    <row r="2372" spans="2:5" x14ac:dyDescent="0.2">
      <c r="B2372" t="s">
        <v>3193</v>
      </c>
      <c r="C2372" t="s">
        <v>3194</v>
      </c>
      <c r="D2372" s="13">
        <f>_xll.EditDistance($C$3,C2372,2)</f>
        <v>10</v>
      </c>
      <c r="E2372" s="13"/>
    </row>
    <row r="2373" spans="2:5" x14ac:dyDescent="0.2">
      <c r="B2373" s="22" t="s">
        <v>3355</v>
      </c>
      <c r="C2373" t="s">
        <v>3356</v>
      </c>
      <c r="D2373" s="13">
        <f>_xll.EditDistance($C$3,C2373,2)</f>
        <v>20</v>
      </c>
      <c r="E2373" s="13"/>
    </row>
    <row r="2374" spans="2:5" x14ac:dyDescent="0.2">
      <c r="B2374" t="s">
        <v>3409</v>
      </c>
      <c r="C2374" t="s">
        <v>3410</v>
      </c>
      <c r="D2374" s="13">
        <f>_xll.EditDistance($C$3,C2374,2)</f>
        <v>10</v>
      </c>
      <c r="E2374" s="13"/>
    </row>
    <row r="2375" spans="2:5" x14ac:dyDescent="0.2">
      <c r="B2375" t="s">
        <v>4500</v>
      </c>
      <c r="C2375" t="s">
        <v>4502</v>
      </c>
      <c r="D2375" s="13">
        <f>_xll.EditDistance($C$3,C2375,2)</f>
        <v>20</v>
      </c>
      <c r="E2375" s="13"/>
    </row>
    <row r="2376" spans="2:5" x14ac:dyDescent="0.2">
      <c r="B2376" t="s">
        <v>4812</v>
      </c>
      <c r="C2376" t="s">
        <v>4813</v>
      </c>
      <c r="D2376" s="13">
        <f>_xll.EditDistance($C$3,C2376,2)</f>
        <v>20</v>
      </c>
      <c r="E2376" s="13"/>
    </row>
    <row r="2377" spans="2:5" x14ac:dyDescent="0.2">
      <c r="B2377" t="s">
        <v>5008</v>
      </c>
      <c r="C2377" t="s">
        <v>5009</v>
      </c>
      <c r="D2377" s="13">
        <f>_xll.EditDistance($C$3,C2377,2)</f>
        <v>10</v>
      </c>
      <c r="E2377" s="13"/>
    </row>
    <row r="2378" spans="2:5" x14ac:dyDescent="0.2">
      <c r="B2378" t="s">
        <v>5070</v>
      </c>
      <c r="C2378" t="s">
        <v>5072</v>
      </c>
      <c r="D2378" s="13">
        <f>_xll.EditDistance($C$3,C2378,2)</f>
        <v>10</v>
      </c>
      <c r="E2378" s="13"/>
    </row>
    <row r="2379" spans="2:5" x14ac:dyDescent="0.2">
      <c r="B2379" t="s">
        <v>1228</v>
      </c>
      <c r="C2379" t="s">
        <v>1229</v>
      </c>
      <c r="D2379" s="13">
        <f>_xll.EditDistance($C$3,C2379,2)</f>
        <v>10</v>
      </c>
      <c r="E2379" s="13"/>
    </row>
    <row r="2380" spans="2:5" x14ac:dyDescent="0.2">
      <c r="B2380" t="s">
        <v>1436</v>
      </c>
      <c r="C2380" t="s">
        <v>1438</v>
      </c>
      <c r="D2380" s="13">
        <f>_xll.EditDistance($C$3,C2380,2)</f>
        <v>30</v>
      </c>
      <c r="E2380" s="13"/>
    </row>
    <row r="2381" spans="2:5" x14ac:dyDescent="0.2">
      <c r="B2381" t="s">
        <v>1462</v>
      </c>
      <c r="C2381" t="s">
        <v>1463</v>
      </c>
      <c r="D2381" s="13">
        <f>_xll.EditDistance($C$3,C2381,2)</f>
        <v>20</v>
      </c>
      <c r="E2381" s="13"/>
    </row>
    <row r="2382" spans="2:5" x14ac:dyDescent="0.2">
      <c r="B2382" t="s">
        <v>1580</v>
      </c>
      <c r="C2382" t="s">
        <v>1581</v>
      </c>
      <c r="D2382" s="13">
        <f>_xll.EditDistance($C$3,C2382,2)</f>
        <v>20</v>
      </c>
      <c r="E2382" s="13"/>
    </row>
    <row r="2383" spans="2:5" x14ac:dyDescent="0.2">
      <c r="B2383" t="s">
        <v>2644</v>
      </c>
      <c r="C2383" t="s">
        <v>2645</v>
      </c>
      <c r="D2383" s="13">
        <f>_xll.EditDistance($C$3,C2383,2)</f>
        <v>10</v>
      </c>
      <c r="E2383" s="13"/>
    </row>
    <row r="2384" spans="2:5" x14ac:dyDescent="0.2">
      <c r="B2384" t="s">
        <v>2884</v>
      </c>
      <c r="C2384" t="s">
        <v>2885</v>
      </c>
      <c r="D2384" s="13">
        <f>_xll.EditDistance($C$3,C2384,2)</f>
        <v>10</v>
      </c>
      <c r="E2384" s="13"/>
    </row>
    <row r="2385" spans="2:5" x14ac:dyDescent="0.2">
      <c r="B2385" t="s">
        <v>2888</v>
      </c>
      <c r="C2385" t="s">
        <v>2889</v>
      </c>
      <c r="D2385" s="13">
        <f>_xll.EditDistance($C$3,C2385,2)</f>
        <v>10</v>
      </c>
      <c r="E2385" s="13"/>
    </row>
    <row r="2386" spans="2:5" x14ac:dyDescent="0.2">
      <c r="B2386" t="s">
        <v>3276</v>
      </c>
      <c r="C2386" t="s">
        <v>3277</v>
      </c>
      <c r="D2386" s="13">
        <f>_xll.EditDistance($C$3,C2386,2)</f>
        <v>20</v>
      </c>
      <c r="E2386" s="13"/>
    </row>
    <row r="2387" spans="2:5" x14ac:dyDescent="0.2">
      <c r="B2387" t="s">
        <v>3278</v>
      </c>
      <c r="C2387" t="s">
        <v>3279</v>
      </c>
      <c r="D2387" s="13">
        <f>_xll.EditDistance($C$3,C2387,2)</f>
        <v>10</v>
      </c>
      <c r="E2387" s="13"/>
    </row>
    <row r="2388" spans="2:5" x14ac:dyDescent="0.2">
      <c r="B2388" t="s">
        <v>3292</v>
      </c>
      <c r="C2388" t="s">
        <v>3293</v>
      </c>
      <c r="D2388" s="13">
        <f>_xll.EditDistance($C$3,C2388,2)</f>
        <v>10</v>
      </c>
      <c r="E2388" s="13"/>
    </row>
    <row r="2389" spans="2:5" x14ac:dyDescent="0.2">
      <c r="B2389" t="s">
        <v>3322</v>
      </c>
      <c r="C2389" t="s">
        <v>3323</v>
      </c>
      <c r="D2389" s="13">
        <f>_xll.EditDistance($C$3,C2389,2)</f>
        <v>20</v>
      </c>
      <c r="E2389" s="13"/>
    </row>
    <row r="2390" spans="2:5" x14ac:dyDescent="0.2">
      <c r="B2390" t="s">
        <v>3397</v>
      </c>
      <c r="C2390" t="s">
        <v>3398</v>
      </c>
      <c r="D2390" s="13">
        <f>_xll.EditDistance($C$3,C2390,2)</f>
        <v>20</v>
      </c>
      <c r="E2390" s="13"/>
    </row>
    <row r="2391" spans="2:5" x14ac:dyDescent="0.2">
      <c r="B2391" t="s">
        <v>3924</v>
      </c>
      <c r="C2391" t="s">
        <v>3925</v>
      </c>
      <c r="D2391" s="13">
        <f>_xll.EditDistance($C$3,C2391,2)</f>
        <v>10</v>
      </c>
      <c r="E2391" s="13"/>
    </row>
    <row r="2392" spans="2:5" x14ac:dyDescent="0.2">
      <c r="B2392" t="s">
        <v>4246</v>
      </c>
      <c r="C2392" t="s">
        <v>4247</v>
      </c>
      <c r="D2392" s="13">
        <f>_xll.EditDistance($C$3,C2392,2)</f>
        <v>16</v>
      </c>
      <c r="E2392" s="13"/>
    </row>
    <row r="2393" spans="2:5" x14ac:dyDescent="0.2">
      <c r="B2393" s="22" t="s">
        <v>4430</v>
      </c>
      <c r="C2393" t="s">
        <v>4432</v>
      </c>
      <c r="D2393" s="13">
        <f>_xll.EditDistance($C$3,C2393,2)</f>
        <v>10</v>
      </c>
      <c r="E2393" s="13"/>
    </row>
    <row r="2394" spans="2:5" x14ac:dyDescent="0.2">
      <c r="B2394" t="s">
        <v>4433</v>
      </c>
      <c r="C2394" t="s">
        <v>4434</v>
      </c>
      <c r="D2394" s="13">
        <f>_xll.EditDistance($C$3,C2394,2)</f>
        <v>20</v>
      </c>
      <c r="E2394" s="13"/>
    </row>
    <row r="2395" spans="2:5" x14ac:dyDescent="0.2">
      <c r="B2395" t="s">
        <v>4466</v>
      </c>
      <c r="C2395" t="s">
        <v>4467</v>
      </c>
      <c r="D2395" s="13">
        <f>_xll.EditDistance($C$3,C2395,2)</f>
        <v>20</v>
      </c>
      <c r="E2395" s="13"/>
    </row>
    <row r="2396" spans="2:5" x14ac:dyDescent="0.2">
      <c r="B2396" t="s">
        <v>4480</v>
      </c>
      <c r="C2396" t="s">
        <v>4481</v>
      </c>
      <c r="D2396" s="13">
        <f>_xll.EditDistance($C$3,C2396,2)</f>
        <v>10</v>
      </c>
      <c r="E2396" s="13"/>
    </row>
    <row r="2397" spans="2:5" x14ac:dyDescent="0.2">
      <c r="B2397" t="s">
        <v>4627</v>
      </c>
      <c r="C2397" t="s">
        <v>4628</v>
      </c>
      <c r="D2397" s="13">
        <f>_xll.EditDistance($C$3,C2397,2)</f>
        <v>10</v>
      </c>
      <c r="E2397" s="13"/>
    </row>
    <row r="2398" spans="2:5" x14ac:dyDescent="0.2">
      <c r="B2398" t="s">
        <v>4838</v>
      </c>
      <c r="C2398" t="s">
        <v>4839</v>
      </c>
      <c r="D2398" s="13">
        <f>_xll.EditDistance($C$3,C2398,2)</f>
        <v>30</v>
      </c>
      <c r="E2398" s="13"/>
    </row>
    <row r="2399" spans="2:5" x14ac:dyDescent="0.2">
      <c r="B2399" t="s">
        <v>4851</v>
      </c>
      <c r="C2399" t="s">
        <v>4852</v>
      </c>
      <c r="D2399" s="13">
        <f>_xll.EditDistance($C$3,C2399,2)</f>
        <v>20</v>
      </c>
      <c r="E2399" s="13"/>
    </row>
    <row r="2400" spans="2:5" x14ac:dyDescent="0.2">
      <c r="B2400" t="s">
        <v>5447</v>
      </c>
      <c r="C2400" t="s">
        <v>5448</v>
      </c>
      <c r="D2400" s="13">
        <f>_xll.EditDistance($C$3,C2400,2)</f>
        <v>30</v>
      </c>
      <c r="E2400" s="13"/>
    </row>
    <row r="2401" spans="2:5" x14ac:dyDescent="0.2">
      <c r="B2401" t="s">
        <v>5676</v>
      </c>
      <c r="C2401" t="s">
        <v>5677</v>
      </c>
      <c r="D2401" s="13">
        <f>_xll.EditDistance($C$3,C2401,2)</f>
        <v>10</v>
      </c>
      <c r="E2401" s="13"/>
    </row>
    <row r="2402" spans="2:5" x14ac:dyDescent="0.2">
      <c r="B2402" t="s">
        <v>6295</v>
      </c>
      <c r="C2402" t="s">
        <v>6296</v>
      </c>
      <c r="D2402" s="13">
        <f>_xll.EditDistance($C$3,C2402,2)</f>
        <v>10</v>
      </c>
      <c r="E2402" s="13"/>
    </row>
    <row r="2403" spans="2:5" x14ac:dyDescent="0.2">
      <c r="B2403" t="s">
        <v>6660</v>
      </c>
      <c r="C2403" t="s">
        <v>6661</v>
      </c>
      <c r="D2403" s="13">
        <f>_xll.EditDistance($C$3,C2403,2)</f>
        <v>20</v>
      </c>
      <c r="E2403" s="13"/>
    </row>
    <row r="2404" spans="2:5" x14ac:dyDescent="0.2">
      <c r="B2404" t="s">
        <v>6950</v>
      </c>
      <c r="C2404" t="s">
        <v>6951</v>
      </c>
      <c r="D2404" s="13">
        <f>_xll.EditDistance($C$3,C2404,2)</f>
        <v>20</v>
      </c>
      <c r="E2404" s="13"/>
    </row>
    <row r="2405" spans="2:5" x14ac:dyDescent="0.2">
      <c r="B2405" t="s">
        <v>7344</v>
      </c>
      <c r="C2405" t="s">
        <v>7345</v>
      </c>
      <c r="D2405" s="13">
        <f>_xll.EditDistance($C$3,C2405,2)</f>
        <v>10</v>
      </c>
      <c r="E2405" s="13"/>
    </row>
    <row r="2406" spans="2:5" x14ac:dyDescent="0.2">
      <c r="B2406" t="s">
        <v>7734</v>
      </c>
      <c r="C2406" t="s">
        <v>7735</v>
      </c>
      <c r="D2406" s="13">
        <f>_xll.EditDistance($C$3,C2406,2)</f>
        <v>20</v>
      </c>
      <c r="E2406" s="13"/>
    </row>
    <row r="2407" spans="2:5" x14ac:dyDescent="0.2">
      <c r="B2407" t="s">
        <v>7936</v>
      </c>
      <c r="C2407" t="s">
        <v>7937</v>
      </c>
      <c r="D2407" s="13">
        <f>_xll.EditDistance($C$3,C2407,2)</f>
        <v>10</v>
      </c>
      <c r="E2407" s="13"/>
    </row>
    <row r="2408" spans="2:5" x14ac:dyDescent="0.2">
      <c r="B2408" t="s">
        <v>8229</v>
      </c>
      <c r="C2408" t="s">
        <v>8230</v>
      </c>
      <c r="D2408" s="13">
        <f>_xll.EditDistance($C$3,C2408,2)</f>
        <v>20</v>
      </c>
      <c r="E2408" s="13"/>
    </row>
    <row r="2409" spans="2:5" x14ac:dyDescent="0.2">
      <c r="B2409" t="s">
        <v>8396</v>
      </c>
      <c r="C2409" t="s">
        <v>8397</v>
      </c>
      <c r="D2409" s="13">
        <f>_xll.EditDistance($C$3,C2409,2)</f>
        <v>21</v>
      </c>
      <c r="E2409" s="13"/>
    </row>
    <row r="2410" spans="2:5" x14ac:dyDescent="0.2">
      <c r="B2410" t="s">
        <v>243</v>
      </c>
      <c r="C2410" t="s">
        <v>244</v>
      </c>
      <c r="D2410" s="13">
        <f>_xll.EditDistance($C$3,C2410,2)</f>
        <v>10</v>
      </c>
      <c r="E2410" s="13"/>
    </row>
    <row r="2411" spans="2:5" x14ac:dyDescent="0.2">
      <c r="B2411" t="s">
        <v>390</v>
      </c>
      <c r="C2411" t="s">
        <v>391</v>
      </c>
      <c r="D2411" s="13">
        <f>_xll.EditDistance($C$3,C2411,2)</f>
        <v>20</v>
      </c>
      <c r="E2411" s="13"/>
    </row>
    <row r="2412" spans="2:5" x14ac:dyDescent="0.2">
      <c r="B2412" t="s">
        <v>1123</v>
      </c>
      <c r="C2412" t="s">
        <v>1124</v>
      </c>
      <c r="D2412" s="13">
        <f>_xll.EditDistance($C$3,C2412,2)</f>
        <v>10</v>
      </c>
      <c r="E2412" s="13"/>
    </row>
    <row r="2413" spans="2:5" x14ac:dyDescent="0.2">
      <c r="B2413" t="s">
        <v>1186</v>
      </c>
      <c r="C2413" t="s">
        <v>1187</v>
      </c>
      <c r="D2413" s="13">
        <f>_xll.EditDistance($C$3,C2413,2)</f>
        <v>10</v>
      </c>
      <c r="E2413" s="13"/>
    </row>
    <row r="2414" spans="2:5" x14ac:dyDescent="0.2">
      <c r="B2414" t="s">
        <v>1653</v>
      </c>
      <c r="C2414" t="s">
        <v>1655</v>
      </c>
      <c r="D2414" s="13">
        <f>_xll.EditDistance($C$3,C2414,2)</f>
        <v>10</v>
      </c>
      <c r="E2414" s="13"/>
    </row>
    <row r="2415" spans="2:5" x14ac:dyDescent="0.2">
      <c r="B2415" t="s">
        <v>1710</v>
      </c>
      <c r="C2415" t="s">
        <v>1711</v>
      </c>
      <c r="D2415" s="13">
        <f>_xll.EditDistance($C$3,C2415,2)</f>
        <v>10</v>
      </c>
      <c r="E2415" s="13"/>
    </row>
    <row r="2416" spans="2:5" x14ac:dyDescent="0.2">
      <c r="B2416" t="s">
        <v>1830</v>
      </c>
      <c r="C2416" t="s">
        <v>1831</v>
      </c>
      <c r="D2416" s="13">
        <f>_xll.EditDistance($C$3,C2416,2)</f>
        <v>10</v>
      </c>
      <c r="E2416" s="13"/>
    </row>
    <row r="2417" spans="2:5" x14ac:dyDescent="0.2">
      <c r="B2417" t="s">
        <v>2406</v>
      </c>
      <c r="C2417" t="s">
        <v>2407</v>
      </c>
      <c r="D2417" s="13">
        <f>_xll.EditDistance($C$3,C2417,2)</f>
        <v>10</v>
      </c>
      <c r="E2417" s="13"/>
    </row>
    <row r="2418" spans="2:5" x14ac:dyDescent="0.2">
      <c r="B2418" t="s">
        <v>2612</v>
      </c>
      <c r="C2418" t="s">
        <v>2613</v>
      </c>
      <c r="D2418" s="13">
        <f>_xll.EditDistance($C$3,C2418,2)</f>
        <v>20</v>
      </c>
      <c r="E2418" s="13"/>
    </row>
    <row r="2419" spans="2:5" x14ac:dyDescent="0.2">
      <c r="B2419" t="s">
        <v>2638</v>
      </c>
      <c r="C2419" t="s">
        <v>2639</v>
      </c>
      <c r="D2419" s="13">
        <f>_xll.EditDistance($C$3,C2419,2)</f>
        <v>10</v>
      </c>
      <c r="E2419" s="13"/>
    </row>
    <row r="2420" spans="2:5" x14ac:dyDescent="0.2">
      <c r="B2420" t="s">
        <v>2705</v>
      </c>
      <c r="C2420" t="s">
        <v>2706</v>
      </c>
      <c r="D2420" s="13">
        <f>_xll.EditDistance($C$3,C2420,2)</f>
        <v>10</v>
      </c>
      <c r="E2420" s="13"/>
    </row>
    <row r="2421" spans="2:5" x14ac:dyDescent="0.2">
      <c r="B2421" s="22" t="s">
        <v>2925</v>
      </c>
      <c r="C2421" t="s">
        <v>2926</v>
      </c>
      <c r="D2421" s="13">
        <f>_xll.EditDistance($C$3,C2421,2)</f>
        <v>10</v>
      </c>
      <c r="E2421" s="13"/>
    </row>
    <row r="2422" spans="2:5" x14ac:dyDescent="0.2">
      <c r="B2422" t="s">
        <v>3540</v>
      </c>
      <c r="C2422" t="s">
        <v>3541</v>
      </c>
      <c r="D2422" s="13">
        <f>_xll.EditDistance($C$3,C2422,2)</f>
        <v>10</v>
      </c>
      <c r="E2422" s="13"/>
    </row>
    <row r="2423" spans="2:5" x14ac:dyDescent="0.2">
      <c r="B2423" t="s">
        <v>3772</v>
      </c>
      <c r="C2423" t="s">
        <v>3773</v>
      </c>
      <c r="D2423" s="13">
        <f>_xll.EditDistance($C$3,C2423,2)</f>
        <v>30</v>
      </c>
      <c r="E2423" s="13"/>
    </row>
    <row r="2424" spans="2:5" x14ac:dyDescent="0.2">
      <c r="B2424" t="s">
        <v>4875</v>
      </c>
      <c r="C2424" t="s">
        <v>4876</v>
      </c>
      <c r="D2424" s="13">
        <f>_xll.EditDistance($C$3,C2424,2)</f>
        <v>20</v>
      </c>
      <c r="E2424" s="13"/>
    </row>
    <row r="2425" spans="2:5" x14ac:dyDescent="0.2">
      <c r="B2425" t="s">
        <v>5158</v>
      </c>
      <c r="C2425" t="s">
        <v>5159</v>
      </c>
      <c r="D2425" s="13">
        <f>_xll.EditDistance($C$3,C2425,2)</f>
        <v>10</v>
      </c>
      <c r="E2425" s="13"/>
    </row>
    <row r="2426" spans="2:5" x14ac:dyDescent="0.2">
      <c r="B2426" t="s">
        <v>5243</v>
      </c>
      <c r="C2426" t="s">
        <v>5244</v>
      </c>
      <c r="D2426" s="13">
        <f>_xll.EditDistance($C$3,C2426,2)</f>
        <v>20</v>
      </c>
      <c r="E2426" s="13"/>
    </row>
    <row r="2427" spans="2:5" x14ac:dyDescent="0.2">
      <c r="B2427" t="s">
        <v>5556</v>
      </c>
      <c r="C2427" t="s">
        <v>5557</v>
      </c>
      <c r="D2427" s="13">
        <f>_xll.EditDistance($C$3,C2427,2)</f>
        <v>10</v>
      </c>
      <c r="E2427" s="13"/>
    </row>
    <row r="2428" spans="2:5" x14ac:dyDescent="0.2">
      <c r="B2428" t="s">
        <v>5706</v>
      </c>
      <c r="C2428" t="s">
        <v>5707</v>
      </c>
      <c r="D2428" s="13">
        <f>_xll.EditDistance($C$3,C2428,2)</f>
        <v>10</v>
      </c>
      <c r="E2428" s="13"/>
    </row>
    <row r="2429" spans="2:5" x14ac:dyDescent="0.2">
      <c r="B2429" t="s">
        <v>6186</v>
      </c>
      <c r="C2429" t="s">
        <v>6187</v>
      </c>
      <c r="D2429" s="13">
        <f>_xll.EditDistance($C$3,C2429,2)</f>
        <v>30</v>
      </c>
      <c r="E2429" s="13"/>
    </row>
    <row r="2430" spans="2:5" x14ac:dyDescent="0.2">
      <c r="B2430" t="s">
        <v>6484</v>
      </c>
      <c r="C2430" t="s">
        <v>6485</v>
      </c>
      <c r="D2430" s="13">
        <f>_xll.EditDistance($C$3,C2430,2)</f>
        <v>10</v>
      </c>
      <c r="E2430" s="13"/>
    </row>
    <row r="2431" spans="2:5" x14ac:dyDescent="0.2">
      <c r="B2431" t="s">
        <v>6889</v>
      </c>
      <c r="C2431" t="s">
        <v>6890</v>
      </c>
      <c r="D2431" s="13">
        <f>_xll.EditDistance($C$3,C2431,2)</f>
        <v>10</v>
      </c>
      <c r="E2431" s="13"/>
    </row>
    <row r="2432" spans="2:5" x14ac:dyDescent="0.2">
      <c r="B2432" t="s">
        <v>7440</v>
      </c>
      <c r="C2432" t="s">
        <v>7441</v>
      </c>
      <c r="D2432" s="13">
        <f>_xll.EditDistance($C$3,C2432,2)</f>
        <v>10</v>
      </c>
      <c r="E2432" s="13"/>
    </row>
    <row r="2433" spans="2:5" x14ac:dyDescent="0.2">
      <c r="B2433" t="s">
        <v>7756</v>
      </c>
      <c r="C2433" t="s">
        <v>7757</v>
      </c>
      <c r="D2433" s="13">
        <f>_xll.EditDistance($C$3,C2433,2)</f>
        <v>10</v>
      </c>
      <c r="E2433" s="13"/>
    </row>
    <row r="2434" spans="2:5" x14ac:dyDescent="0.2">
      <c r="B2434" t="s">
        <v>8335</v>
      </c>
      <c r="C2434" t="s">
        <v>8336</v>
      </c>
      <c r="D2434" s="13">
        <f>_xll.EditDistance($C$3,C2434,2)</f>
        <v>10</v>
      </c>
      <c r="E2434" s="13"/>
    </row>
    <row r="2435" spans="2:5" x14ac:dyDescent="0.2">
      <c r="B2435" t="s">
        <v>8578</v>
      </c>
      <c r="C2435" t="s">
        <v>8579</v>
      </c>
      <c r="D2435" s="13">
        <f>_xll.EditDistance($C$3,C2435,2)</f>
        <v>30</v>
      </c>
      <c r="E2435" s="13"/>
    </row>
    <row r="2436" spans="2:5" x14ac:dyDescent="0.2">
      <c r="B2436" t="s">
        <v>398</v>
      </c>
      <c r="C2436" t="s">
        <v>399</v>
      </c>
      <c r="D2436" s="13">
        <f>_xll.EditDistance($C$3,C2436,2)</f>
        <v>10</v>
      </c>
      <c r="E2436" s="13"/>
    </row>
    <row r="2437" spans="2:5" x14ac:dyDescent="0.2">
      <c r="B2437" t="s">
        <v>516</v>
      </c>
      <c r="C2437" t="s">
        <v>517</v>
      </c>
      <c r="D2437" s="13">
        <f>_xll.EditDistance($C$3,C2437,2)</f>
        <v>10</v>
      </c>
      <c r="E2437" s="13"/>
    </row>
    <row r="2438" spans="2:5" x14ac:dyDescent="0.2">
      <c r="B2438" t="s">
        <v>524</v>
      </c>
      <c r="C2438" t="s">
        <v>525</v>
      </c>
      <c r="D2438" s="13">
        <f>_xll.EditDistance($C$3,C2438,2)</f>
        <v>20</v>
      </c>
      <c r="E2438" s="13"/>
    </row>
    <row r="2439" spans="2:5" x14ac:dyDescent="0.2">
      <c r="B2439" t="s">
        <v>1666</v>
      </c>
      <c r="C2439" t="s">
        <v>1668</v>
      </c>
      <c r="D2439" s="13">
        <f>_xll.EditDistance($C$3,C2439,2)</f>
        <v>20</v>
      </c>
      <c r="E2439" s="13"/>
    </row>
    <row r="2440" spans="2:5" x14ac:dyDescent="0.2">
      <c r="B2440" t="s">
        <v>2332</v>
      </c>
      <c r="C2440" t="s">
        <v>2333</v>
      </c>
      <c r="D2440" s="13">
        <f>_xll.EditDistance($C$3,C2440,2)</f>
        <v>10</v>
      </c>
      <c r="E2440" s="13"/>
    </row>
    <row r="2441" spans="2:5" x14ac:dyDescent="0.2">
      <c r="B2441" t="s">
        <v>2566</v>
      </c>
      <c r="C2441" t="s">
        <v>2567</v>
      </c>
      <c r="D2441" s="13">
        <f>_xll.EditDistance($C$3,C2441,2)</f>
        <v>10</v>
      </c>
      <c r="E2441" s="13"/>
    </row>
    <row r="2442" spans="2:5" x14ac:dyDescent="0.2">
      <c r="B2442" t="s">
        <v>3147</v>
      </c>
      <c r="C2442" t="s">
        <v>3148</v>
      </c>
      <c r="D2442" s="13">
        <f>_xll.EditDistance($C$3,C2442,2)</f>
        <v>20</v>
      </c>
      <c r="E2442" s="13"/>
    </row>
    <row r="2443" spans="2:5" x14ac:dyDescent="0.2">
      <c r="B2443" t="s">
        <v>3679</v>
      </c>
      <c r="C2443" t="s">
        <v>3680</v>
      </c>
      <c r="D2443" s="13">
        <f>_xll.EditDistance($C$3,C2443,2)</f>
        <v>10</v>
      </c>
      <c r="E2443" s="13"/>
    </row>
    <row r="2444" spans="2:5" x14ac:dyDescent="0.2">
      <c r="B2444" t="s">
        <v>4051</v>
      </c>
      <c r="C2444" t="s">
        <v>4052</v>
      </c>
      <c r="D2444" s="13">
        <f>_xll.EditDistance($C$3,C2444,2)</f>
        <v>10</v>
      </c>
      <c r="E2444" s="13"/>
    </row>
    <row r="2445" spans="2:5" x14ac:dyDescent="0.2">
      <c r="B2445" t="s">
        <v>4288</v>
      </c>
      <c r="C2445" t="s">
        <v>4289</v>
      </c>
      <c r="D2445" s="13">
        <f>_xll.EditDistance($C$3,C2445,2)</f>
        <v>10</v>
      </c>
      <c r="E2445" s="13"/>
    </row>
    <row r="2446" spans="2:5" x14ac:dyDescent="0.2">
      <c r="B2446" t="s">
        <v>4311</v>
      </c>
      <c r="C2446" t="s">
        <v>4312</v>
      </c>
      <c r="D2446" s="13">
        <f>_xll.EditDistance($C$3,C2446,2)</f>
        <v>10</v>
      </c>
      <c r="E2446" s="13"/>
    </row>
    <row r="2447" spans="2:5" x14ac:dyDescent="0.2">
      <c r="B2447" t="s">
        <v>4818</v>
      </c>
      <c r="C2447" t="s">
        <v>4819</v>
      </c>
      <c r="D2447" s="13">
        <f>_xll.EditDistance($C$3,C2447,2)</f>
        <v>20</v>
      </c>
      <c r="E2447" s="13"/>
    </row>
    <row r="2448" spans="2:5" x14ac:dyDescent="0.2">
      <c r="B2448" t="s">
        <v>4952</v>
      </c>
      <c r="C2448" t="s">
        <v>4953</v>
      </c>
      <c r="D2448" s="13">
        <f>_xll.EditDistance($C$3,C2448,2)</f>
        <v>10</v>
      </c>
      <c r="E2448" s="13"/>
    </row>
    <row r="2449" spans="2:5" x14ac:dyDescent="0.2">
      <c r="B2449" t="s">
        <v>5425</v>
      </c>
      <c r="C2449" t="s">
        <v>5426</v>
      </c>
      <c r="D2449" s="13">
        <f>_xll.EditDistance($C$3,C2449,2)</f>
        <v>10</v>
      </c>
      <c r="E2449" s="13"/>
    </row>
    <row r="2450" spans="2:5" x14ac:dyDescent="0.2">
      <c r="B2450" t="s">
        <v>5862</v>
      </c>
      <c r="C2450" t="s">
        <v>5863</v>
      </c>
      <c r="D2450" s="13">
        <f>_xll.EditDistance($C$3,C2450,2)</f>
        <v>10</v>
      </c>
      <c r="E2450" s="13"/>
    </row>
    <row r="2451" spans="2:5" x14ac:dyDescent="0.2">
      <c r="B2451" t="s">
        <v>6173</v>
      </c>
      <c r="C2451" t="s">
        <v>6174</v>
      </c>
      <c r="D2451" s="13">
        <f>_xll.EditDistance($C$3,C2451,2)</f>
        <v>20</v>
      </c>
      <c r="E2451" s="13"/>
    </row>
    <row r="2452" spans="2:5" x14ac:dyDescent="0.2">
      <c r="B2452" t="s">
        <v>6765</v>
      </c>
      <c r="C2452" t="s">
        <v>6766</v>
      </c>
      <c r="D2452" s="13">
        <f>_xll.EditDistance($C$3,C2452,2)</f>
        <v>10</v>
      </c>
      <c r="E2452" s="13"/>
    </row>
    <row r="2453" spans="2:5" x14ac:dyDescent="0.2">
      <c r="B2453" t="s">
        <v>7677</v>
      </c>
      <c r="C2453" t="s">
        <v>7678</v>
      </c>
      <c r="D2453" s="13">
        <f>_xll.EditDistance($C$3,C2453,2)</f>
        <v>10</v>
      </c>
      <c r="E2453" s="13"/>
    </row>
    <row r="2454" spans="2:5" x14ac:dyDescent="0.2">
      <c r="B2454" t="s">
        <v>7862</v>
      </c>
      <c r="C2454" t="s">
        <v>7863</v>
      </c>
      <c r="D2454" s="13">
        <f>_xll.EditDistance($C$3,C2454,2)</f>
        <v>10</v>
      </c>
      <c r="E2454" s="13"/>
    </row>
    <row r="2455" spans="2:5" x14ac:dyDescent="0.2">
      <c r="B2455" t="s">
        <v>7929</v>
      </c>
      <c r="C2455" t="s">
        <v>7930</v>
      </c>
      <c r="D2455" s="13">
        <f>_xll.EditDistance($C$3,C2455,2)</f>
        <v>54</v>
      </c>
      <c r="E2455" s="13"/>
    </row>
    <row r="2456" spans="2:5" x14ac:dyDescent="0.2">
      <c r="B2456" t="s">
        <v>8086</v>
      </c>
      <c r="C2456" t="s">
        <v>8087</v>
      </c>
      <c r="D2456" s="13">
        <f>_xll.EditDistance($C$3,C2456,2)</f>
        <v>10</v>
      </c>
      <c r="E2456" s="13"/>
    </row>
    <row r="2457" spans="2:5" x14ac:dyDescent="0.2">
      <c r="B2457" t="s">
        <v>196</v>
      </c>
      <c r="C2457" t="s">
        <v>197</v>
      </c>
      <c r="D2457" s="13">
        <f>_xll.EditDistance($C$3,C2457,2)</f>
        <v>20</v>
      </c>
      <c r="E2457" s="13"/>
    </row>
    <row r="2458" spans="2:5" x14ac:dyDescent="0.2">
      <c r="B2458" t="s">
        <v>206</v>
      </c>
      <c r="C2458" t="s">
        <v>207</v>
      </c>
      <c r="D2458" s="13">
        <f>_xll.EditDistance($C$3,C2458,2)</f>
        <v>10</v>
      </c>
      <c r="E2458" s="13"/>
    </row>
    <row r="2459" spans="2:5" x14ac:dyDescent="0.2">
      <c r="B2459" t="s">
        <v>212</v>
      </c>
      <c r="C2459" t="s">
        <v>213</v>
      </c>
      <c r="D2459" s="13">
        <f>_xll.EditDistance($C$3,C2459,2)</f>
        <v>10</v>
      </c>
      <c r="E2459" s="13"/>
    </row>
    <row r="2460" spans="2:5" x14ac:dyDescent="0.2">
      <c r="B2460" t="s">
        <v>265</v>
      </c>
      <c r="C2460" t="s">
        <v>266</v>
      </c>
      <c r="D2460" s="13">
        <f>_xll.EditDistance($C$3,C2460,2)</f>
        <v>10</v>
      </c>
      <c r="E2460" s="13"/>
    </row>
    <row r="2461" spans="2:5" x14ac:dyDescent="0.2">
      <c r="B2461" t="s">
        <v>321</v>
      </c>
      <c r="C2461" t="s">
        <v>322</v>
      </c>
      <c r="D2461" s="13">
        <f>_xll.EditDistance($C$3,C2461,2)</f>
        <v>10</v>
      </c>
      <c r="E2461" s="13"/>
    </row>
    <row r="2462" spans="2:5" x14ac:dyDescent="0.2">
      <c r="B2462" t="s">
        <v>323</v>
      </c>
      <c r="C2462" t="s">
        <v>324</v>
      </c>
      <c r="D2462" s="13">
        <f>_xll.EditDistance($C$3,C2462,2)</f>
        <v>10</v>
      </c>
      <c r="E2462" s="13"/>
    </row>
    <row r="2463" spans="2:5" x14ac:dyDescent="0.2">
      <c r="B2463" t="s">
        <v>372</v>
      </c>
      <c r="C2463" t="s">
        <v>373</v>
      </c>
      <c r="D2463" s="13">
        <f>_xll.EditDistance($C$3,C2463,2)</f>
        <v>10</v>
      </c>
      <c r="E2463" s="13"/>
    </row>
    <row r="2464" spans="2:5" x14ac:dyDescent="0.2">
      <c r="B2464" t="s">
        <v>380</v>
      </c>
      <c r="C2464" t="s">
        <v>381</v>
      </c>
      <c r="D2464" s="13">
        <f>_xll.EditDistance($C$3,C2464,2)</f>
        <v>10</v>
      </c>
      <c r="E2464" s="13"/>
    </row>
    <row r="2465" spans="2:5" x14ac:dyDescent="0.2">
      <c r="B2465" t="s">
        <v>384</v>
      </c>
      <c r="C2465" t="s">
        <v>385</v>
      </c>
      <c r="D2465" s="13">
        <f>_xll.EditDistance($C$3,C2465,2)</f>
        <v>10</v>
      </c>
      <c r="E2465" s="13"/>
    </row>
    <row r="2466" spans="2:5" x14ac:dyDescent="0.2">
      <c r="B2466" t="s">
        <v>464</v>
      </c>
      <c r="C2466" t="s">
        <v>465</v>
      </c>
      <c r="D2466" s="13">
        <f>_xll.EditDistance($C$3,C2466,2)</f>
        <v>10</v>
      </c>
      <c r="E2466" s="13"/>
    </row>
    <row r="2467" spans="2:5" x14ac:dyDescent="0.2">
      <c r="B2467" t="s">
        <v>496</v>
      </c>
      <c r="C2467" t="s">
        <v>497</v>
      </c>
      <c r="D2467" s="13">
        <f>_xll.EditDistance($C$3,C2467,2)</f>
        <v>10</v>
      </c>
      <c r="E2467" s="13"/>
    </row>
    <row r="2468" spans="2:5" x14ac:dyDescent="0.2">
      <c r="B2468" t="s">
        <v>510</v>
      </c>
      <c r="C2468" t="s">
        <v>511</v>
      </c>
      <c r="D2468" s="13">
        <f>_xll.EditDistance($C$3,C2468,2)</f>
        <v>10</v>
      </c>
      <c r="E2468" s="13"/>
    </row>
    <row r="2469" spans="2:5" x14ac:dyDescent="0.2">
      <c r="B2469" t="s">
        <v>632</v>
      </c>
      <c r="C2469" t="s">
        <v>633</v>
      </c>
      <c r="D2469" s="13">
        <f>_xll.EditDistance($C$3,C2469,2)</f>
        <v>10</v>
      </c>
      <c r="E2469" s="13"/>
    </row>
    <row r="2470" spans="2:5" x14ac:dyDescent="0.2">
      <c r="B2470" t="s">
        <v>642</v>
      </c>
      <c r="C2470" t="s">
        <v>643</v>
      </c>
      <c r="D2470" s="13">
        <f>_xll.EditDistance($C$3,C2470,2)</f>
        <v>60</v>
      </c>
      <c r="E2470" s="13"/>
    </row>
    <row r="2471" spans="2:5" x14ac:dyDescent="0.2">
      <c r="B2471" t="s">
        <v>691</v>
      </c>
      <c r="C2471" t="s">
        <v>692</v>
      </c>
      <c r="D2471" s="13">
        <f>_xll.EditDistance($C$3,C2471,2)</f>
        <v>10</v>
      </c>
      <c r="E2471" s="13"/>
    </row>
    <row r="2472" spans="2:5" x14ac:dyDescent="0.2">
      <c r="B2472" t="s">
        <v>699</v>
      </c>
      <c r="C2472" t="s">
        <v>700</v>
      </c>
      <c r="D2472" s="13">
        <f>_xll.EditDistance($C$3,C2472,2)</f>
        <v>20</v>
      </c>
      <c r="E2472" s="13"/>
    </row>
    <row r="2473" spans="2:5" x14ac:dyDescent="0.2">
      <c r="B2473" t="s">
        <v>763</v>
      </c>
      <c r="C2473" t="s">
        <v>764</v>
      </c>
      <c r="D2473" s="13">
        <f>_xll.EditDistance($C$3,C2473,2)</f>
        <v>10</v>
      </c>
      <c r="E2473" s="13"/>
    </row>
    <row r="2474" spans="2:5" x14ac:dyDescent="0.2">
      <c r="B2474" t="s">
        <v>767</v>
      </c>
      <c r="C2474" t="s">
        <v>768</v>
      </c>
      <c r="D2474" s="13">
        <f>_xll.EditDistance($C$3,C2474,2)</f>
        <v>10</v>
      </c>
      <c r="E2474" s="13"/>
    </row>
    <row r="2475" spans="2:5" x14ac:dyDescent="0.2">
      <c r="B2475" t="s">
        <v>812</v>
      </c>
      <c r="C2475" t="s">
        <v>813</v>
      </c>
      <c r="D2475" s="13">
        <f>_xll.EditDistance($C$3,C2475,2)</f>
        <v>20</v>
      </c>
      <c r="E2475" s="13"/>
    </row>
    <row r="2476" spans="2:5" x14ac:dyDescent="0.2">
      <c r="B2476" t="s">
        <v>818</v>
      </c>
      <c r="C2476" t="s">
        <v>819</v>
      </c>
      <c r="D2476" s="13">
        <f>_xll.EditDistance($C$3,C2476,2)</f>
        <v>10</v>
      </c>
      <c r="E2476" s="13"/>
    </row>
    <row r="2477" spans="2:5" x14ac:dyDescent="0.2">
      <c r="B2477" t="s">
        <v>826</v>
      </c>
      <c r="C2477" t="s">
        <v>827</v>
      </c>
      <c r="D2477" s="13">
        <f>_xll.EditDistance($C$3,C2477,2)</f>
        <v>10</v>
      </c>
      <c r="E2477" s="13"/>
    </row>
    <row r="2478" spans="2:5" x14ac:dyDescent="0.2">
      <c r="B2478" s="22" t="s">
        <v>846</v>
      </c>
      <c r="C2478" t="s">
        <v>847</v>
      </c>
      <c r="D2478" s="13">
        <f>_xll.EditDistance($C$3,C2478,2)</f>
        <v>10</v>
      </c>
      <c r="E2478" s="13"/>
    </row>
    <row r="2479" spans="2:5" x14ac:dyDescent="0.2">
      <c r="B2479" s="22" t="s">
        <v>849</v>
      </c>
      <c r="C2479" t="s">
        <v>850</v>
      </c>
      <c r="D2479" s="13">
        <f>_xll.EditDistance($C$3,C2479,2)</f>
        <v>10</v>
      </c>
      <c r="E2479" s="13"/>
    </row>
    <row r="2480" spans="2:5" x14ac:dyDescent="0.2">
      <c r="B2480" t="s">
        <v>891</v>
      </c>
      <c r="C2480" t="s">
        <v>892</v>
      </c>
      <c r="D2480" s="13">
        <f>_xll.EditDistance($C$3,C2480,2)</f>
        <v>10</v>
      </c>
      <c r="E2480" s="13"/>
    </row>
    <row r="2481" spans="2:5" x14ac:dyDescent="0.2">
      <c r="B2481" t="s">
        <v>907</v>
      </c>
      <c r="C2481" t="s">
        <v>908</v>
      </c>
      <c r="D2481" s="13">
        <f>_xll.EditDistance($C$3,C2481,2)</f>
        <v>10</v>
      </c>
      <c r="E2481" s="13"/>
    </row>
    <row r="2482" spans="2:5" x14ac:dyDescent="0.2">
      <c r="B2482" t="s">
        <v>909</v>
      </c>
      <c r="C2482" t="s">
        <v>910</v>
      </c>
      <c r="D2482" s="13">
        <f>_xll.EditDistance($C$3,C2482,2)</f>
        <v>10</v>
      </c>
      <c r="E2482" s="13"/>
    </row>
    <row r="2483" spans="2:5" x14ac:dyDescent="0.2">
      <c r="B2483" t="s">
        <v>958</v>
      </c>
      <c r="C2483" t="s">
        <v>959</v>
      </c>
      <c r="D2483" s="13">
        <f>_xll.EditDistance($C$3,C2483,2)</f>
        <v>10</v>
      </c>
      <c r="E2483" s="13"/>
    </row>
    <row r="2484" spans="2:5" x14ac:dyDescent="0.2">
      <c r="B2484" t="s">
        <v>1010</v>
      </c>
      <c r="C2484" t="s">
        <v>1011</v>
      </c>
      <c r="D2484" s="13">
        <f>_xll.EditDistance($C$3,C2484,2)</f>
        <v>10</v>
      </c>
      <c r="E2484" s="13"/>
    </row>
    <row r="2485" spans="2:5" x14ac:dyDescent="0.2">
      <c r="B2485" t="s">
        <v>1060</v>
      </c>
      <c r="C2485" t="s">
        <v>1061</v>
      </c>
      <c r="D2485" s="13">
        <f>_xll.EditDistance($C$3,C2485,2)</f>
        <v>10</v>
      </c>
      <c r="E2485" s="13"/>
    </row>
    <row r="2486" spans="2:5" x14ac:dyDescent="0.2">
      <c r="B2486" t="s">
        <v>1091</v>
      </c>
      <c r="C2486" t="s">
        <v>1092</v>
      </c>
      <c r="D2486" s="13">
        <f>_xll.EditDistance($C$3,C2486,2)</f>
        <v>10</v>
      </c>
      <c r="E2486" s="13"/>
    </row>
    <row r="2487" spans="2:5" x14ac:dyDescent="0.2">
      <c r="B2487" s="22" t="s">
        <v>1101</v>
      </c>
      <c r="C2487" t="s">
        <v>1102</v>
      </c>
      <c r="D2487" s="13">
        <f>_xll.EditDistance($C$3,C2487,2)</f>
        <v>10</v>
      </c>
      <c r="E2487" s="13"/>
    </row>
    <row r="2488" spans="2:5" x14ac:dyDescent="0.2">
      <c r="B2488" t="s">
        <v>1117</v>
      </c>
      <c r="C2488" t="s">
        <v>1118</v>
      </c>
      <c r="D2488" s="13">
        <f>_xll.EditDistance($C$3,C2488,2)</f>
        <v>10</v>
      </c>
      <c r="E2488" s="13"/>
    </row>
    <row r="2489" spans="2:5" x14ac:dyDescent="0.2">
      <c r="B2489" t="s">
        <v>1125</v>
      </c>
      <c r="C2489" t="s">
        <v>1126</v>
      </c>
      <c r="D2489" s="13">
        <f>_xll.EditDistance($C$3,C2489,2)</f>
        <v>10</v>
      </c>
      <c r="E2489" s="13"/>
    </row>
    <row r="2490" spans="2:5" x14ac:dyDescent="0.2">
      <c r="B2490" t="s">
        <v>1202</v>
      </c>
      <c r="C2490" t="s">
        <v>1203</v>
      </c>
      <c r="D2490" s="13">
        <f>_xll.EditDistance($C$3,C2490,2)</f>
        <v>10</v>
      </c>
      <c r="E2490" s="13"/>
    </row>
    <row r="2491" spans="2:5" x14ac:dyDescent="0.2">
      <c r="B2491" t="s">
        <v>1220</v>
      </c>
      <c r="C2491" t="s">
        <v>1221</v>
      </c>
      <c r="D2491" s="13">
        <f>_xll.EditDistance($C$3,C2491,2)</f>
        <v>20</v>
      </c>
      <c r="E2491" s="13"/>
    </row>
    <row r="2492" spans="2:5" x14ac:dyDescent="0.2">
      <c r="B2492" t="s">
        <v>1277</v>
      </c>
      <c r="C2492" t="s">
        <v>1278</v>
      </c>
      <c r="D2492" s="13">
        <f>_xll.EditDistance($C$3,C2492,2)</f>
        <v>10</v>
      </c>
      <c r="E2492" s="13"/>
    </row>
    <row r="2493" spans="2:5" x14ac:dyDescent="0.2">
      <c r="B2493" t="s">
        <v>1281</v>
      </c>
      <c r="C2493" t="s">
        <v>1282</v>
      </c>
      <c r="D2493" s="13">
        <f>_xll.EditDistance($C$3,C2493,2)</f>
        <v>10</v>
      </c>
      <c r="E2493" s="13"/>
    </row>
    <row r="2494" spans="2:5" x14ac:dyDescent="0.2">
      <c r="B2494" t="s">
        <v>1332</v>
      </c>
      <c r="C2494" t="s">
        <v>1333</v>
      </c>
      <c r="D2494" s="13">
        <f>_xll.EditDistance($C$3,C2494,2)</f>
        <v>10</v>
      </c>
      <c r="E2494" s="13"/>
    </row>
    <row r="2495" spans="2:5" x14ac:dyDescent="0.2">
      <c r="B2495" t="s">
        <v>1336</v>
      </c>
      <c r="C2495" t="s">
        <v>1337</v>
      </c>
      <c r="D2495" s="13">
        <f>_xll.EditDistance($C$3,C2495,2)</f>
        <v>10</v>
      </c>
      <c r="E2495" s="13"/>
    </row>
    <row r="2496" spans="2:5" x14ac:dyDescent="0.2">
      <c r="B2496" t="s">
        <v>1428</v>
      </c>
      <c r="C2496" t="s">
        <v>1429</v>
      </c>
      <c r="D2496" s="13">
        <f>_xll.EditDistance($C$3,C2496,2)</f>
        <v>10</v>
      </c>
      <c r="E2496" s="13"/>
    </row>
    <row r="2497" spans="2:5" x14ac:dyDescent="0.2">
      <c r="B2497" t="s">
        <v>1439</v>
      </c>
      <c r="C2497" t="s">
        <v>1440</v>
      </c>
      <c r="D2497" s="13">
        <f>_xll.EditDistance($C$3,C2497,2)</f>
        <v>10</v>
      </c>
      <c r="E2497" s="13"/>
    </row>
    <row r="2498" spans="2:5" x14ac:dyDescent="0.2">
      <c r="B2498" t="s">
        <v>1449</v>
      </c>
      <c r="C2498" t="s">
        <v>1450</v>
      </c>
      <c r="D2498" s="13">
        <f>_xll.EditDistance($C$3,C2498,2)</f>
        <v>10</v>
      </c>
      <c r="E2498" s="13"/>
    </row>
    <row r="2499" spans="2:5" x14ac:dyDescent="0.2">
      <c r="B2499" t="s">
        <v>1464</v>
      </c>
      <c r="C2499" t="s">
        <v>1465</v>
      </c>
      <c r="D2499" s="13">
        <f>_xll.EditDistance($C$3,C2499,2)</f>
        <v>10</v>
      </c>
      <c r="E2499" s="13"/>
    </row>
    <row r="2500" spans="2:5" x14ac:dyDescent="0.2">
      <c r="B2500" t="s">
        <v>1472</v>
      </c>
      <c r="C2500" t="s">
        <v>1473</v>
      </c>
      <c r="D2500" s="13">
        <f>_xll.EditDistance($C$3,C2500,2)</f>
        <v>10</v>
      </c>
      <c r="E2500" s="13"/>
    </row>
    <row r="2501" spans="2:5" x14ac:dyDescent="0.2">
      <c r="B2501" t="s">
        <v>1493</v>
      </c>
      <c r="C2501" t="s">
        <v>1494</v>
      </c>
      <c r="D2501" s="13">
        <f>_xll.EditDistance($C$3,C2501,2)</f>
        <v>10</v>
      </c>
      <c r="E2501" s="13"/>
    </row>
    <row r="2502" spans="2:5" x14ac:dyDescent="0.2">
      <c r="B2502" t="s">
        <v>1546</v>
      </c>
      <c r="C2502" t="s">
        <v>1547</v>
      </c>
      <c r="D2502" s="13">
        <f>_xll.EditDistance($C$3,C2502,2)</f>
        <v>10</v>
      </c>
      <c r="E2502" s="13"/>
    </row>
    <row r="2503" spans="2:5" x14ac:dyDescent="0.2">
      <c r="B2503" t="s">
        <v>1578</v>
      </c>
      <c r="C2503" t="s">
        <v>1579</v>
      </c>
      <c r="D2503" s="13">
        <f>_xll.EditDistance($C$3,C2503,2)</f>
        <v>10</v>
      </c>
      <c r="E2503" s="13"/>
    </row>
    <row r="2504" spans="2:5" x14ac:dyDescent="0.2">
      <c r="B2504" t="s">
        <v>1582</v>
      </c>
      <c r="C2504" t="s">
        <v>1583</v>
      </c>
      <c r="D2504" s="13">
        <f>_xll.EditDistance($C$3,C2504,2)</f>
        <v>10</v>
      </c>
      <c r="E2504" s="13"/>
    </row>
    <row r="2505" spans="2:5" x14ac:dyDescent="0.2">
      <c r="B2505" t="s">
        <v>1602</v>
      </c>
      <c r="C2505" t="s">
        <v>1603</v>
      </c>
      <c r="D2505" s="13">
        <f>_xll.EditDistance($C$3,C2505,2)</f>
        <v>10</v>
      </c>
      <c r="E2505" s="13"/>
    </row>
    <row r="2506" spans="2:5" x14ac:dyDescent="0.2">
      <c r="B2506" t="s">
        <v>1682</v>
      </c>
      <c r="C2506" t="s">
        <v>1683</v>
      </c>
      <c r="D2506" s="13">
        <f>_xll.EditDistance($C$3,C2506,2)</f>
        <v>10</v>
      </c>
      <c r="E2506" s="13"/>
    </row>
    <row r="2507" spans="2:5" x14ac:dyDescent="0.2">
      <c r="B2507" t="s">
        <v>1814</v>
      </c>
      <c r="C2507" t="s">
        <v>1815</v>
      </c>
      <c r="D2507" s="13">
        <f>_xll.EditDistance($C$3,C2507,2)</f>
        <v>10</v>
      </c>
      <c r="E2507" s="13"/>
    </row>
    <row r="2508" spans="2:5" x14ac:dyDescent="0.2">
      <c r="B2508" t="s">
        <v>1867</v>
      </c>
      <c r="C2508" t="s">
        <v>1868</v>
      </c>
      <c r="D2508" s="13">
        <f>_xll.EditDistance($C$3,C2508,2)</f>
        <v>20</v>
      </c>
      <c r="E2508" s="13"/>
    </row>
    <row r="2509" spans="2:5" x14ac:dyDescent="0.2">
      <c r="B2509" t="s">
        <v>1905</v>
      </c>
      <c r="C2509" t="s">
        <v>1906</v>
      </c>
      <c r="D2509" s="13">
        <f>_xll.EditDistance($C$3,C2509,2)</f>
        <v>10</v>
      </c>
      <c r="E2509" s="13"/>
    </row>
    <row r="2510" spans="2:5" x14ac:dyDescent="0.2">
      <c r="B2510" t="s">
        <v>1956</v>
      </c>
      <c r="C2510" t="s">
        <v>1957</v>
      </c>
      <c r="D2510" s="13">
        <f>_xll.EditDistance($C$3,C2510,2)</f>
        <v>10</v>
      </c>
      <c r="E2510" s="13"/>
    </row>
    <row r="2511" spans="2:5" x14ac:dyDescent="0.2">
      <c r="B2511" t="s">
        <v>1958</v>
      </c>
      <c r="C2511" t="s">
        <v>1959</v>
      </c>
      <c r="D2511" s="13">
        <f>_xll.EditDistance($C$3,C2511,2)</f>
        <v>10</v>
      </c>
      <c r="E2511" s="13"/>
    </row>
    <row r="2512" spans="2:5" x14ac:dyDescent="0.2">
      <c r="B2512" t="s">
        <v>2062</v>
      </c>
      <c r="C2512" t="s">
        <v>2063</v>
      </c>
      <c r="D2512" s="13">
        <f>_xll.EditDistance($C$3,C2512,2)</f>
        <v>54</v>
      </c>
      <c r="E2512" s="13"/>
    </row>
    <row r="2513" spans="2:5" x14ac:dyDescent="0.2">
      <c r="B2513" t="s">
        <v>2111</v>
      </c>
      <c r="C2513" t="s">
        <v>2112</v>
      </c>
      <c r="D2513" s="13">
        <f>_xll.EditDistance($C$3,C2513,2)</f>
        <v>10</v>
      </c>
      <c r="E2513" s="13"/>
    </row>
    <row r="2514" spans="2:5" x14ac:dyDescent="0.2">
      <c r="B2514" t="s">
        <v>2135</v>
      </c>
      <c r="C2514" t="s">
        <v>2136</v>
      </c>
      <c r="D2514" s="13">
        <f>_xll.EditDistance($C$3,C2514,2)</f>
        <v>10</v>
      </c>
      <c r="E2514" s="13"/>
    </row>
    <row r="2515" spans="2:5" x14ac:dyDescent="0.2">
      <c r="B2515" t="s">
        <v>2141</v>
      </c>
      <c r="C2515" t="s">
        <v>2142</v>
      </c>
      <c r="D2515" s="13">
        <f>_xll.EditDistance($C$3,C2515,2)</f>
        <v>10</v>
      </c>
      <c r="E2515" s="13"/>
    </row>
    <row r="2516" spans="2:5" x14ac:dyDescent="0.2">
      <c r="B2516" t="s">
        <v>2208</v>
      </c>
      <c r="C2516" t="s">
        <v>2209</v>
      </c>
      <c r="D2516" s="13">
        <f>_xll.EditDistance($C$3,C2516,2)</f>
        <v>10</v>
      </c>
      <c r="E2516" s="13"/>
    </row>
    <row r="2517" spans="2:5" x14ac:dyDescent="0.2">
      <c r="B2517" t="s">
        <v>2219</v>
      </c>
      <c r="C2517" t="s">
        <v>2220</v>
      </c>
      <c r="D2517" s="13">
        <f>_xll.EditDistance($C$3,C2517,2)</f>
        <v>10</v>
      </c>
      <c r="E2517" s="13"/>
    </row>
    <row r="2518" spans="2:5" x14ac:dyDescent="0.2">
      <c r="B2518" t="s">
        <v>2239</v>
      </c>
      <c r="C2518" t="s">
        <v>2240</v>
      </c>
      <c r="D2518" s="13">
        <f>_xll.EditDistance($C$3,C2518,2)</f>
        <v>10</v>
      </c>
      <c r="E2518" s="13"/>
    </row>
    <row r="2519" spans="2:5" x14ac:dyDescent="0.2">
      <c r="B2519" t="s">
        <v>2241</v>
      </c>
      <c r="C2519" t="s">
        <v>2242</v>
      </c>
      <c r="D2519" s="13">
        <f>_xll.EditDistance($C$3,C2519,2)</f>
        <v>10</v>
      </c>
      <c r="E2519" s="13"/>
    </row>
    <row r="2520" spans="2:5" x14ac:dyDescent="0.2">
      <c r="B2520" t="s">
        <v>2291</v>
      </c>
      <c r="C2520" t="s">
        <v>2292</v>
      </c>
      <c r="D2520" s="13">
        <f>_xll.EditDistance($C$3,C2520,2)</f>
        <v>10</v>
      </c>
      <c r="E2520" s="13"/>
    </row>
    <row r="2521" spans="2:5" x14ac:dyDescent="0.2">
      <c r="B2521" t="s">
        <v>2297</v>
      </c>
      <c r="C2521" t="s">
        <v>2298</v>
      </c>
      <c r="D2521" s="13">
        <f>_xll.EditDistance($C$3,C2521,2)</f>
        <v>10</v>
      </c>
      <c r="E2521" s="13"/>
    </row>
    <row r="2522" spans="2:5" x14ac:dyDescent="0.2">
      <c r="B2522" t="s">
        <v>2299</v>
      </c>
      <c r="C2522" t="s">
        <v>2300</v>
      </c>
      <c r="D2522" s="13">
        <f>_xll.EditDistance($C$3,C2522,2)</f>
        <v>10</v>
      </c>
      <c r="E2522" s="13"/>
    </row>
    <row r="2523" spans="2:5" x14ac:dyDescent="0.2">
      <c r="B2523" t="s">
        <v>2336</v>
      </c>
      <c r="C2523" t="s">
        <v>2337</v>
      </c>
      <c r="D2523" s="13">
        <f>_xll.EditDistance($C$3,C2523,2)</f>
        <v>10</v>
      </c>
      <c r="E2523" s="13"/>
    </row>
    <row r="2524" spans="2:5" x14ac:dyDescent="0.2">
      <c r="B2524" t="s">
        <v>2365</v>
      </c>
      <c r="C2524" t="s">
        <v>2366</v>
      </c>
      <c r="D2524" s="13">
        <f>_xll.EditDistance($C$3,C2524,2)</f>
        <v>10</v>
      </c>
      <c r="E2524" s="13"/>
    </row>
    <row r="2525" spans="2:5" x14ac:dyDescent="0.2">
      <c r="B2525" t="s">
        <v>2369</v>
      </c>
      <c r="C2525" t="s">
        <v>2370</v>
      </c>
      <c r="D2525" s="13">
        <f>_xll.EditDistance($C$3,C2525,2)</f>
        <v>10</v>
      </c>
      <c r="E2525" s="13"/>
    </row>
    <row r="2526" spans="2:5" x14ac:dyDescent="0.2">
      <c r="B2526" t="s">
        <v>2531</v>
      </c>
      <c r="C2526" t="s">
        <v>2532</v>
      </c>
      <c r="D2526" s="13">
        <f>_xll.EditDistance($C$3,C2526,2)</f>
        <v>10</v>
      </c>
      <c r="E2526" s="13"/>
    </row>
    <row r="2527" spans="2:5" x14ac:dyDescent="0.2">
      <c r="B2527" t="s">
        <v>2606</v>
      </c>
      <c r="C2527" t="s">
        <v>2607</v>
      </c>
      <c r="D2527" s="13">
        <f>_xll.EditDistance($C$3,C2527,2)</f>
        <v>10</v>
      </c>
      <c r="E2527" s="13"/>
    </row>
    <row r="2528" spans="2:5" x14ac:dyDescent="0.2">
      <c r="B2528" t="s">
        <v>2640</v>
      </c>
      <c r="C2528" t="s">
        <v>2641</v>
      </c>
      <c r="D2528" s="13">
        <f>_xll.EditDistance($C$3,C2528,2)</f>
        <v>10</v>
      </c>
      <c r="E2528" s="13"/>
    </row>
    <row r="2529" spans="2:5" x14ac:dyDescent="0.2">
      <c r="B2529" t="s">
        <v>2686</v>
      </c>
      <c r="C2529" t="s">
        <v>2687</v>
      </c>
      <c r="D2529" s="13">
        <f>_xll.EditDistance($C$3,C2529,2)</f>
        <v>10</v>
      </c>
      <c r="E2529" s="13"/>
    </row>
    <row r="2530" spans="2:5" x14ac:dyDescent="0.2">
      <c r="B2530" t="s">
        <v>2721</v>
      </c>
      <c r="C2530" t="s">
        <v>2722</v>
      </c>
      <c r="D2530" s="13">
        <f>_xll.EditDistance($C$3,C2530,2)</f>
        <v>10</v>
      </c>
      <c r="E2530" s="13"/>
    </row>
    <row r="2531" spans="2:5" x14ac:dyDescent="0.2">
      <c r="B2531" t="s">
        <v>2784</v>
      </c>
      <c r="C2531" t="s">
        <v>2785</v>
      </c>
      <c r="D2531" s="13">
        <f>_xll.EditDistance($C$3,C2531,2)</f>
        <v>10</v>
      </c>
      <c r="E2531" s="13"/>
    </row>
    <row r="2532" spans="2:5" x14ac:dyDescent="0.2">
      <c r="B2532" t="s">
        <v>2836</v>
      </c>
      <c r="C2532" t="s">
        <v>2837</v>
      </c>
      <c r="D2532" s="13">
        <f>_xll.EditDistance($C$3,C2532,2)</f>
        <v>10</v>
      </c>
      <c r="E2532" s="13"/>
    </row>
    <row r="2533" spans="2:5" x14ac:dyDescent="0.2">
      <c r="B2533" t="s">
        <v>2852</v>
      </c>
      <c r="C2533" t="s">
        <v>2854</v>
      </c>
      <c r="D2533" s="13">
        <f>_xll.EditDistance($C$3,C2533,2)</f>
        <v>10</v>
      </c>
      <c r="E2533" s="13"/>
    </row>
    <row r="2534" spans="2:5" x14ac:dyDescent="0.2">
      <c r="B2534" t="s">
        <v>2855</v>
      </c>
      <c r="C2534" t="s">
        <v>2856</v>
      </c>
      <c r="D2534" s="13">
        <f>_xll.EditDistance($C$3,C2534,2)</f>
        <v>20</v>
      </c>
      <c r="E2534" s="13"/>
    </row>
    <row r="2535" spans="2:5" x14ac:dyDescent="0.2">
      <c r="B2535" t="s">
        <v>2880</v>
      </c>
      <c r="C2535" t="s">
        <v>2881</v>
      </c>
      <c r="D2535" s="13">
        <f>_xll.EditDistance($C$3,C2535,2)</f>
        <v>20</v>
      </c>
      <c r="E2535" s="13"/>
    </row>
    <row r="2536" spans="2:5" x14ac:dyDescent="0.2">
      <c r="B2536" t="s">
        <v>2931</v>
      </c>
      <c r="C2536" t="s">
        <v>2932</v>
      </c>
      <c r="D2536" s="13">
        <f>_xll.EditDistance($C$3,C2536,2)</f>
        <v>10</v>
      </c>
      <c r="E2536" s="13"/>
    </row>
    <row r="2537" spans="2:5" x14ac:dyDescent="0.2">
      <c r="B2537" t="s">
        <v>2973</v>
      </c>
      <c r="C2537" t="s">
        <v>2974</v>
      </c>
      <c r="D2537" s="13">
        <f>_xll.EditDistance($C$3,C2537,2)</f>
        <v>10</v>
      </c>
      <c r="E2537" s="13"/>
    </row>
    <row r="2538" spans="2:5" x14ac:dyDescent="0.2">
      <c r="B2538" t="s">
        <v>3050</v>
      </c>
      <c r="C2538" t="s">
        <v>3051</v>
      </c>
      <c r="D2538" s="13">
        <f>_xll.EditDistance($C$3,C2538,2)</f>
        <v>10</v>
      </c>
      <c r="E2538" s="13"/>
    </row>
    <row r="2539" spans="2:5" x14ac:dyDescent="0.2">
      <c r="B2539" t="s">
        <v>3096</v>
      </c>
      <c r="C2539" t="s">
        <v>3097</v>
      </c>
      <c r="D2539" s="13">
        <f>_xll.EditDistance($C$3,C2539,2)</f>
        <v>10</v>
      </c>
      <c r="E2539" s="13"/>
    </row>
    <row r="2540" spans="2:5" x14ac:dyDescent="0.2">
      <c r="B2540" t="s">
        <v>3106</v>
      </c>
      <c r="C2540" t="s">
        <v>3107</v>
      </c>
      <c r="D2540" s="13">
        <f>_xll.EditDistance($C$3,C2540,2)</f>
        <v>10</v>
      </c>
      <c r="E2540" s="13"/>
    </row>
    <row r="2541" spans="2:5" x14ac:dyDescent="0.2">
      <c r="B2541" t="s">
        <v>3110</v>
      </c>
      <c r="C2541" t="s">
        <v>3111</v>
      </c>
      <c r="D2541" s="13">
        <f>_xll.EditDistance($C$3,C2541,2)</f>
        <v>10</v>
      </c>
      <c r="E2541" s="13"/>
    </row>
    <row r="2542" spans="2:5" x14ac:dyDescent="0.2">
      <c r="B2542" t="s">
        <v>3112</v>
      </c>
      <c r="C2542" t="s">
        <v>3113</v>
      </c>
      <c r="D2542" s="13">
        <f>_xll.EditDistance($C$3,C2542,2)</f>
        <v>10</v>
      </c>
      <c r="E2542" s="13"/>
    </row>
    <row r="2543" spans="2:5" x14ac:dyDescent="0.2">
      <c r="B2543" t="s">
        <v>3151</v>
      </c>
      <c r="C2543" t="s">
        <v>3152</v>
      </c>
      <c r="D2543" s="13">
        <f>_xll.EditDistance($C$3,C2543,2)</f>
        <v>10</v>
      </c>
      <c r="E2543" s="13"/>
    </row>
    <row r="2544" spans="2:5" x14ac:dyDescent="0.2">
      <c r="B2544" t="s">
        <v>3159</v>
      </c>
      <c r="C2544" t="s">
        <v>3160</v>
      </c>
      <c r="D2544" s="13">
        <f>_xll.EditDistance($C$3,C2544,2)</f>
        <v>10</v>
      </c>
      <c r="E2544" s="13"/>
    </row>
    <row r="2545" spans="2:5" x14ac:dyDescent="0.2">
      <c r="B2545" t="s">
        <v>3161</v>
      </c>
      <c r="C2545" t="s">
        <v>3162</v>
      </c>
      <c r="D2545" s="13">
        <f>_xll.EditDistance($C$3,C2545,2)</f>
        <v>10</v>
      </c>
      <c r="E2545" s="13"/>
    </row>
    <row r="2546" spans="2:5" x14ac:dyDescent="0.2">
      <c r="B2546" t="s">
        <v>3213</v>
      </c>
      <c r="C2546" t="s">
        <v>3214</v>
      </c>
      <c r="D2546" s="13">
        <f>_xll.EditDistance($C$3,C2546,2)</f>
        <v>20</v>
      </c>
      <c r="E2546" s="13"/>
    </row>
    <row r="2547" spans="2:5" x14ac:dyDescent="0.2">
      <c r="B2547" t="s">
        <v>3217</v>
      </c>
      <c r="C2547" t="s">
        <v>3218</v>
      </c>
      <c r="D2547" s="13">
        <f>_xll.EditDistance($C$3,C2547,2)</f>
        <v>10</v>
      </c>
      <c r="E2547" s="13"/>
    </row>
    <row r="2548" spans="2:5" x14ac:dyDescent="0.2">
      <c r="B2548" t="s">
        <v>3255</v>
      </c>
      <c r="C2548" t="s">
        <v>3256</v>
      </c>
      <c r="D2548" s="13">
        <f>_xll.EditDistance($C$3,C2548,2)</f>
        <v>10</v>
      </c>
      <c r="E2548" s="13"/>
    </row>
    <row r="2549" spans="2:5" x14ac:dyDescent="0.2">
      <c r="B2549" t="s">
        <v>3261</v>
      </c>
      <c r="C2549" t="s">
        <v>3262</v>
      </c>
      <c r="D2549" s="13">
        <f>_xll.EditDistance($C$3,C2549,2)</f>
        <v>10</v>
      </c>
      <c r="E2549" s="13"/>
    </row>
    <row r="2550" spans="2:5" x14ac:dyDescent="0.2">
      <c r="B2550" t="s">
        <v>3271</v>
      </c>
      <c r="C2550" t="s">
        <v>3273</v>
      </c>
      <c r="D2550" s="13">
        <f>_xll.EditDistance($C$3,C2550,2)</f>
        <v>10</v>
      </c>
      <c r="E2550" s="13"/>
    </row>
    <row r="2551" spans="2:5" x14ac:dyDescent="0.2">
      <c r="B2551" t="s">
        <v>3340</v>
      </c>
      <c r="C2551" t="s">
        <v>3341</v>
      </c>
      <c r="D2551" s="13">
        <f>_xll.EditDistance($C$3,C2551,2)</f>
        <v>20</v>
      </c>
      <c r="E2551" s="13"/>
    </row>
    <row r="2552" spans="2:5" x14ac:dyDescent="0.2">
      <c r="B2552" t="s">
        <v>3362</v>
      </c>
      <c r="C2552" t="s">
        <v>3363</v>
      </c>
      <c r="D2552" s="13">
        <f>_xll.EditDistance($C$3,C2552,2)</f>
        <v>10</v>
      </c>
      <c r="E2552" s="13"/>
    </row>
    <row r="2553" spans="2:5" x14ac:dyDescent="0.2">
      <c r="B2553" t="s">
        <v>3374</v>
      </c>
      <c r="C2553" t="s">
        <v>3375</v>
      </c>
      <c r="D2553" s="13">
        <f>_xll.EditDistance($C$3,C2553,2)</f>
        <v>10</v>
      </c>
      <c r="E2553" s="13"/>
    </row>
    <row r="2554" spans="2:5" x14ac:dyDescent="0.2">
      <c r="B2554" t="s">
        <v>3444</v>
      </c>
      <c r="C2554" t="s">
        <v>3445</v>
      </c>
      <c r="D2554" s="13">
        <f>_xll.EditDistance($C$3,C2554,2)</f>
        <v>10</v>
      </c>
      <c r="E2554" s="13"/>
    </row>
    <row r="2555" spans="2:5" x14ac:dyDescent="0.2">
      <c r="B2555" t="s">
        <v>3460</v>
      </c>
      <c r="C2555" t="s">
        <v>3461</v>
      </c>
      <c r="D2555" s="13">
        <f>_xll.EditDistance($C$3,C2555,2)</f>
        <v>10</v>
      </c>
      <c r="E2555" s="13"/>
    </row>
    <row r="2556" spans="2:5" x14ac:dyDescent="0.2">
      <c r="B2556" t="s">
        <v>3472</v>
      </c>
      <c r="C2556" t="s">
        <v>3473</v>
      </c>
      <c r="D2556" s="13">
        <f>_xll.EditDistance($C$3,C2556,2)</f>
        <v>10</v>
      </c>
      <c r="E2556" s="13"/>
    </row>
    <row r="2557" spans="2:5" x14ac:dyDescent="0.2">
      <c r="B2557" t="s">
        <v>3498</v>
      </c>
      <c r="C2557" t="s">
        <v>3499</v>
      </c>
      <c r="D2557" s="13">
        <f>_xll.EditDistance($C$3,C2557,2)</f>
        <v>10</v>
      </c>
      <c r="E2557" s="13"/>
    </row>
    <row r="2558" spans="2:5" x14ac:dyDescent="0.2">
      <c r="B2558" t="s">
        <v>3522</v>
      </c>
      <c r="C2558" t="s">
        <v>3523</v>
      </c>
      <c r="D2558" s="13">
        <f>_xll.EditDistance($C$3,C2558,2)</f>
        <v>10</v>
      </c>
      <c r="E2558" s="13"/>
    </row>
    <row r="2559" spans="2:5" x14ac:dyDescent="0.2">
      <c r="B2559" t="s">
        <v>3534</v>
      </c>
      <c r="C2559" t="s">
        <v>3535</v>
      </c>
      <c r="D2559" s="13">
        <f>_xll.EditDistance($C$3,C2559,2)</f>
        <v>10</v>
      </c>
      <c r="E2559" s="13"/>
    </row>
    <row r="2560" spans="2:5" x14ac:dyDescent="0.2">
      <c r="B2560" t="s">
        <v>3598</v>
      </c>
      <c r="C2560" t="s">
        <v>3599</v>
      </c>
      <c r="D2560" s="13">
        <f>_xll.EditDistance($C$3,C2560,2)</f>
        <v>10</v>
      </c>
      <c r="E2560" s="13"/>
    </row>
    <row r="2561" spans="2:5" x14ac:dyDescent="0.2">
      <c r="B2561" t="s">
        <v>3609</v>
      </c>
      <c r="C2561" t="s">
        <v>3610</v>
      </c>
      <c r="D2561" s="13">
        <f>_xll.EditDistance($C$3,C2561,2)</f>
        <v>10</v>
      </c>
      <c r="E2561" s="13"/>
    </row>
    <row r="2562" spans="2:5" x14ac:dyDescent="0.2">
      <c r="B2562" t="s">
        <v>3720</v>
      </c>
      <c r="C2562" t="s">
        <v>3721</v>
      </c>
      <c r="D2562" s="13">
        <f>_xll.EditDistance($C$3,C2562,2)</f>
        <v>10</v>
      </c>
      <c r="E2562" s="13"/>
    </row>
    <row r="2563" spans="2:5" x14ac:dyDescent="0.2">
      <c r="B2563" t="s">
        <v>3724</v>
      </c>
      <c r="C2563" t="s">
        <v>3725</v>
      </c>
      <c r="D2563" s="13">
        <f>_xll.EditDistance($C$3,C2563,2)</f>
        <v>18</v>
      </c>
      <c r="E2563" s="13"/>
    </row>
    <row r="2564" spans="2:5" x14ac:dyDescent="0.2">
      <c r="B2564" t="s">
        <v>3766</v>
      </c>
      <c r="C2564" t="s">
        <v>3767</v>
      </c>
      <c r="D2564" s="13">
        <f>_xll.EditDistance($C$3,C2564,2)</f>
        <v>10</v>
      </c>
      <c r="E2564" s="13"/>
    </row>
    <row r="2565" spans="2:5" x14ac:dyDescent="0.2">
      <c r="B2565" t="s">
        <v>3802</v>
      </c>
      <c r="C2565" t="s">
        <v>3803</v>
      </c>
      <c r="D2565" s="13">
        <f>_xll.EditDistance($C$3,C2565,2)</f>
        <v>10</v>
      </c>
      <c r="E2565" s="13"/>
    </row>
    <row r="2566" spans="2:5" x14ac:dyDescent="0.2">
      <c r="B2566" t="s">
        <v>3833</v>
      </c>
      <c r="C2566" t="s">
        <v>3834</v>
      </c>
      <c r="D2566" s="13">
        <f>_xll.EditDistance($C$3,C2566,2)</f>
        <v>10</v>
      </c>
      <c r="E2566" s="13"/>
    </row>
    <row r="2567" spans="2:5" x14ac:dyDescent="0.2">
      <c r="B2567" t="s">
        <v>3835</v>
      </c>
      <c r="C2567" t="s">
        <v>3836</v>
      </c>
      <c r="D2567" s="13">
        <f>_xll.EditDistance($C$3,C2567,2)</f>
        <v>10</v>
      </c>
      <c r="E2567" s="13"/>
    </row>
    <row r="2568" spans="2:5" x14ac:dyDescent="0.2">
      <c r="B2568" t="s">
        <v>3876</v>
      </c>
      <c r="C2568" t="s">
        <v>3877</v>
      </c>
      <c r="D2568" s="13">
        <f>_xll.EditDistance($C$3,C2568,2)</f>
        <v>10</v>
      </c>
      <c r="E2568" s="13"/>
    </row>
    <row r="2569" spans="2:5" x14ac:dyDescent="0.2">
      <c r="B2569" t="s">
        <v>3967</v>
      </c>
      <c r="C2569" t="s">
        <v>3968</v>
      </c>
      <c r="D2569" s="13">
        <f>_xll.EditDistance($C$3,C2569,2)</f>
        <v>10</v>
      </c>
      <c r="E2569" s="13"/>
    </row>
    <row r="2570" spans="2:5" x14ac:dyDescent="0.2">
      <c r="B2570" s="22" t="s">
        <v>4010</v>
      </c>
      <c r="C2570" t="s">
        <v>4011</v>
      </c>
      <c r="D2570" s="13">
        <f>_xll.EditDistance($C$3,C2570,2)</f>
        <v>10</v>
      </c>
      <c r="E2570" s="13"/>
    </row>
    <row r="2571" spans="2:5" x14ac:dyDescent="0.2">
      <c r="B2571" t="s">
        <v>4016</v>
      </c>
      <c r="C2571" t="s">
        <v>4017</v>
      </c>
      <c r="D2571" s="13">
        <f>_xll.EditDistance($C$3,C2571,2)</f>
        <v>10</v>
      </c>
      <c r="E2571" s="13"/>
    </row>
    <row r="2572" spans="2:5" x14ac:dyDescent="0.2">
      <c r="B2572" t="s">
        <v>4063</v>
      </c>
      <c r="C2572" t="s">
        <v>4064</v>
      </c>
      <c r="D2572" s="13">
        <f>_xll.EditDistance($C$3,C2572,2)</f>
        <v>10</v>
      </c>
      <c r="E2572" s="13"/>
    </row>
    <row r="2573" spans="2:5" x14ac:dyDescent="0.2">
      <c r="B2573" t="s">
        <v>4169</v>
      </c>
      <c r="C2573" t="s">
        <v>4170</v>
      </c>
      <c r="D2573" s="13">
        <f>_xll.EditDistance($C$3,C2573,2)</f>
        <v>10</v>
      </c>
      <c r="E2573" s="13"/>
    </row>
    <row r="2574" spans="2:5" x14ac:dyDescent="0.2">
      <c r="B2574" t="s">
        <v>4181</v>
      </c>
      <c r="C2574" t="s">
        <v>4182</v>
      </c>
      <c r="D2574" s="13">
        <f>_xll.EditDistance($C$3,C2574,2)</f>
        <v>10</v>
      </c>
      <c r="E2574" s="13"/>
    </row>
    <row r="2575" spans="2:5" x14ac:dyDescent="0.2">
      <c r="B2575" t="s">
        <v>4187</v>
      </c>
      <c r="C2575" t="s">
        <v>4188</v>
      </c>
      <c r="D2575" s="13">
        <f>_xll.EditDistance($C$3,C2575,2)</f>
        <v>10</v>
      </c>
      <c r="E2575" s="13"/>
    </row>
    <row r="2576" spans="2:5" x14ac:dyDescent="0.2">
      <c r="B2576" t="s">
        <v>4258</v>
      </c>
      <c r="C2576" t="s">
        <v>4259</v>
      </c>
      <c r="D2576" s="13">
        <f>_xll.EditDistance($C$3,C2576,2)</f>
        <v>10</v>
      </c>
      <c r="E2576" s="13"/>
    </row>
    <row r="2577" spans="2:5" x14ac:dyDescent="0.2">
      <c r="B2577" t="s">
        <v>4296</v>
      </c>
      <c r="C2577" t="s">
        <v>4297</v>
      </c>
      <c r="D2577" s="13">
        <f>_xll.EditDistance($C$3,C2577,2)</f>
        <v>10</v>
      </c>
      <c r="E2577" s="13"/>
    </row>
    <row r="2578" spans="2:5" x14ac:dyDescent="0.2">
      <c r="B2578" t="s">
        <v>4298</v>
      </c>
      <c r="C2578" t="s">
        <v>4299</v>
      </c>
      <c r="D2578" s="13">
        <f>_xll.EditDistance($C$3,C2578,2)</f>
        <v>10</v>
      </c>
      <c r="E2578" s="13"/>
    </row>
    <row r="2579" spans="2:5" x14ac:dyDescent="0.2">
      <c r="B2579" t="s">
        <v>4320</v>
      </c>
      <c r="C2579" t="s">
        <v>4321</v>
      </c>
      <c r="D2579" s="13">
        <f>_xll.EditDistance($C$3,C2579,2)</f>
        <v>10</v>
      </c>
      <c r="E2579" s="13"/>
    </row>
    <row r="2580" spans="2:5" x14ac:dyDescent="0.2">
      <c r="B2580" t="s">
        <v>4324</v>
      </c>
      <c r="C2580" t="s">
        <v>4325</v>
      </c>
      <c r="D2580" s="13">
        <f>_xll.EditDistance($C$3,C2580,2)</f>
        <v>10</v>
      </c>
      <c r="E2580" s="13"/>
    </row>
    <row r="2581" spans="2:5" x14ac:dyDescent="0.2">
      <c r="B2581" t="s">
        <v>4330</v>
      </c>
      <c r="C2581" t="s">
        <v>4331</v>
      </c>
      <c r="D2581" s="13">
        <f>_xll.EditDistance($C$3,C2581,2)</f>
        <v>10</v>
      </c>
      <c r="E2581" s="13"/>
    </row>
    <row r="2582" spans="2:5" x14ac:dyDescent="0.2">
      <c r="B2582" t="s">
        <v>4406</v>
      </c>
      <c r="C2582" t="s">
        <v>4407</v>
      </c>
      <c r="D2582" s="13">
        <f>_xll.EditDistance($C$3,C2582,2)</f>
        <v>10</v>
      </c>
      <c r="E2582" s="13"/>
    </row>
    <row r="2583" spans="2:5" x14ac:dyDescent="0.2">
      <c r="B2583" t="s">
        <v>4416</v>
      </c>
      <c r="C2583" t="s">
        <v>4417</v>
      </c>
      <c r="D2583" s="13">
        <f>_xll.EditDistance($C$3,C2583,2)</f>
        <v>10</v>
      </c>
      <c r="E2583" s="13"/>
    </row>
    <row r="2584" spans="2:5" x14ac:dyDescent="0.2">
      <c r="B2584" t="s">
        <v>4476</v>
      </c>
      <c r="C2584" t="s">
        <v>4477</v>
      </c>
      <c r="D2584" s="13">
        <f>_xll.EditDistance($C$3,C2584,2)</f>
        <v>10</v>
      </c>
      <c r="E2584" s="13"/>
    </row>
    <row r="2585" spans="2:5" x14ac:dyDescent="0.2">
      <c r="B2585" t="s">
        <v>4482</v>
      </c>
      <c r="C2585" t="s">
        <v>4483</v>
      </c>
      <c r="D2585" s="13">
        <f>_xll.EditDistance($C$3,C2585,2)</f>
        <v>10</v>
      </c>
      <c r="E2585" s="13"/>
    </row>
    <row r="2586" spans="2:5" x14ac:dyDescent="0.2">
      <c r="B2586" t="s">
        <v>4484</v>
      </c>
      <c r="C2586" t="s">
        <v>4485</v>
      </c>
      <c r="D2586" s="13">
        <f>_xll.EditDistance($C$3,C2586,2)</f>
        <v>10</v>
      </c>
      <c r="E2586" s="13"/>
    </row>
    <row r="2587" spans="2:5" x14ac:dyDescent="0.2">
      <c r="B2587" t="s">
        <v>4567</v>
      </c>
      <c r="C2587" t="s">
        <v>4568</v>
      </c>
      <c r="D2587" s="13">
        <f>_xll.EditDistance($C$3,C2587,2)</f>
        <v>10</v>
      </c>
      <c r="E2587" s="13"/>
    </row>
    <row r="2588" spans="2:5" x14ac:dyDescent="0.2">
      <c r="B2588" t="s">
        <v>4573</v>
      </c>
      <c r="C2588" t="s">
        <v>4574</v>
      </c>
      <c r="D2588" s="13">
        <f>_xll.EditDistance($C$3,C2588,2)</f>
        <v>10</v>
      </c>
      <c r="E2588" s="13"/>
    </row>
    <row r="2589" spans="2:5" x14ac:dyDescent="0.2">
      <c r="B2589" t="s">
        <v>4597</v>
      </c>
      <c r="C2589" t="s">
        <v>4598</v>
      </c>
      <c r="D2589" s="13">
        <f>_xll.EditDistance($C$3,C2589,2)</f>
        <v>10</v>
      </c>
      <c r="E2589" s="13"/>
    </row>
    <row r="2590" spans="2:5" x14ac:dyDescent="0.2">
      <c r="B2590" t="s">
        <v>4612</v>
      </c>
      <c r="C2590" t="s">
        <v>4614</v>
      </c>
      <c r="D2590" s="13">
        <f>_xll.EditDistance($C$3,C2590,2)</f>
        <v>10</v>
      </c>
      <c r="E2590" s="13"/>
    </row>
    <row r="2591" spans="2:5" x14ac:dyDescent="0.2">
      <c r="B2591" s="22" t="s">
        <v>4645</v>
      </c>
      <c r="C2591" t="s">
        <v>4646</v>
      </c>
      <c r="D2591" s="13">
        <f>_xll.EditDistance($C$3,C2591,2)</f>
        <v>10</v>
      </c>
      <c r="E2591" s="13"/>
    </row>
    <row r="2592" spans="2:5" x14ac:dyDescent="0.2">
      <c r="B2592" t="s">
        <v>4716</v>
      </c>
      <c r="C2592" t="s">
        <v>4717</v>
      </c>
      <c r="D2592" s="13">
        <f>_xll.EditDistance($C$3,C2592,2)</f>
        <v>10</v>
      </c>
      <c r="E2592" s="13"/>
    </row>
    <row r="2593" spans="2:5" x14ac:dyDescent="0.2">
      <c r="B2593" t="s">
        <v>4786</v>
      </c>
      <c r="C2593" t="s">
        <v>4787</v>
      </c>
      <c r="D2593" s="13">
        <f>_xll.EditDistance($C$3,C2593,2)</f>
        <v>10</v>
      </c>
      <c r="E2593" s="13"/>
    </row>
    <row r="2594" spans="2:5" x14ac:dyDescent="0.2">
      <c r="B2594" t="s">
        <v>4820</v>
      </c>
      <c r="C2594" t="s">
        <v>4821</v>
      </c>
      <c r="D2594" s="13">
        <f>_xll.EditDistance($C$3,C2594,2)</f>
        <v>10</v>
      </c>
      <c r="E2594" s="13"/>
    </row>
    <row r="2595" spans="2:5" x14ac:dyDescent="0.2">
      <c r="B2595" t="s">
        <v>4932</v>
      </c>
      <c r="C2595" t="s">
        <v>4933</v>
      </c>
      <c r="D2595" s="13">
        <f>_xll.EditDistance($C$3,C2595,2)</f>
        <v>20</v>
      </c>
      <c r="E2595" s="13"/>
    </row>
    <row r="2596" spans="2:5" x14ac:dyDescent="0.2">
      <c r="B2596" s="22" t="s">
        <v>4954</v>
      </c>
      <c r="C2596" t="s">
        <v>4955</v>
      </c>
      <c r="D2596" s="13">
        <f>_xll.EditDistance($C$3,C2596,2)</f>
        <v>10</v>
      </c>
      <c r="E2596" s="13"/>
    </row>
    <row r="2597" spans="2:5" x14ac:dyDescent="0.2">
      <c r="B2597" t="s">
        <v>4970</v>
      </c>
      <c r="C2597" t="s">
        <v>4971</v>
      </c>
      <c r="D2597" s="13">
        <f>_xll.EditDistance($C$3,C2597,2)</f>
        <v>10</v>
      </c>
      <c r="E2597" s="13"/>
    </row>
    <row r="2598" spans="2:5" x14ac:dyDescent="0.2">
      <c r="B2598" t="s">
        <v>4987</v>
      </c>
      <c r="C2598" t="s">
        <v>4988</v>
      </c>
      <c r="D2598" s="13">
        <f>_xll.EditDistance($C$3,C2598,2)</f>
        <v>10</v>
      </c>
      <c r="E2598" s="13"/>
    </row>
    <row r="2599" spans="2:5" x14ac:dyDescent="0.2">
      <c r="B2599" t="s">
        <v>4999</v>
      </c>
      <c r="C2599" t="s">
        <v>5000</v>
      </c>
      <c r="D2599" s="13">
        <f>_xll.EditDistance($C$3,C2599,2)</f>
        <v>10</v>
      </c>
      <c r="E2599" s="13"/>
    </row>
    <row r="2600" spans="2:5" x14ac:dyDescent="0.2">
      <c r="B2600" t="s">
        <v>4999</v>
      </c>
      <c r="C2600" t="s">
        <v>5001</v>
      </c>
      <c r="D2600" s="13">
        <f>_xll.EditDistance($C$3,C2600,2)</f>
        <v>10</v>
      </c>
      <c r="E2600" s="13"/>
    </row>
    <row r="2601" spans="2:5" x14ac:dyDescent="0.2">
      <c r="B2601" t="s">
        <v>5035</v>
      </c>
      <c r="C2601" t="s">
        <v>5036</v>
      </c>
      <c r="D2601" s="13">
        <f>_xll.EditDistance($C$3,C2601,2)</f>
        <v>10</v>
      </c>
      <c r="E2601" s="13"/>
    </row>
    <row r="2602" spans="2:5" x14ac:dyDescent="0.2">
      <c r="B2602" t="s">
        <v>5055</v>
      </c>
      <c r="C2602" t="s">
        <v>5056</v>
      </c>
      <c r="D2602" s="13">
        <f>_xll.EditDistance($C$3,C2602,2)</f>
        <v>10</v>
      </c>
      <c r="E2602" s="13"/>
    </row>
    <row r="2603" spans="2:5" x14ac:dyDescent="0.2">
      <c r="B2603" t="s">
        <v>5081</v>
      </c>
      <c r="C2603" t="s">
        <v>5082</v>
      </c>
      <c r="D2603" s="13">
        <f>_xll.EditDistance($C$3,C2603,2)</f>
        <v>10</v>
      </c>
      <c r="E2603" s="13"/>
    </row>
    <row r="2604" spans="2:5" x14ac:dyDescent="0.2">
      <c r="B2604" t="s">
        <v>5091</v>
      </c>
      <c r="C2604" t="s">
        <v>5092</v>
      </c>
      <c r="D2604" s="13">
        <f>_xll.EditDistance($C$3,C2604,2)</f>
        <v>10</v>
      </c>
      <c r="E2604" s="13"/>
    </row>
    <row r="2605" spans="2:5" x14ac:dyDescent="0.2">
      <c r="B2605" t="s">
        <v>5095</v>
      </c>
      <c r="C2605" t="s">
        <v>5096</v>
      </c>
      <c r="D2605" s="13">
        <f>_xll.EditDistance($C$3,C2605,2)</f>
        <v>10</v>
      </c>
      <c r="E2605" s="13"/>
    </row>
    <row r="2606" spans="2:5" x14ac:dyDescent="0.2">
      <c r="B2606" t="s">
        <v>5179</v>
      </c>
      <c r="C2606" t="s">
        <v>5180</v>
      </c>
      <c r="D2606" s="13">
        <f>_xll.EditDistance($C$3,C2606,2)</f>
        <v>10</v>
      </c>
      <c r="E2606" s="13"/>
    </row>
    <row r="2607" spans="2:5" x14ac:dyDescent="0.2">
      <c r="B2607" t="s">
        <v>5181</v>
      </c>
      <c r="C2607" t="s">
        <v>5182</v>
      </c>
      <c r="D2607" s="13">
        <f>_xll.EditDistance($C$3,C2607,2)</f>
        <v>10</v>
      </c>
      <c r="E2607" s="13"/>
    </row>
    <row r="2608" spans="2:5" x14ac:dyDescent="0.2">
      <c r="B2608" t="s">
        <v>5237</v>
      </c>
      <c r="C2608" t="s">
        <v>5238</v>
      </c>
      <c r="D2608" s="13">
        <f>_xll.EditDistance($C$3,C2608,2)</f>
        <v>10</v>
      </c>
      <c r="E2608" s="13"/>
    </row>
    <row r="2609" spans="2:5" x14ac:dyDescent="0.2">
      <c r="B2609" t="s">
        <v>5249</v>
      </c>
      <c r="C2609" t="s">
        <v>5250</v>
      </c>
      <c r="D2609" s="13">
        <f>_xll.EditDistance($C$3,C2609,2)</f>
        <v>10</v>
      </c>
      <c r="E2609" s="13"/>
    </row>
    <row r="2610" spans="2:5" x14ac:dyDescent="0.2">
      <c r="B2610" t="s">
        <v>5304</v>
      </c>
      <c r="C2610" t="s">
        <v>5305</v>
      </c>
      <c r="D2610" s="13">
        <f>_xll.EditDistance($C$3,C2610,2)</f>
        <v>10</v>
      </c>
      <c r="E2610" s="13"/>
    </row>
    <row r="2611" spans="2:5" x14ac:dyDescent="0.2">
      <c r="B2611" t="s">
        <v>5310</v>
      </c>
      <c r="C2611" t="s">
        <v>5311</v>
      </c>
      <c r="D2611" s="13">
        <f>_xll.EditDistance($C$3,C2611,2)</f>
        <v>10</v>
      </c>
      <c r="E2611" s="13"/>
    </row>
    <row r="2612" spans="2:5" x14ac:dyDescent="0.2">
      <c r="B2612" t="s">
        <v>5375</v>
      </c>
      <c r="C2612" t="s">
        <v>5376</v>
      </c>
      <c r="D2612" s="13">
        <f>_xll.EditDistance($C$3,C2612,2)</f>
        <v>10</v>
      </c>
      <c r="E2612" s="13"/>
    </row>
    <row r="2613" spans="2:5" x14ac:dyDescent="0.2">
      <c r="B2613" t="s">
        <v>5396</v>
      </c>
      <c r="C2613" t="s">
        <v>5397</v>
      </c>
      <c r="D2613" s="13">
        <f>_xll.EditDistance($C$3,C2613,2)</f>
        <v>10</v>
      </c>
      <c r="E2613" s="13"/>
    </row>
    <row r="2614" spans="2:5" x14ac:dyDescent="0.2">
      <c r="B2614" t="s">
        <v>5406</v>
      </c>
      <c r="C2614" t="s">
        <v>5407</v>
      </c>
      <c r="D2614" s="13">
        <f>_xll.EditDistance($C$3,C2614,2)</f>
        <v>10</v>
      </c>
      <c r="E2614" s="13"/>
    </row>
    <row r="2615" spans="2:5" x14ac:dyDescent="0.2">
      <c r="B2615" t="s">
        <v>5431</v>
      </c>
      <c r="C2615" t="s">
        <v>5432</v>
      </c>
      <c r="D2615" s="13">
        <f>_xll.EditDistance($C$3,C2615,2)</f>
        <v>10</v>
      </c>
      <c r="E2615" s="13"/>
    </row>
    <row r="2616" spans="2:5" x14ac:dyDescent="0.2">
      <c r="B2616" t="s">
        <v>5439</v>
      </c>
      <c r="C2616" t="s">
        <v>5440</v>
      </c>
      <c r="D2616" s="13">
        <f>_xll.EditDistance($C$3,C2616,2)</f>
        <v>10</v>
      </c>
      <c r="E2616" s="13"/>
    </row>
    <row r="2617" spans="2:5" x14ac:dyDescent="0.2">
      <c r="B2617" t="s">
        <v>5501</v>
      </c>
      <c r="C2617" t="s">
        <v>5502</v>
      </c>
      <c r="D2617" s="13">
        <f>_xll.EditDistance($C$3,C2617,2)</f>
        <v>10</v>
      </c>
      <c r="E2617" s="13"/>
    </row>
    <row r="2618" spans="2:5" x14ac:dyDescent="0.2">
      <c r="B2618" t="s">
        <v>5620</v>
      </c>
      <c r="C2618" t="s">
        <v>5621</v>
      </c>
      <c r="D2618" s="13">
        <f>_xll.EditDistance($C$3,C2618,2)</f>
        <v>10</v>
      </c>
      <c r="E2618" s="13"/>
    </row>
    <row r="2619" spans="2:5" x14ac:dyDescent="0.2">
      <c r="B2619" t="s">
        <v>5662</v>
      </c>
      <c r="C2619" t="s">
        <v>5663</v>
      </c>
      <c r="D2619" s="13">
        <f>_xll.EditDistance($C$3,C2619,2)</f>
        <v>10</v>
      </c>
      <c r="E2619" s="13"/>
    </row>
    <row r="2620" spans="2:5" x14ac:dyDescent="0.2">
      <c r="B2620" t="s">
        <v>5680</v>
      </c>
      <c r="C2620" t="s">
        <v>5681</v>
      </c>
      <c r="D2620" s="13">
        <f>_xll.EditDistance($C$3,C2620,2)</f>
        <v>10</v>
      </c>
      <c r="E2620" s="13"/>
    </row>
    <row r="2621" spans="2:5" x14ac:dyDescent="0.2">
      <c r="B2621" t="s">
        <v>5864</v>
      </c>
      <c r="C2621" t="s">
        <v>5865</v>
      </c>
      <c r="D2621" s="13">
        <f>_xll.EditDistance($C$3,C2621,2)</f>
        <v>10</v>
      </c>
      <c r="E2621" s="13"/>
    </row>
    <row r="2622" spans="2:5" x14ac:dyDescent="0.2">
      <c r="B2622" t="s">
        <v>5872</v>
      </c>
      <c r="C2622" t="s">
        <v>5873</v>
      </c>
      <c r="D2622" s="13">
        <f>_xll.EditDistance($C$3,C2622,2)</f>
        <v>10</v>
      </c>
      <c r="E2622" s="13"/>
    </row>
    <row r="2623" spans="2:5" x14ac:dyDescent="0.2">
      <c r="B2623" t="s">
        <v>5898</v>
      </c>
      <c r="C2623" t="s">
        <v>5899</v>
      </c>
      <c r="D2623" s="13">
        <f>_xll.EditDistance($C$3,C2623,2)</f>
        <v>10</v>
      </c>
      <c r="E2623" s="13"/>
    </row>
    <row r="2624" spans="2:5" x14ac:dyDescent="0.2">
      <c r="B2624" t="s">
        <v>5933</v>
      </c>
      <c r="C2624" t="s">
        <v>5934</v>
      </c>
      <c r="D2624" s="13">
        <f>_xll.EditDistance($C$3,C2624,2)</f>
        <v>20</v>
      </c>
      <c r="E2624" s="13"/>
    </row>
    <row r="2625" spans="2:5" x14ac:dyDescent="0.2">
      <c r="B2625" t="s">
        <v>5944</v>
      </c>
      <c r="C2625" t="s">
        <v>5945</v>
      </c>
      <c r="D2625" s="13">
        <f>_xll.EditDistance($C$3,C2625,2)</f>
        <v>10</v>
      </c>
      <c r="E2625" s="13"/>
    </row>
    <row r="2626" spans="2:5" x14ac:dyDescent="0.2">
      <c r="B2626" t="s">
        <v>5955</v>
      </c>
      <c r="C2626" t="s">
        <v>5956</v>
      </c>
      <c r="D2626" s="13">
        <f>_xll.EditDistance($C$3,C2626,2)</f>
        <v>10</v>
      </c>
      <c r="E2626" s="13"/>
    </row>
    <row r="2627" spans="2:5" x14ac:dyDescent="0.2">
      <c r="B2627" t="s">
        <v>6016</v>
      </c>
      <c r="C2627" t="s">
        <v>6017</v>
      </c>
      <c r="D2627" s="13">
        <f>_xll.EditDistance($C$3,C2627,2)</f>
        <v>10</v>
      </c>
      <c r="E2627" s="13"/>
    </row>
    <row r="2628" spans="2:5" x14ac:dyDescent="0.2">
      <c r="B2628" t="s">
        <v>6020</v>
      </c>
      <c r="C2628" t="s">
        <v>6022</v>
      </c>
      <c r="D2628" s="13">
        <f>_xll.EditDistance($C$3,C2628,2)</f>
        <v>20</v>
      </c>
      <c r="E2628" s="13"/>
    </row>
    <row r="2629" spans="2:5" x14ac:dyDescent="0.2">
      <c r="B2629" t="s">
        <v>6105</v>
      </c>
      <c r="C2629" t="s">
        <v>6106</v>
      </c>
      <c r="D2629" s="13">
        <f>_xll.EditDistance($C$3,C2629,2)</f>
        <v>10</v>
      </c>
      <c r="E2629" s="13"/>
    </row>
    <row r="2630" spans="2:5" x14ac:dyDescent="0.2">
      <c r="B2630" t="s">
        <v>6107</v>
      </c>
      <c r="C2630" t="s">
        <v>6108</v>
      </c>
      <c r="D2630" s="13">
        <f>_xll.EditDistance($C$3,C2630,2)</f>
        <v>10</v>
      </c>
      <c r="E2630" s="13"/>
    </row>
    <row r="2631" spans="2:5" x14ac:dyDescent="0.2">
      <c r="B2631" t="s">
        <v>6109</v>
      </c>
      <c r="C2631" t="s">
        <v>6110</v>
      </c>
      <c r="D2631" s="13">
        <f>_xll.EditDistance($C$3,C2631,2)</f>
        <v>10</v>
      </c>
      <c r="E2631" s="13"/>
    </row>
    <row r="2632" spans="2:5" x14ac:dyDescent="0.2">
      <c r="B2632" t="s">
        <v>6133</v>
      </c>
      <c r="C2632" t="s">
        <v>6134</v>
      </c>
      <c r="D2632" s="13">
        <f>_xll.EditDistance($C$3,C2632,2)</f>
        <v>10</v>
      </c>
      <c r="E2632" s="13"/>
    </row>
    <row r="2633" spans="2:5" x14ac:dyDescent="0.2">
      <c r="B2633" t="s">
        <v>6151</v>
      </c>
      <c r="C2633" t="s">
        <v>6152</v>
      </c>
      <c r="D2633" s="13">
        <f>_xll.EditDistance($C$3,C2633,2)</f>
        <v>10</v>
      </c>
      <c r="E2633" s="13"/>
    </row>
    <row r="2634" spans="2:5" x14ac:dyDescent="0.2">
      <c r="B2634" t="s">
        <v>6179</v>
      </c>
      <c r="C2634" t="s">
        <v>6180</v>
      </c>
      <c r="D2634" s="13">
        <f>_xll.EditDistance($C$3,C2634,2)</f>
        <v>10</v>
      </c>
      <c r="E2634" s="13"/>
    </row>
    <row r="2635" spans="2:5" x14ac:dyDescent="0.2">
      <c r="B2635" t="s">
        <v>6285</v>
      </c>
      <c r="C2635" t="s">
        <v>6286</v>
      </c>
      <c r="D2635" s="13">
        <f>_xll.EditDistance($C$3,C2635,2)</f>
        <v>10</v>
      </c>
      <c r="E2635" s="13"/>
    </row>
    <row r="2636" spans="2:5" x14ac:dyDescent="0.2">
      <c r="B2636" t="s">
        <v>6287</v>
      </c>
      <c r="C2636" t="s">
        <v>6288</v>
      </c>
      <c r="D2636" s="13">
        <f>_xll.EditDistance($C$3,C2636,2)</f>
        <v>20</v>
      </c>
      <c r="E2636" s="13"/>
    </row>
    <row r="2637" spans="2:5" x14ac:dyDescent="0.2">
      <c r="B2637" t="s">
        <v>6411</v>
      </c>
      <c r="C2637" t="s">
        <v>6412</v>
      </c>
      <c r="D2637" s="13">
        <f>_xll.EditDistance($C$3,C2637,2)</f>
        <v>10</v>
      </c>
      <c r="E2637" s="13"/>
    </row>
    <row r="2638" spans="2:5" x14ac:dyDescent="0.2">
      <c r="B2638" t="s">
        <v>6423</v>
      </c>
      <c r="C2638" t="s">
        <v>6424</v>
      </c>
      <c r="D2638" s="13">
        <f>_xll.EditDistance($C$3,C2638,2)</f>
        <v>10</v>
      </c>
      <c r="E2638" s="13"/>
    </row>
    <row r="2639" spans="2:5" x14ac:dyDescent="0.2">
      <c r="B2639" t="s">
        <v>6451</v>
      </c>
      <c r="C2639" t="s">
        <v>6452</v>
      </c>
      <c r="D2639" s="13">
        <f>_xll.EditDistance($C$3,C2639,2)</f>
        <v>10</v>
      </c>
      <c r="E2639" s="13"/>
    </row>
    <row r="2640" spans="2:5" x14ac:dyDescent="0.2">
      <c r="B2640" t="s">
        <v>6534</v>
      </c>
      <c r="C2640" t="s">
        <v>6535</v>
      </c>
      <c r="D2640" s="13">
        <f>_xll.EditDistance($C$3,C2640,2)</f>
        <v>10</v>
      </c>
      <c r="E2640" s="13"/>
    </row>
    <row r="2641" spans="2:5" x14ac:dyDescent="0.2">
      <c r="B2641" t="s">
        <v>6560</v>
      </c>
      <c r="C2641" t="s">
        <v>6561</v>
      </c>
      <c r="D2641" s="13">
        <f>_xll.EditDistance($C$3,C2641,2)</f>
        <v>10</v>
      </c>
      <c r="E2641" s="13"/>
    </row>
    <row r="2642" spans="2:5" x14ac:dyDescent="0.2">
      <c r="B2642" t="s">
        <v>6586</v>
      </c>
      <c r="C2642" t="s">
        <v>6587</v>
      </c>
      <c r="D2642" s="13">
        <f>_xll.EditDistance($C$3,C2642,2)</f>
        <v>10</v>
      </c>
      <c r="E2642" s="13"/>
    </row>
    <row r="2643" spans="2:5" x14ac:dyDescent="0.2">
      <c r="B2643" t="s">
        <v>6621</v>
      </c>
      <c r="C2643" t="s">
        <v>6622</v>
      </c>
      <c r="D2643" s="13">
        <f>_xll.EditDistance($C$3,C2643,2)</f>
        <v>10</v>
      </c>
      <c r="E2643" s="13"/>
    </row>
    <row r="2644" spans="2:5" x14ac:dyDescent="0.2">
      <c r="B2644" t="s">
        <v>6636</v>
      </c>
      <c r="C2644" t="s">
        <v>6637</v>
      </c>
      <c r="D2644" s="13">
        <f>_xll.EditDistance($C$3,C2644,2)</f>
        <v>10</v>
      </c>
      <c r="E2644" s="13"/>
    </row>
    <row r="2645" spans="2:5" x14ac:dyDescent="0.2">
      <c r="B2645" t="s">
        <v>6647</v>
      </c>
      <c r="C2645" t="s">
        <v>6648</v>
      </c>
      <c r="D2645" s="13">
        <f>_xll.EditDistance($C$3,C2645,2)</f>
        <v>10</v>
      </c>
      <c r="E2645" s="13"/>
    </row>
    <row r="2646" spans="2:5" x14ac:dyDescent="0.2">
      <c r="B2646" t="s">
        <v>6649</v>
      </c>
      <c r="C2646" t="s">
        <v>6650</v>
      </c>
      <c r="D2646" s="13">
        <f>_xll.EditDistance($C$3,C2646,2)</f>
        <v>10</v>
      </c>
      <c r="E2646" s="13"/>
    </row>
    <row r="2647" spans="2:5" x14ac:dyDescent="0.2">
      <c r="B2647" t="s">
        <v>6664</v>
      </c>
      <c r="C2647" t="s">
        <v>6665</v>
      </c>
      <c r="D2647" s="13">
        <f>_xll.EditDistance($C$3,C2647,2)</f>
        <v>10</v>
      </c>
      <c r="E2647" s="13"/>
    </row>
    <row r="2648" spans="2:5" x14ac:dyDescent="0.2">
      <c r="B2648" t="s">
        <v>6736</v>
      </c>
      <c r="C2648" t="s">
        <v>6737</v>
      </c>
      <c r="D2648" s="13">
        <f>_xll.EditDistance($C$3,C2648,2)</f>
        <v>10</v>
      </c>
      <c r="E2648" s="13"/>
    </row>
    <row r="2649" spans="2:5" x14ac:dyDescent="0.2">
      <c r="B2649" t="s">
        <v>6862</v>
      </c>
      <c r="C2649" t="s">
        <v>6863</v>
      </c>
      <c r="D2649" s="13">
        <f>_xll.EditDistance($C$3,C2649,2)</f>
        <v>10</v>
      </c>
      <c r="E2649" s="13"/>
    </row>
    <row r="2650" spans="2:5" x14ac:dyDescent="0.2">
      <c r="B2650" t="s">
        <v>6877</v>
      </c>
      <c r="C2650" t="s">
        <v>6878</v>
      </c>
      <c r="D2650" s="13">
        <f>_xll.EditDistance($C$3,C2650,2)</f>
        <v>10</v>
      </c>
      <c r="E2650" s="13"/>
    </row>
    <row r="2651" spans="2:5" x14ac:dyDescent="0.2">
      <c r="B2651" t="s">
        <v>6879</v>
      </c>
      <c r="C2651" t="s">
        <v>6880</v>
      </c>
      <c r="D2651" s="13">
        <f>_xll.EditDistance($C$3,C2651,2)</f>
        <v>10</v>
      </c>
      <c r="E2651" s="13"/>
    </row>
    <row r="2652" spans="2:5" x14ac:dyDescent="0.2">
      <c r="B2652" t="s">
        <v>6883</v>
      </c>
      <c r="C2652" t="s">
        <v>6884</v>
      </c>
      <c r="D2652" s="13">
        <f>_xll.EditDistance($C$3,C2652,2)</f>
        <v>10</v>
      </c>
      <c r="E2652" s="13"/>
    </row>
    <row r="2653" spans="2:5" x14ac:dyDescent="0.2">
      <c r="B2653" t="s">
        <v>6895</v>
      </c>
      <c r="C2653" t="s">
        <v>6896</v>
      </c>
      <c r="D2653" s="13">
        <f>_xll.EditDistance($C$3,C2653,2)</f>
        <v>10</v>
      </c>
      <c r="E2653" s="13"/>
    </row>
    <row r="2654" spans="2:5" x14ac:dyDescent="0.2">
      <c r="B2654" t="s">
        <v>6903</v>
      </c>
      <c r="C2654" t="s">
        <v>6904</v>
      </c>
      <c r="D2654" s="13">
        <f>_xll.EditDistance($C$3,C2654,2)</f>
        <v>10</v>
      </c>
      <c r="E2654" s="13"/>
    </row>
    <row r="2655" spans="2:5" x14ac:dyDescent="0.2">
      <c r="B2655" t="s">
        <v>6914</v>
      </c>
      <c r="C2655" t="s">
        <v>6915</v>
      </c>
      <c r="D2655" s="13">
        <f>_xll.EditDistance($C$3,C2655,2)</f>
        <v>10</v>
      </c>
      <c r="E2655" s="13"/>
    </row>
    <row r="2656" spans="2:5" x14ac:dyDescent="0.2">
      <c r="B2656" t="s">
        <v>6964</v>
      </c>
      <c r="C2656" t="s">
        <v>6965</v>
      </c>
      <c r="D2656" s="13">
        <f>_xll.EditDistance($C$3,C2656,2)</f>
        <v>10</v>
      </c>
      <c r="E2656" s="13"/>
    </row>
    <row r="2657" spans="2:5" x14ac:dyDescent="0.2">
      <c r="B2657" t="s">
        <v>6972</v>
      </c>
      <c r="C2657" t="s">
        <v>6973</v>
      </c>
      <c r="D2657" s="13">
        <f>_xll.EditDistance($C$3,C2657,2)</f>
        <v>10</v>
      </c>
      <c r="E2657" s="13"/>
    </row>
    <row r="2658" spans="2:5" x14ac:dyDescent="0.2">
      <c r="B2658" t="s">
        <v>7024</v>
      </c>
      <c r="C2658" t="s">
        <v>7025</v>
      </c>
      <c r="D2658" s="13">
        <f>_xll.EditDistance($C$3,C2658,2)</f>
        <v>10</v>
      </c>
      <c r="E2658" s="13"/>
    </row>
    <row r="2659" spans="2:5" x14ac:dyDescent="0.2">
      <c r="B2659" t="s">
        <v>7044</v>
      </c>
      <c r="C2659" t="s">
        <v>7045</v>
      </c>
      <c r="D2659" s="13">
        <f>_xll.EditDistance($C$3,C2659,2)</f>
        <v>10</v>
      </c>
      <c r="E2659" s="13"/>
    </row>
    <row r="2660" spans="2:5" x14ac:dyDescent="0.2">
      <c r="B2660" t="s">
        <v>7067</v>
      </c>
      <c r="C2660" t="s">
        <v>7068</v>
      </c>
      <c r="D2660" s="13">
        <f>_xll.EditDistance($C$3,C2660,2)</f>
        <v>20</v>
      </c>
      <c r="E2660" s="13"/>
    </row>
    <row r="2661" spans="2:5" x14ac:dyDescent="0.2">
      <c r="B2661" t="s">
        <v>7075</v>
      </c>
      <c r="C2661" t="s">
        <v>7076</v>
      </c>
      <c r="D2661" s="13">
        <f>_xll.EditDistance($C$3,C2661,2)</f>
        <v>10</v>
      </c>
      <c r="E2661" s="13"/>
    </row>
    <row r="2662" spans="2:5" x14ac:dyDescent="0.2">
      <c r="B2662" t="s">
        <v>7105</v>
      </c>
      <c r="C2662" t="s">
        <v>7106</v>
      </c>
      <c r="D2662" s="13">
        <f>_xll.EditDistance($C$3,C2662,2)</f>
        <v>10</v>
      </c>
      <c r="E2662" s="13"/>
    </row>
    <row r="2663" spans="2:5" x14ac:dyDescent="0.2">
      <c r="B2663" t="s">
        <v>7107</v>
      </c>
      <c r="C2663" t="s">
        <v>7108</v>
      </c>
      <c r="D2663" s="13">
        <f>_xll.EditDistance($C$3,C2663,2)</f>
        <v>10</v>
      </c>
      <c r="E2663" s="13"/>
    </row>
    <row r="2664" spans="2:5" x14ac:dyDescent="0.2">
      <c r="B2664" t="s">
        <v>7115</v>
      </c>
      <c r="C2664" t="s">
        <v>7116</v>
      </c>
      <c r="D2664" s="13">
        <f>_xll.EditDistance($C$3,C2664,2)</f>
        <v>10</v>
      </c>
      <c r="E2664" s="13"/>
    </row>
    <row r="2665" spans="2:5" x14ac:dyDescent="0.2">
      <c r="B2665" t="s">
        <v>7211</v>
      </c>
      <c r="C2665" t="s">
        <v>7212</v>
      </c>
      <c r="D2665" s="13">
        <f>_xll.EditDistance($C$3,C2665,2)</f>
        <v>10</v>
      </c>
      <c r="E2665" s="13"/>
    </row>
    <row r="2666" spans="2:5" x14ac:dyDescent="0.2">
      <c r="B2666" t="s">
        <v>7220</v>
      </c>
      <c r="C2666" t="s">
        <v>7221</v>
      </c>
      <c r="D2666" s="13">
        <f>_xll.EditDistance($C$3,C2666,2)</f>
        <v>20</v>
      </c>
      <c r="E2666" s="13"/>
    </row>
    <row r="2667" spans="2:5" x14ac:dyDescent="0.2">
      <c r="B2667" t="s">
        <v>7238</v>
      </c>
      <c r="C2667" t="s">
        <v>7239</v>
      </c>
      <c r="D2667" s="13">
        <f>_xll.EditDistance($C$3,C2667,2)</f>
        <v>10</v>
      </c>
      <c r="E2667" s="13"/>
    </row>
    <row r="2668" spans="2:5" x14ac:dyDescent="0.2">
      <c r="B2668" t="s">
        <v>7263</v>
      </c>
      <c r="C2668" t="s">
        <v>7264</v>
      </c>
      <c r="D2668" s="13">
        <f>_xll.EditDistance($C$3,C2668,2)</f>
        <v>10</v>
      </c>
      <c r="E2668" s="13"/>
    </row>
    <row r="2669" spans="2:5" x14ac:dyDescent="0.2">
      <c r="B2669" t="s">
        <v>7295</v>
      </c>
      <c r="C2669" t="s">
        <v>7296</v>
      </c>
      <c r="D2669" s="13">
        <f>_xll.EditDistance($C$3,C2669,2)</f>
        <v>10</v>
      </c>
      <c r="E2669" s="13"/>
    </row>
    <row r="2670" spans="2:5" x14ac:dyDescent="0.2">
      <c r="B2670" t="s">
        <v>7315</v>
      </c>
      <c r="C2670" t="s">
        <v>7316</v>
      </c>
      <c r="D2670" s="13">
        <f>_xll.EditDistance($C$3,C2670,2)</f>
        <v>10</v>
      </c>
      <c r="E2670" s="13"/>
    </row>
    <row r="2671" spans="2:5" x14ac:dyDescent="0.2">
      <c r="B2671" t="s">
        <v>7361</v>
      </c>
      <c r="C2671" t="s">
        <v>7362</v>
      </c>
      <c r="D2671" s="13">
        <f>_xll.EditDistance($C$3,C2671,2)</f>
        <v>10</v>
      </c>
      <c r="E2671" s="13"/>
    </row>
    <row r="2672" spans="2:5" x14ac:dyDescent="0.2">
      <c r="B2672" t="s">
        <v>7367</v>
      </c>
      <c r="C2672" t="s">
        <v>7368</v>
      </c>
      <c r="D2672" s="13">
        <f>_xll.EditDistance($C$3,C2672,2)</f>
        <v>10</v>
      </c>
      <c r="E2672" s="13"/>
    </row>
    <row r="2673" spans="2:5" x14ac:dyDescent="0.2">
      <c r="B2673" t="s">
        <v>7369</v>
      </c>
      <c r="C2673" t="s">
        <v>7370</v>
      </c>
      <c r="D2673" s="13">
        <f>_xll.EditDistance($C$3,C2673,2)</f>
        <v>30</v>
      </c>
      <c r="E2673" s="13"/>
    </row>
    <row r="2674" spans="2:5" x14ac:dyDescent="0.2">
      <c r="B2674" t="s">
        <v>7378</v>
      </c>
      <c r="C2674" t="s">
        <v>7379</v>
      </c>
      <c r="D2674" s="13">
        <f>_xll.EditDistance($C$3,C2674,2)</f>
        <v>10</v>
      </c>
      <c r="E2674" s="13"/>
    </row>
    <row r="2675" spans="2:5" x14ac:dyDescent="0.2">
      <c r="B2675" t="s">
        <v>7380</v>
      </c>
      <c r="C2675" t="s">
        <v>7381</v>
      </c>
      <c r="D2675" s="13">
        <f>_xll.EditDistance($C$3,C2675,2)</f>
        <v>10</v>
      </c>
      <c r="E2675" s="13"/>
    </row>
    <row r="2676" spans="2:5" x14ac:dyDescent="0.2">
      <c r="B2676" t="s">
        <v>7436</v>
      </c>
      <c r="C2676" t="s">
        <v>7437</v>
      </c>
      <c r="D2676" s="13">
        <f>_xll.EditDistance($C$3,C2676,2)</f>
        <v>10</v>
      </c>
      <c r="E2676" s="13"/>
    </row>
    <row r="2677" spans="2:5" x14ac:dyDescent="0.2">
      <c r="B2677" t="s">
        <v>7444</v>
      </c>
      <c r="C2677" t="s">
        <v>7445</v>
      </c>
      <c r="D2677" s="13">
        <f>_xll.EditDistance($C$3,C2677,2)</f>
        <v>10</v>
      </c>
      <c r="E2677" s="13"/>
    </row>
    <row r="2678" spans="2:5" x14ac:dyDescent="0.2">
      <c r="B2678" t="s">
        <v>7457</v>
      </c>
      <c r="C2678" t="s">
        <v>7458</v>
      </c>
      <c r="D2678" s="13">
        <f>_xll.EditDistance($C$3,C2678,2)</f>
        <v>10</v>
      </c>
      <c r="E2678" s="13"/>
    </row>
    <row r="2679" spans="2:5" x14ac:dyDescent="0.2">
      <c r="B2679" t="s">
        <v>7517</v>
      </c>
      <c r="C2679" t="s">
        <v>7518</v>
      </c>
      <c r="D2679" s="13">
        <f>_xll.EditDistance($C$3,C2679,2)</f>
        <v>10</v>
      </c>
      <c r="E2679" s="13"/>
    </row>
    <row r="2680" spans="2:5" x14ac:dyDescent="0.2">
      <c r="B2680" t="s">
        <v>7571</v>
      </c>
      <c r="C2680" t="s">
        <v>7572</v>
      </c>
      <c r="D2680" s="13">
        <f>_xll.EditDistance($C$3,C2680,2)</f>
        <v>10</v>
      </c>
      <c r="E2680" s="13"/>
    </row>
    <row r="2681" spans="2:5" x14ac:dyDescent="0.2">
      <c r="B2681" t="s">
        <v>7621</v>
      </c>
      <c r="C2681" t="s">
        <v>7622</v>
      </c>
      <c r="D2681" s="13">
        <f>_xll.EditDistance($C$3,C2681,2)</f>
        <v>10</v>
      </c>
      <c r="E2681" s="13"/>
    </row>
    <row r="2682" spans="2:5" x14ac:dyDescent="0.2">
      <c r="B2682" t="s">
        <v>7667</v>
      </c>
      <c r="C2682" t="s">
        <v>7668</v>
      </c>
      <c r="D2682" s="13">
        <f>_xll.EditDistance($C$3,C2682,2)</f>
        <v>10</v>
      </c>
      <c r="E2682" s="13"/>
    </row>
    <row r="2683" spans="2:5" x14ac:dyDescent="0.2">
      <c r="B2683" t="s">
        <v>7693</v>
      </c>
      <c r="C2683" t="s">
        <v>7694</v>
      </c>
      <c r="D2683" s="13">
        <f>_xll.EditDistance($C$3,C2683,2)</f>
        <v>10</v>
      </c>
      <c r="E2683" s="13"/>
    </row>
    <row r="2684" spans="2:5" x14ac:dyDescent="0.2">
      <c r="B2684" t="s">
        <v>7711</v>
      </c>
      <c r="C2684" t="s">
        <v>7712</v>
      </c>
      <c r="D2684" s="13">
        <f>_xll.EditDistance($C$3,C2684,2)</f>
        <v>20</v>
      </c>
      <c r="E2684" s="13"/>
    </row>
    <row r="2685" spans="2:5" x14ac:dyDescent="0.2">
      <c r="B2685" t="s">
        <v>7717</v>
      </c>
      <c r="C2685" t="s">
        <v>7718</v>
      </c>
      <c r="D2685" s="13">
        <f>_xll.EditDistance($C$3,C2685,2)</f>
        <v>10</v>
      </c>
      <c r="E2685" s="13"/>
    </row>
    <row r="2686" spans="2:5" x14ac:dyDescent="0.2">
      <c r="B2686" t="s">
        <v>7782</v>
      </c>
      <c r="C2686" t="s">
        <v>7783</v>
      </c>
      <c r="D2686" s="13">
        <f>_xll.EditDistance($C$3,C2686,2)</f>
        <v>10</v>
      </c>
      <c r="E2686" s="13"/>
    </row>
    <row r="2687" spans="2:5" x14ac:dyDescent="0.2">
      <c r="B2687" t="s">
        <v>7840</v>
      </c>
      <c r="C2687" t="s">
        <v>7841</v>
      </c>
      <c r="D2687" s="13">
        <f>_xll.EditDistance($C$3,C2687,2)</f>
        <v>10</v>
      </c>
      <c r="E2687" s="13"/>
    </row>
    <row r="2688" spans="2:5" x14ac:dyDescent="0.2">
      <c r="B2688" t="s">
        <v>7917</v>
      </c>
      <c r="C2688" t="s">
        <v>7918</v>
      </c>
      <c r="D2688" s="13">
        <f>_xll.EditDistance($C$3,C2688,2)</f>
        <v>10</v>
      </c>
      <c r="E2688" s="13"/>
    </row>
    <row r="2689" spans="2:5" x14ac:dyDescent="0.2">
      <c r="B2689" t="s">
        <v>7921</v>
      </c>
      <c r="C2689" t="s">
        <v>7922</v>
      </c>
      <c r="D2689" s="13">
        <f>_xll.EditDistance($C$3,C2689,2)</f>
        <v>20</v>
      </c>
      <c r="E2689" s="13"/>
    </row>
    <row r="2690" spans="2:5" x14ac:dyDescent="0.2">
      <c r="B2690" t="s">
        <v>7944</v>
      </c>
      <c r="C2690" t="s">
        <v>7945</v>
      </c>
      <c r="D2690" s="13">
        <f>_xll.EditDistance($C$3,C2690,2)</f>
        <v>10</v>
      </c>
      <c r="E2690" s="13"/>
    </row>
    <row r="2691" spans="2:5" x14ac:dyDescent="0.2">
      <c r="B2691" t="s">
        <v>7972</v>
      </c>
      <c r="C2691" t="s">
        <v>7973</v>
      </c>
      <c r="D2691" s="13">
        <f>_xll.EditDistance($C$3,C2691,2)</f>
        <v>10</v>
      </c>
      <c r="E2691" s="13"/>
    </row>
    <row r="2692" spans="2:5" x14ac:dyDescent="0.2">
      <c r="B2692" t="s">
        <v>8037</v>
      </c>
      <c r="C2692" t="s">
        <v>8038</v>
      </c>
      <c r="D2692" s="13">
        <f>_xll.EditDistance($C$3,C2692,2)</f>
        <v>10</v>
      </c>
      <c r="E2692" s="13"/>
    </row>
    <row r="2693" spans="2:5" x14ac:dyDescent="0.2">
      <c r="B2693" t="s">
        <v>8084</v>
      </c>
      <c r="C2693" t="s">
        <v>8085</v>
      </c>
      <c r="D2693" s="13">
        <f>_xll.EditDistance($C$3,C2693,2)</f>
        <v>10</v>
      </c>
      <c r="E2693" s="13"/>
    </row>
    <row r="2694" spans="2:5" x14ac:dyDescent="0.2">
      <c r="B2694" t="s">
        <v>8148</v>
      </c>
      <c r="C2694" t="s">
        <v>8149</v>
      </c>
      <c r="D2694" s="13">
        <f>_xll.EditDistance($C$3,C2694,2)</f>
        <v>10</v>
      </c>
      <c r="E2694" s="13"/>
    </row>
    <row r="2695" spans="2:5" x14ac:dyDescent="0.2">
      <c r="B2695" t="s">
        <v>8160</v>
      </c>
      <c r="C2695" t="s">
        <v>8161</v>
      </c>
      <c r="D2695" s="13">
        <f>_xll.EditDistance($C$3,C2695,2)</f>
        <v>10</v>
      </c>
      <c r="E2695" s="13"/>
    </row>
    <row r="2696" spans="2:5" x14ac:dyDescent="0.2">
      <c r="B2696" t="s">
        <v>8166</v>
      </c>
      <c r="C2696" t="s">
        <v>8167</v>
      </c>
      <c r="D2696" s="13">
        <f>_xll.EditDistance($C$3,C2696,2)</f>
        <v>10</v>
      </c>
      <c r="E2696" s="13"/>
    </row>
    <row r="2697" spans="2:5" x14ac:dyDescent="0.2">
      <c r="B2697" t="s">
        <v>8210</v>
      </c>
      <c r="C2697" t="s">
        <v>8211</v>
      </c>
      <c r="D2697" s="13">
        <f>_xll.EditDistance($C$3,C2697,2)</f>
        <v>10</v>
      </c>
      <c r="E2697" s="13"/>
    </row>
    <row r="2698" spans="2:5" x14ac:dyDescent="0.2">
      <c r="B2698" t="s">
        <v>8220</v>
      </c>
      <c r="C2698" t="s">
        <v>8221</v>
      </c>
      <c r="D2698" s="13">
        <f>_xll.EditDistance($C$3,C2698,2)</f>
        <v>10</v>
      </c>
      <c r="E2698" s="13"/>
    </row>
    <row r="2699" spans="2:5" x14ac:dyDescent="0.2">
      <c r="B2699" t="s">
        <v>8246</v>
      </c>
      <c r="C2699" t="s">
        <v>8247</v>
      </c>
      <c r="D2699" s="13">
        <f>_xll.EditDistance($C$3,C2699,2)</f>
        <v>10</v>
      </c>
      <c r="E2699" s="13"/>
    </row>
    <row r="2700" spans="2:5" x14ac:dyDescent="0.2">
      <c r="B2700" t="s">
        <v>8266</v>
      </c>
      <c r="C2700" t="s">
        <v>8267</v>
      </c>
      <c r="D2700" s="13">
        <f>_xll.EditDistance($C$3,C2700,2)</f>
        <v>10</v>
      </c>
      <c r="E2700" s="13"/>
    </row>
    <row r="2701" spans="2:5" x14ac:dyDescent="0.2">
      <c r="B2701" t="s">
        <v>8312</v>
      </c>
      <c r="C2701" t="s">
        <v>8313</v>
      </c>
      <c r="D2701" s="13">
        <f>_xll.EditDistance($C$3,C2701,2)</f>
        <v>10</v>
      </c>
      <c r="E2701" s="13"/>
    </row>
    <row r="2702" spans="2:5" x14ac:dyDescent="0.2">
      <c r="B2702" t="s">
        <v>8349</v>
      </c>
      <c r="C2702" t="s">
        <v>8350</v>
      </c>
      <c r="D2702" s="13">
        <f>_xll.EditDistance($C$3,C2702,2)</f>
        <v>10</v>
      </c>
      <c r="E2702" s="13"/>
    </row>
    <row r="2703" spans="2:5" x14ac:dyDescent="0.2">
      <c r="B2703" t="s">
        <v>8363</v>
      </c>
      <c r="C2703" t="s">
        <v>8364</v>
      </c>
      <c r="D2703" s="13">
        <f>_xll.EditDistance($C$3,C2703,2)</f>
        <v>10</v>
      </c>
      <c r="E2703" s="13"/>
    </row>
    <row r="2704" spans="2:5" x14ac:dyDescent="0.2">
      <c r="B2704" t="s">
        <v>8363</v>
      </c>
      <c r="C2704" t="s">
        <v>8365</v>
      </c>
      <c r="D2704" s="13">
        <f>_xll.EditDistance($C$3,C2704,2)</f>
        <v>10</v>
      </c>
      <c r="E2704" s="13"/>
    </row>
    <row r="2705" spans="2:5" x14ac:dyDescent="0.2">
      <c r="B2705" t="s">
        <v>8408</v>
      </c>
      <c r="C2705" t="s">
        <v>8409</v>
      </c>
      <c r="D2705" s="13">
        <f>_xll.EditDistance($C$3,C2705,2)</f>
        <v>10</v>
      </c>
      <c r="E2705" s="13"/>
    </row>
    <row r="2706" spans="2:5" x14ac:dyDescent="0.2">
      <c r="B2706" t="s">
        <v>8410</v>
      </c>
      <c r="C2706" t="s">
        <v>8411</v>
      </c>
      <c r="D2706" s="13">
        <f>_xll.EditDistance($C$3,C2706,2)</f>
        <v>10</v>
      </c>
      <c r="E2706" s="13"/>
    </row>
    <row r="2707" spans="2:5" x14ac:dyDescent="0.2">
      <c r="B2707" t="s">
        <v>8416</v>
      </c>
      <c r="C2707" t="s">
        <v>8417</v>
      </c>
      <c r="D2707" s="13">
        <f>_xll.EditDistance($C$3,C2707,2)</f>
        <v>10</v>
      </c>
      <c r="E2707" s="13"/>
    </row>
    <row r="2708" spans="2:5" x14ac:dyDescent="0.2">
      <c r="B2708" t="s">
        <v>8435</v>
      </c>
      <c r="C2708" t="s">
        <v>8436</v>
      </c>
      <c r="D2708" s="13">
        <f>_xll.EditDistance($C$3,C2708,2)</f>
        <v>10</v>
      </c>
      <c r="E2708" s="13"/>
    </row>
    <row r="2709" spans="2:5" x14ac:dyDescent="0.2">
      <c r="B2709" t="s">
        <v>8472</v>
      </c>
      <c r="C2709" t="s">
        <v>8473</v>
      </c>
      <c r="D2709" s="13">
        <f>_xll.EditDistance($C$3,C2709,2)</f>
        <v>10</v>
      </c>
      <c r="E2709" s="13"/>
    </row>
    <row r="2710" spans="2:5" x14ac:dyDescent="0.2">
      <c r="B2710" t="s">
        <v>8496</v>
      </c>
      <c r="C2710" t="s">
        <v>8497</v>
      </c>
      <c r="D2710" s="13">
        <f>_xll.EditDistance($C$3,C2710,2)</f>
        <v>10</v>
      </c>
      <c r="E2710" s="13"/>
    </row>
    <row r="2711" spans="2:5" x14ac:dyDescent="0.2">
      <c r="B2711" t="s">
        <v>8572</v>
      </c>
      <c r="C2711" t="s">
        <v>8573</v>
      </c>
      <c r="D2711" s="13">
        <f>_xll.EditDistance($C$3,C2711,2)</f>
        <v>10</v>
      </c>
      <c r="E2711" s="13"/>
    </row>
    <row r="2712" spans="2:5" x14ac:dyDescent="0.2">
      <c r="B2712" t="s">
        <v>8584</v>
      </c>
      <c r="C2712" t="s">
        <v>8585</v>
      </c>
      <c r="D2712" s="13">
        <f>_xll.EditDistance($C$3,C2712,2)</f>
        <v>10</v>
      </c>
      <c r="E2712" s="13"/>
    </row>
    <row r="2713" spans="2:5" x14ac:dyDescent="0.2">
      <c r="B2713" t="s">
        <v>8607</v>
      </c>
      <c r="C2713" t="s">
        <v>8608</v>
      </c>
      <c r="D2713" s="13">
        <f>_xll.EditDistance($C$3,C2713,2)</f>
        <v>10</v>
      </c>
      <c r="E2713" s="13"/>
    </row>
    <row r="2714" spans="2:5" x14ac:dyDescent="0.2">
      <c r="B2714" t="s">
        <v>8633</v>
      </c>
      <c r="C2714" t="s">
        <v>8634</v>
      </c>
      <c r="D2714" s="13">
        <f>_xll.EditDistance($C$3,C2714,2)</f>
        <v>10</v>
      </c>
      <c r="E2714" s="13"/>
    </row>
    <row r="2715" spans="2:5" x14ac:dyDescent="0.2">
      <c r="B2715" t="s">
        <v>8655</v>
      </c>
      <c r="C2715" t="s">
        <v>8656</v>
      </c>
      <c r="D2715" s="13">
        <f>_xll.EditDistance($C$3,C2715,2)</f>
        <v>20</v>
      </c>
      <c r="E2715" s="13"/>
    </row>
    <row r="2716" spans="2:5" x14ac:dyDescent="0.2">
      <c r="B2716" t="s">
        <v>8664</v>
      </c>
      <c r="C2716" t="s">
        <v>8665</v>
      </c>
      <c r="D2716" s="13">
        <f>_xll.EditDistance($C$3,C2716,2)</f>
        <v>10</v>
      </c>
      <c r="E2716" s="13"/>
    </row>
    <row r="2717" spans="2:5" x14ac:dyDescent="0.2">
      <c r="B2717" t="s">
        <v>8705</v>
      </c>
      <c r="C2717" t="s">
        <v>8706</v>
      </c>
      <c r="D2717" s="13">
        <f>_xll.EditDistance($C$3,C2717,2)</f>
        <v>10</v>
      </c>
      <c r="E2717" s="13"/>
    </row>
    <row r="2718" spans="2:5" x14ac:dyDescent="0.2">
      <c r="B2718" t="s">
        <v>8717</v>
      </c>
      <c r="C2718" t="s">
        <v>8718</v>
      </c>
      <c r="D2718" s="13">
        <f>_xll.EditDistance($C$3,C2718,2)</f>
        <v>10</v>
      </c>
      <c r="E2718" s="13"/>
    </row>
    <row r="2719" spans="2:5" x14ac:dyDescent="0.2">
      <c r="B2719" t="s">
        <v>186</v>
      </c>
      <c r="C2719" t="s">
        <v>187</v>
      </c>
      <c r="D2719" s="13">
        <f>_xll.EditDistance($C$3,C2719,2)</f>
        <v>20</v>
      </c>
      <c r="E2719" s="13"/>
    </row>
    <row r="2720" spans="2:5" x14ac:dyDescent="0.2">
      <c r="B2720" t="s">
        <v>727</v>
      </c>
      <c r="C2720" t="s">
        <v>728</v>
      </c>
      <c r="D2720" s="13">
        <f>_xll.EditDistance($C$3,C2720,2)</f>
        <v>54</v>
      </c>
      <c r="E2720" s="13"/>
    </row>
    <row r="2721" spans="2:5" x14ac:dyDescent="0.2">
      <c r="B2721" t="s">
        <v>761</v>
      </c>
      <c r="C2721" t="s">
        <v>762</v>
      </c>
      <c r="D2721" s="13">
        <f>_xll.EditDistance($C$3,C2721,2)</f>
        <v>10</v>
      </c>
      <c r="E2721" s="13"/>
    </row>
    <row r="2722" spans="2:5" x14ac:dyDescent="0.2">
      <c r="B2722" t="s">
        <v>1373</v>
      </c>
      <c r="C2722" t="s">
        <v>1374</v>
      </c>
      <c r="D2722" s="13">
        <f>_xll.EditDistance($C$3,C2722,2)</f>
        <v>20</v>
      </c>
      <c r="E2722" s="13"/>
    </row>
    <row r="2723" spans="2:5" x14ac:dyDescent="0.2">
      <c r="B2723" t="s">
        <v>1507</v>
      </c>
      <c r="C2723" t="s">
        <v>1508</v>
      </c>
      <c r="D2723" s="13">
        <f>_xll.EditDistance($C$3,C2723,2)</f>
        <v>10</v>
      </c>
      <c r="E2723" s="13"/>
    </row>
    <row r="2724" spans="2:5" x14ac:dyDescent="0.2">
      <c r="B2724" t="s">
        <v>1608</v>
      </c>
      <c r="C2724" t="s">
        <v>1609</v>
      </c>
      <c r="D2724" s="13">
        <f>_xll.EditDistance($C$3,C2724,2)</f>
        <v>10</v>
      </c>
      <c r="E2724" s="13"/>
    </row>
    <row r="2725" spans="2:5" x14ac:dyDescent="0.2">
      <c r="B2725" t="s">
        <v>2145</v>
      </c>
      <c r="C2725" t="s">
        <v>2146</v>
      </c>
      <c r="D2725" s="13">
        <f>_xll.EditDistance($C$3,C2725,2)</f>
        <v>10</v>
      </c>
      <c r="E2725" s="13"/>
    </row>
    <row r="2726" spans="2:5" x14ac:dyDescent="0.2">
      <c r="B2726" t="s">
        <v>2215</v>
      </c>
      <c r="C2726" t="s">
        <v>2216</v>
      </c>
      <c r="D2726" s="13">
        <f>_xll.EditDistance($C$3,C2726,2)</f>
        <v>10</v>
      </c>
      <c r="E2726" s="13"/>
    </row>
    <row r="2727" spans="2:5" x14ac:dyDescent="0.2">
      <c r="B2727" t="s">
        <v>2243</v>
      </c>
      <c r="C2727" t="s">
        <v>2244</v>
      </c>
      <c r="D2727" s="13">
        <f>_xll.EditDistance($C$3,C2727,2)</f>
        <v>10</v>
      </c>
      <c r="E2727" s="13"/>
    </row>
    <row r="2728" spans="2:5" x14ac:dyDescent="0.2">
      <c r="B2728" t="s">
        <v>2516</v>
      </c>
      <c r="C2728" t="s">
        <v>2517</v>
      </c>
      <c r="D2728" s="13">
        <f>_xll.EditDistance($C$3,C2728,2)</f>
        <v>10</v>
      </c>
      <c r="E2728" s="13"/>
    </row>
    <row r="2729" spans="2:5" x14ac:dyDescent="0.2">
      <c r="B2729" t="s">
        <v>2519</v>
      </c>
      <c r="C2729" t="s">
        <v>2520</v>
      </c>
      <c r="D2729" s="13">
        <f>_xll.EditDistance($C$3,C2729,2)</f>
        <v>30</v>
      </c>
      <c r="E2729" s="13"/>
    </row>
    <row r="2730" spans="2:5" x14ac:dyDescent="0.2">
      <c r="B2730" t="s">
        <v>2707</v>
      </c>
      <c r="C2730" t="s">
        <v>2708</v>
      </c>
      <c r="D2730" s="13">
        <f>_xll.EditDistance($C$3,C2730,2)</f>
        <v>10</v>
      </c>
      <c r="E2730" s="13"/>
    </row>
    <row r="2731" spans="2:5" x14ac:dyDescent="0.2">
      <c r="B2731" t="s">
        <v>3476</v>
      </c>
      <c r="C2731" t="s">
        <v>3477</v>
      </c>
      <c r="D2731" s="13">
        <f>_xll.EditDistance($C$3,C2731,2)</f>
        <v>10</v>
      </c>
      <c r="E2731" s="13"/>
    </row>
    <row r="2732" spans="2:5" x14ac:dyDescent="0.2">
      <c r="B2732" t="s">
        <v>3550</v>
      </c>
      <c r="C2732" t="s">
        <v>3551</v>
      </c>
      <c r="D2732" s="13">
        <f>_xll.EditDistance($C$3,C2732,2)</f>
        <v>10</v>
      </c>
      <c r="E2732" s="13"/>
    </row>
    <row r="2733" spans="2:5" x14ac:dyDescent="0.2">
      <c r="B2733" t="s">
        <v>4036</v>
      </c>
      <c r="C2733" t="s">
        <v>4037</v>
      </c>
      <c r="D2733" s="13">
        <f>_xll.EditDistance($C$3,C2733,2)</f>
        <v>10</v>
      </c>
      <c r="E2733" s="13"/>
    </row>
    <row r="2734" spans="2:5" x14ac:dyDescent="0.2">
      <c r="B2734" t="s">
        <v>4511</v>
      </c>
      <c r="C2734" t="s">
        <v>4512</v>
      </c>
      <c r="D2734" s="13">
        <f>_xll.EditDistance($C$3,C2734,2)</f>
        <v>20</v>
      </c>
      <c r="E2734" s="13"/>
    </row>
    <row r="2735" spans="2:5" x14ac:dyDescent="0.2">
      <c r="B2735" t="s">
        <v>4924</v>
      </c>
      <c r="C2735" t="s">
        <v>4925</v>
      </c>
      <c r="D2735" s="13">
        <f>_xll.EditDistance($C$3,C2735,2)</f>
        <v>10</v>
      </c>
      <c r="E2735" s="13"/>
    </row>
    <row r="2736" spans="2:5" x14ac:dyDescent="0.2">
      <c r="B2736" t="s">
        <v>4930</v>
      </c>
      <c r="C2736" t="s">
        <v>4931</v>
      </c>
      <c r="D2736" s="13">
        <f>_xll.EditDistance($C$3,C2736,2)</f>
        <v>10</v>
      </c>
      <c r="E2736" s="13"/>
    </row>
    <row r="2737" spans="2:5" x14ac:dyDescent="0.2">
      <c r="B2737" t="s">
        <v>5014</v>
      </c>
      <c r="C2737" t="s">
        <v>5015</v>
      </c>
      <c r="D2737" s="13">
        <f>_xll.EditDistance($C$3,C2737,2)</f>
        <v>10</v>
      </c>
      <c r="E2737" s="13"/>
    </row>
    <row r="2738" spans="2:5" x14ac:dyDescent="0.2">
      <c r="B2738" t="s">
        <v>5070</v>
      </c>
      <c r="C2738" t="s">
        <v>5071</v>
      </c>
      <c r="D2738" s="13">
        <f>_xll.EditDistance($C$3,C2738,2)</f>
        <v>10</v>
      </c>
      <c r="E2738" s="13"/>
    </row>
    <row r="2739" spans="2:5" x14ac:dyDescent="0.2">
      <c r="B2739" t="s">
        <v>5097</v>
      </c>
      <c r="C2739" t="s">
        <v>5098</v>
      </c>
      <c r="D2739" s="13">
        <f>_xll.EditDistance($C$3,C2739,2)</f>
        <v>10</v>
      </c>
      <c r="E2739" s="13"/>
    </row>
    <row r="2740" spans="2:5" x14ac:dyDescent="0.2">
      <c r="B2740" t="s">
        <v>6020</v>
      </c>
      <c r="C2740" t="s">
        <v>6021</v>
      </c>
      <c r="D2740" s="13">
        <f>_xll.EditDistance($C$3,C2740,2)</f>
        <v>20</v>
      </c>
      <c r="E2740" s="13"/>
    </row>
    <row r="2741" spans="2:5" x14ac:dyDescent="0.2">
      <c r="B2741" t="s">
        <v>6171</v>
      </c>
      <c r="C2741" t="s">
        <v>6172</v>
      </c>
      <c r="D2741" s="13">
        <f>_xll.EditDistance($C$3,C2741,2)</f>
        <v>20</v>
      </c>
      <c r="E2741" s="13"/>
    </row>
    <row r="2742" spans="2:5" x14ac:dyDescent="0.2">
      <c r="B2742" t="s">
        <v>6242</v>
      </c>
      <c r="C2742" t="s">
        <v>6243</v>
      </c>
      <c r="D2742" s="13">
        <f>_xll.EditDistance($C$3,C2742,2)</f>
        <v>20</v>
      </c>
      <c r="E2742" s="13"/>
    </row>
    <row r="2743" spans="2:5" x14ac:dyDescent="0.2">
      <c r="B2743" t="s">
        <v>6742</v>
      </c>
      <c r="C2743" t="s">
        <v>6743</v>
      </c>
      <c r="D2743" s="13">
        <f>_xll.EditDistance($C$3,C2743,2)</f>
        <v>10</v>
      </c>
      <c r="E2743" s="13"/>
    </row>
    <row r="2744" spans="2:5" x14ac:dyDescent="0.2">
      <c r="B2744" t="s">
        <v>7646</v>
      </c>
      <c r="C2744" t="s">
        <v>7647</v>
      </c>
      <c r="D2744" s="13">
        <f>_xll.EditDistance($C$3,C2744,2)</f>
        <v>10</v>
      </c>
      <c r="E2744" s="13"/>
    </row>
    <row r="2745" spans="2:5" x14ac:dyDescent="0.2">
      <c r="B2745" t="s">
        <v>7820</v>
      </c>
      <c r="C2745" t="s">
        <v>7821</v>
      </c>
      <c r="D2745" s="13">
        <f>_xll.EditDistance($C$3,C2745,2)</f>
        <v>10</v>
      </c>
      <c r="E2745" s="13"/>
    </row>
    <row r="2746" spans="2:5" x14ac:dyDescent="0.2">
      <c r="B2746" t="s">
        <v>8447</v>
      </c>
      <c r="C2746" t="s">
        <v>8448</v>
      </c>
      <c r="D2746" s="13">
        <f>_xll.EditDistance($C$3,C2746,2)</f>
        <v>10</v>
      </c>
      <c r="E2746" s="13"/>
    </row>
    <row r="2747" spans="2:5" x14ac:dyDescent="0.2">
      <c r="B2747" s="22" t="s">
        <v>545</v>
      </c>
      <c r="C2747" t="s">
        <v>546</v>
      </c>
      <c r="D2747" s="13">
        <f>_xll.EditDistance($C$3,C2747,2)</f>
        <v>30</v>
      </c>
      <c r="E2747" s="13"/>
    </row>
    <row r="2748" spans="2:5" x14ac:dyDescent="0.2">
      <c r="B2748" t="s">
        <v>572</v>
      </c>
      <c r="C2748" t="s">
        <v>573</v>
      </c>
      <c r="D2748" s="13">
        <f>_xll.EditDistance($C$3,C2748,2)</f>
        <v>10</v>
      </c>
      <c r="E2748" s="13"/>
    </row>
    <row r="2749" spans="2:5" x14ac:dyDescent="0.2">
      <c r="B2749" t="s">
        <v>844</v>
      </c>
      <c r="C2749" t="s">
        <v>845</v>
      </c>
      <c r="D2749" s="13">
        <f>_xll.EditDistance($C$3,C2749,2)</f>
        <v>10</v>
      </c>
      <c r="E2749" s="13"/>
    </row>
    <row r="2750" spans="2:5" x14ac:dyDescent="0.2">
      <c r="B2750" t="s">
        <v>1180</v>
      </c>
      <c r="C2750" t="s">
        <v>1181</v>
      </c>
      <c r="D2750" s="13">
        <f>_xll.EditDistance($C$3,C2750,2)</f>
        <v>10</v>
      </c>
      <c r="E2750" s="13"/>
    </row>
    <row r="2751" spans="2:5" x14ac:dyDescent="0.2">
      <c r="B2751" t="s">
        <v>1660</v>
      </c>
      <c r="C2751" t="s">
        <v>1661</v>
      </c>
      <c r="D2751" s="13">
        <f>_xll.EditDistance($C$3,C2751,2)</f>
        <v>18</v>
      </c>
      <c r="E2751" s="13"/>
    </row>
    <row r="2752" spans="2:5" x14ac:dyDescent="0.2">
      <c r="B2752" t="s">
        <v>1933</v>
      </c>
      <c r="C2752" t="s">
        <v>1935</v>
      </c>
      <c r="D2752" s="13">
        <f>_xll.EditDistance($C$3,C2752,2)</f>
        <v>10</v>
      </c>
      <c r="E2752" s="13"/>
    </row>
    <row r="2753" spans="2:5" x14ac:dyDescent="0.2">
      <c r="B2753" t="s">
        <v>2529</v>
      </c>
      <c r="C2753" t="s">
        <v>2530</v>
      </c>
      <c r="D2753" s="13">
        <f>_xll.EditDistance($C$3,C2753,2)</f>
        <v>20</v>
      </c>
      <c r="E2753" s="13"/>
    </row>
    <row r="2754" spans="2:5" x14ac:dyDescent="0.2">
      <c r="B2754" t="s">
        <v>2560</v>
      </c>
      <c r="C2754" t="s">
        <v>2561</v>
      </c>
      <c r="D2754" s="13">
        <f>_xll.EditDistance($C$3,C2754,2)</f>
        <v>10</v>
      </c>
      <c r="E2754" s="13"/>
    </row>
    <row r="2755" spans="2:5" x14ac:dyDescent="0.2">
      <c r="B2755" t="s">
        <v>3081</v>
      </c>
      <c r="C2755" t="s">
        <v>3082</v>
      </c>
      <c r="D2755" s="13">
        <f>_xll.EditDistance($C$3,C2755,2)</f>
        <v>10</v>
      </c>
      <c r="E2755" s="13"/>
    </row>
    <row r="2756" spans="2:5" x14ac:dyDescent="0.2">
      <c r="B2756" t="s">
        <v>4075</v>
      </c>
      <c r="C2756" t="s">
        <v>4076</v>
      </c>
      <c r="D2756" s="13">
        <f>_xll.EditDistance($C$3,C2756,2)</f>
        <v>10</v>
      </c>
      <c r="E2756" s="13"/>
    </row>
    <row r="2757" spans="2:5" x14ac:dyDescent="0.2">
      <c r="B2757" t="s">
        <v>4159</v>
      </c>
      <c r="C2757" t="s">
        <v>4160</v>
      </c>
      <c r="D2757" s="13">
        <f>_xll.EditDistance($C$3,C2757,2)</f>
        <v>60</v>
      </c>
      <c r="E2757" s="13"/>
    </row>
    <row r="2758" spans="2:5" x14ac:dyDescent="0.2">
      <c r="B2758" t="s">
        <v>4344</v>
      </c>
      <c r="C2758" t="s">
        <v>4345</v>
      </c>
      <c r="D2758" s="13">
        <f>_xll.EditDistance($C$3,C2758,2)</f>
        <v>20</v>
      </c>
      <c r="E2758" s="13"/>
    </row>
    <row r="2759" spans="2:5" x14ac:dyDescent="0.2">
      <c r="B2759" t="s">
        <v>4387</v>
      </c>
      <c r="C2759" t="s">
        <v>4388</v>
      </c>
      <c r="D2759" s="13">
        <f>_xll.EditDistance($C$3,C2759,2)</f>
        <v>10</v>
      </c>
      <c r="E2759" s="13"/>
    </row>
    <row r="2760" spans="2:5" x14ac:dyDescent="0.2">
      <c r="B2760" t="s">
        <v>4524</v>
      </c>
      <c r="C2760" t="s">
        <v>4526</v>
      </c>
      <c r="D2760" s="13">
        <f>_xll.EditDistance($C$3,C2760,2)</f>
        <v>10</v>
      </c>
      <c r="E2760" s="13"/>
    </row>
    <row r="2761" spans="2:5" x14ac:dyDescent="0.2">
      <c r="B2761" t="s">
        <v>4751</v>
      </c>
      <c r="C2761" t="s">
        <v>4752</v>
      </c>
      <c r="D2761" s="13">
        <f>_xll.EditDistance($C$3,C2761,2)</f>
        <v>10</v>
      </c>
      <c r="E2761" s="13"/>
    </row>
    <row r="2762" spans="2:5" x14ac:dyDescent="0.2">
      <c r="B2762" t="s">
        <v>4919</v>
      </c>
      <c r="C2762" t="s">
        <v>4920</v>
      </c>
      <c r="D2762" s="13">
        <f>_xll.EditDistance($C$3,C2762,2)</f>
        <v>10</v>
      </c>
      <c r="E2762" s="13"/>
    </row>
    <row r="2763" spans="2:5" x14ac:dyDescent="0.2">
      <c r="B2763" t="s">
        <v>5402</v>
      </c>
      <c r="C2763" t="s">
        <v>5403</v>
      </c>
      <c r="D2763" s="13">
        <f>_xll.EditDistance($C$3,C2763,2)</f>
        <v>20</v>
      </c>
      <c r="E2763" s="13"/>
    </row>
    <row r="2764" spans="2:5" x14ac:dyDescent="0.2">
      <c r="B2764" t="s">
        <v>5558</v>
      </c>
      <c r="C2764" t="s">
        <v>5559</v>
      </c>
      <c r="D2764" s="13">
        <f>_xll.EditDistance($C$3,C2764,2)</f>
        <v>10</v>
      </c>
      <c r="E2764" s="13"/>
    </row>
    <row r="2765" spans="2:5" x14ac:dyDescent="0.2">
      <c r="B2765" t="s">
        <v>7800</v>
      </c>
      <c r="C2765" t="s">
        <v>7801</v>
      </c>
      <c r="D2765" s="13">
        <f>_xll.EditDistance($C$3,C2765,2)</f>
        <v>10</v>
      </c>
      <c r="E2765" s="13"/>
    </row>
    <row r="2766" spans="2:5" x14ac:dyDescent="0.2">
      <c r="B2766" t="s">
        <v>8138</v>
      </c>
      <c r="C2766" t="s">
        <v>8139</v>
      </c>
      <c r="D2766" s="13">
        <f>_xll.EditDistance($C$3,C2766,2)</f>
        <v>10</v>
      </c>
      <c r="E2766" s="13"/>
    </row>
    <row r="2767" spans="2:5" x14ac:dyDescent="0.2">
      <c r="B2767" t="s">
        <v>562</v>
      </c>
      <c r="C2767" t="s">
        <v>563</v>
      </c>
      <c r="D2767" s="13">
        <f>_xll.EditDistance($C$3,C2767,2)</f>
        <v>20</v>
      </c>
      <c r="E2767" s="13"/>
    </row>
    <row r="2768" spans="2:5" x14ac:dyDescent="0.2">
      <c r="B2768" t="s">
        <v>597</v>
      </c>
      <c r="C2768" t="s">
        <v>598</v>
      </c>
      <c r="D2768" s="13">
        <f>_xll.EditDistance($C$3,C2768,2)</f>
        <v>18</v>
      </c>
      <c r="E2768" s="13"/>
    </row>
    <row r="2769" spans="2:5" x14ac:dyDescent="0.2">
      <c r="B2769" t="s">
        <v>1000</v>
      </c>
      <c r="C2769" t="s">
        <v>1001</v>
      </c>
      <c r="D2769" s="13">
        <f>_xll.EditDistance($C$3,C2769,2)</f>
        <v>10</v>
      </c>
      <c r="E2769" s="13"/>
    </row>
    <row r="2770" spans="2:5" x14ac:dyDescent="0.2">
      <c r="B2770" t="s">
        <v>2095</v>
      </c>
      <c r="C2770" t="s">
        <v>2096</v>
      </c>
      <c r="D2770" s="13">
        <f>_xll.EditDistance($C$3,C2770,2)</f>
        <v>20</v>
      </c>
      <c r="E2770" s="13"/>
    </row>
    <row r="2771" spans="2:5" x14ac:dyDescent="0.2">
      <c r="B2771" t="s">
        <v>2145</v>
      </c>
      <c r="C2771" t="s">
        <v>2147</v>
      </c>
      <c r="D2771" s="13">
        <f>_xll.EditDistance($C$3,C2771,2)</f>
        <v>10</v>
      </c>
      <c r="E2771" s="13"/>
    </row>
    <row r="2772" spans="2:5" x14ac:dyDescent="0.2">
      <c r="B2772" t="s">
        <v>2558</v>
      </c>
      <c r="C2772" t="s">
        <v>2559</v>
      </c>
      <c r="D2772" s="13">
        <f>_xll.EditDistance($C$3,C2772,2)</f>
        <v>10</v>
      </c>
      <c r="E2772" s="13"/>
    </row>
    <row r="2773" spans="2:5" x14ac:dyDescent="0.2">
      <c r="B2773" t="s">
        <v>3304</v>
      </c>
      <c r="C2773" t="s">
        <v>3305</v>
      </c>
      <c r="D2773" s="13">
        <f>_xll.EditDistance($C$3,C2773,2)</f>
        <v>20</v>
      </c>
      <c r="E2773" s="13"/>
    </row>
    <row r="2774" spans="2:5" x14ac:dyDescent="0.2">
      <c r="B2774" t="s">
        <v>3594</v>
      </c>
      <c r="C2774" t="s">
        <v>3595</v>
      </c>
      <c r="D2774" s="13">
        <f>_xll.EditDistance($C$3,C2774,2)</f>
        <v>10</v>
      </c>
      <c r="E2774" s="13"/>
    </row>
    <row r="2775" spans="2:5" x14ac:dyDescent="0.2">
      <c r="B2775" t="s">
        <v>4524</v>
      </c>
      <c r="C2775" t="s">
        <v>4525</v>
      </c>
      <c r="D2775" s="13">
        <f>_xll.EditDistance($C$3,C2775,2)</f>
        <v>10</v>
      </c>
      <c r="E2775" s="13"/>
    </row>
    <row r="2776" spans="2:5" x14ac:dyDescent="0.2">
      <c r="B2776" t="s">
        <v>4546</v>
      </c>
      <c r="C2776" t="s">
        <v>4547</v>
      </c>
      <c r="D2776" s="13">
        <f>_xll.EditDistance($C$3,C2776,2)</f>
        <v>10</v>
      </c>
      <c r="E2776" s="13"/>
    </row>
    <row r="2777" spans="2:5" x14ac:dyDescent="0.2">
      <c r="B2777" t="s">
        <v>5785</v>
      </c>
      <c r="C2777" t="s">
        <v>5786</v>
      </c>
      <c r="D2777" s="13">
        <f>_xll.EditDistance($C$3,C2777,2)</f>
        <v>10</v>
      </c>
      <c r="E2777" s="13"/>
    </row>
    <row r="2778" spans="2:5" x14ac:dyDescent="0.2">
      <c r="B2778" t="s">
        <v>5787</v>
      </c>
      <c r="C2778" t="s">
        <v>5788</v>
      </c>
      <c r="D2778" s="13">
        <f>_xll.EditDistance($C$3,C2778,2)</f>
        <v>20</v>
      </c>
      <c r="E2778" s="13"/>
    </row>
    <row r="2779" spans="2:5" x14ac:dyDescent="0.2">
      <c r="B2779" t="s">
        <v>6459</v>
      </c>
      <c r="C2779" t="s">
        <v>6460</v>
      </c>
      <c r="D2779" s="13">
        <f>_xll.EditDistance($C$3,C2779,2)</f>
        <v>10</v>
      </c>
      <c r="E2779" s="13"/>
    </row>
    <row r="2780" spans="2:5" x14ac:dyDescent="0.2">
      <c r="B2780" t="s">
        <v>7256</v>
      </c>
      <c r="C2780" t="s">
        <v>7258</v>
      </c>
      <c r="D2780" s="13">
        <f>_xll.EditDistance($C$3,C2780,2)</f>
        <v>20</v>
      </c>
      <c r="E2780" s="13"/>
    </row>
    <row r="2781" spans="2:5" x14ac:dyDescent="0.2">
      <c r="B2781" t="s">
        <v>8319</v>
      </c>
      <c r="C2781" t="s">
        <v>8320</v>
      </c>
      <c r="D2781" s="13">
        <f>_xll.EditDistance($C$3,C2781,2)</f>
        <v>10</v>
      </c>
      <c r="E2781" s="13"/>
    </row>
    <row r="2782" spans="2:5" x14ac:dyDescent="0.2">
      <c r="B2782" t="s">
        <v>771</v>
      </c>
      <c r="C2782" t="s">
        <v>772</v>
      </c>
      <c r="D2782" s="13">
        <f>_xll.EditDistance($C$3,C2782,2)</f>
        <v>30</v>
      </c>
      <c r="E2782" s="13"/>
    </row>
    <row r="2783" spans="2:5" x14ac:dyDescent="0.2">
      <c r="B2783" t="s">
        <v>2036</v>
      </c>
      <c r="C2783" t="s">
        <v>2037</v>
      </c>
      <c r="D2783" s="13">
        <f>_xll.EditDistance($C$3,C2783,2)</f>
        <v>10</v>
      </c>
      <c r="E2783" s="13"/>
    </row>
    <row r="2784" spans="2:5" x14ac:dyDescent="0.2">
      <c r="B2784" t="s">
        <v>3500</v>
      </c>
      <c r="C2784" t="s">
        <v>3501</v>
      </c>
      <c r="D2784" s="13">
        <f>_xll.EditDistance($C$3,C2784,2)</f>
        <v>10</v>
      </c>
      <c r="E2784" s="13"/>
    </row>
    <row r="2785" spans="2:5" x14ac:dyDescent="0.2">
      <c r="B2785" t="s">
        <v>3552</v>
      </c>
      <c r="C2785" t="s">
        <v>3553</v>
      </c>
      <c r="D2785" s="13">
        <f>_xll.EditDistance($C$3,C2785,2)</f>
        <v>10</v>
      </c>
      <c r="E2785" s="13"/>
    </row>
    <row r="2786" spans="2:5" x14ac:dyDescent="0.2">
      <c r="B2786" t="s">
        <v>4535</v>
      </c>
      <c r="C2786" t="s">
        <v>4536</v>
      </c>
      <c r="D2786" s="13">
        <f>_xll.EditDistance($C$3,C2786,2)</f>
        <v>20</v>
      </c>
      <c r="E2786" s="13"/>
    </row>
    <row r="2787" spans="2:5" x14ac:dyDescent="0.2">
      <c r="B2787" t="s">
        <v>5583</v>
      </c>
      <c r="C2787" t="s">
        <v>5584</v>
      </c>
      <c r="D2787" s="13">
        <f>_xll.EditDistance($C$3,C2787,2)</f>
        <v>10</v>
      </c>
      <c r="E2787" s="13"/>
    </row>
    <row r="2788" spans="2:5" x14ac:dyDescent="0.2">
      <c r="B2788" t="s">
        <v>7446</v>
      </c>
      <c r="C2788" t="s">
        <v>7448</v>
      </c>
      <c r="D2788" s="13">
        <f>_xll.EditDistance($C$3,C2788,2)</f>
        <v>20</v>
      </c>
      <c r="E2788" s="13"/>
    </row>
    <row r="2789" spans="2:5" x14ac:dyDescent="0.2">
      <c r="B2789" t="s">
        <v>7603</v>
      </c>
      <c r="C2789" t="s">
        <v>7604</v>
      </c>
      <c r="D2789" s="13">
        <f>_xll.EditDistance($C$3,C2789,2)</f>
        <v>20</v>
      </c>
      <c r="E2789" s="13"/>
    </row>
    <row r="2790" spans="2:5" x14ac:dyDescent="0.2">
      <c r="B2790" t="s">
        <v>7794</v>
      </c>
      <c r="C2790" t="s">
        <v>7795</v>
      </c>
      <c r="D2790" s="13">
        <f>_xll.EditDistance($C$3,C2790,2)</f>
        <v>10</v>
      </c>
      <c r="E2790" s="13"/>
    </row>
    <row r="2791" spans="2:5" x14ac:dyDescent="0.2">
      <c r="B2791" t="s">
        <v>887</v>
      </c>
      <c r="C2791" t="s">
        <v>888</v>
      </c>
      <c r="D2791" s="13">
        <f>_xll.EditDistance($C$3,C2791,2)</f>
        <v>10</v>
      </c>
      <c r="E2791" s="13"/>
    </row>
    <row r="2792" spans="2:5" x14ac:dyDescent="0.2">
      <c r="B2792" t="s">
        <v>978</v>
      </c>
      <c r="C2792" t="s">
        <v>979</v>
      </c>
      <c r="D2792" s="13">
        <f>_xll.EditDistance($C$3,C2792,2)</f>
        <v>10</v>
      </c>
      <c r="E2792" s="13"/>
    </row>
    <row r="2793" spans="2:5" x14ac:dyDescent="0.2">
      <c r="B2793" t="s">
        <v>1812</v>
      </c>
      <c r="C2793" t="s">
        <v>1813</v>
      </c>
      <c r="D2793" s="13">
        <f>_xll.EditDistance($C$3,C2793,2)</f>
        <v>10</v>
      </c>
      <c r="E2793" s="13"/>
    </row>
    <row r="2794" spans="2:5" x14ac:dyDescent="0.2">
      <c r="B2794" t="s">
        <v>2156</v>
      </c>
      <c r="C2794" t="s">
        <v>2157</v>
      </c>
      <c r="D2794" s="13">
        <f>_xll.EditDistance($C$3,C2794,2)</f>
        <v>20</v>
      </c>
      <c r="E2794" s="13"/>
    </row>
    <row r="2795" spans="2:5" x14ac:dyDescent="0.2">
      <c r="B2795" t="s">
        <v>4838</v>
      </c>
      <c r="C2795" t="s">
        <v>4840</v>
      </c>
      <c r="D2795" s="13">
        <f>_xll.EditDistance($C$3,C2795,2)</f>
        <v>30</v>
      </c>
      <c r="E2795" s="13"/>
    </row>
    <row r="2796" spans="2:5" x14ac:dyDescent="0.2">
      <c r="B2796" t="s">
        <v>5781</v>
      </c>
      <c r="C2796" t="s">
        <v>5782</v>
      </c>
      <c r="D2796" s="13">
        <f>_xll.EditDistance($C$3,C2796,2)</f>
        <v>10</v>
      </c>
      <c r="E2796" s="13"/>
    </row>
    <row r="2797" spans="2:5" x14ac:dyDescent="0.2">
      <c r="B2797" t="s">
        <v>6083</v>
      </c>
      <c r="C2797" t="s">
        <v>6084</v>
      </c>
      <c r="D2797" s="13">
        <f>_xll.EditDistance($C$3,C2797,2)</f>
        <v>10</v>
      </c>
      <c r="E2797" s="13"/>
    </row>
    <row r="2798" spans="2:5" x14ac:dyDescent="0.2">
      <c r="B2798" t="s">
        <v>6127</v>
      </c>
      <c r="C2798" t="s">
        <v>6128</v>
      </c>
      <c r="D2798" s="13">
        <f>_xll.EditDistance($C$3,C2798,2)</f>
        <v>20</v>
      </c>
      <c r="E2798" s="13"/>
    </row>
    <row r="2799" spans="2:5" x14ac:dyDescent="0.2">
      <c r="B2799" t="s">
        <v>6689</v>
      </c>
      <c r="C2799" t="s">
        <v>6690</v>
      </c>
      <c r="D2799" s="13">
        <f>_xll.EditDistance($C$3,C2799,2)</f>
        <v>10</v>
      </c>
      <c r="E2799" s="13"/>
    </row>
    <row r="2800" spans="2:5" x14ac:dyDescent="0.2">
      <c r="B2800" t="s">
        <v>7776</v>
      </c>
      <c r="C2800" t="s">
        <v>7777</v>
      </c>
      <c r="D2800" s="13">
        <f>_xll.EditDistance($C$3,C2800,2)</f>
        <v>30</v>
      </c>
      <c r="E2800" s="13"/>
    </row>
    <row r="2801" spans="2:5" x14ac:dyDescent="0.2">
      <c r="B2801" t="s">
        <v>426</v>
      </c>
      <c r="C2801" t="s">
        <v>427</v>
      </c>
      <c r="D2801" s="13">
        <f>_xll.EditDistance($C$3,C2801,2)</f>
        <v>10</v>
      </c>
      <c r="E2801" s="13"/>
    </row>
    <row r="2802" spans="2:5" x14ac:dyDescent="0.2">
      <c r="B2802" s="22" t="s">
        <v>1279</v>
      </c>
      <c r="C2802" t="s">
        <v>1280</v>
      </c>
      <c r="D2802" s="13">
        <f>_xll.EditDistance($C$3,C2802,2)</f>
        <v>10</v>
      </c>
      <c r="E2802" s="13"/>
    </row>
    <row r="2803" spans="2:5" x14ac:dyDescent="0.2">
      <c r="B2803" t="s">
        <v>1326</v>
      </c>
      <c r="C2803" t="s">
        <v>1327</v>
      </c>
      <c r="D2803" s="13">
        <f>_xll.EditDistance($C$3,C2803,2)</f>
        <v>20</v>
      </c>
      <c r="E2803" s="13"/>
    </row>
    <row r="2804" spans="2:5" x14ac:dyDescent="0.2">
      <c r="B2804" t="s">
        <v>1389</v>
      </c>
      <c r="C2804" t="s">
        <v>1390</v>
      </c>
      <c r="D2804" s="13">
        <f>_xll.EditDistance($C$3,C2804,2)</f>
        <v>10</v>
      </c>
      <c r="E2804" s="13"/>
    </row>
    <row r="2805" spans="2:5" x14ac:dyDescent="0.2">
      <c r="B2805" t="s">
        <v>1929</v>
      </c>
      <c r="C2805" t="s">
        <v>1930</v>
      </c>
      <c r="D2805" s="13">
        <f>_xll.EditDistance($C$3,C2805,2)</f>
        <v>10</v>
      </c>
      <c r="E2805" s="13"/>
    </row>
    <row r="2806" spans="2:5" x14ac:dyDescent="0.2">
      <c r="B2806" t="s">
        <v>2154</v>
      </c>
      <c r="C2806" t="s">
        <v>2155</v>
      </c>
      <c r="D2806" s="13">
        <f>_xll.EditDistance($C$3,C2806,2)</f>
        <v>20</v>
      </c>
      <c r="E2806" s="13"/>
    </row>
    <row r="2807" spans="2:5" x14ac:dyDescent="0.2">
      <c r="B2807" t="s">
        <v>2373</v>
      </c>
      <c r="C2807" t="s">
        <v>2374</v>
      </c>
      <c r="D2807" s="13">
        <f>_xll.EditDistance($C$3,C2807,2)</f>
        <v>10</v>
      </c>
      <c r="E2807" s="13"/>
    </row>
    <row r="2808" spans="2:5" x14ac:dyDescent="0.2">
      <c r="B2808" t="s">
        <v>2622</v>
      </c>
      <c r="C2808" t="s">
        <v>2623</v>
      </c>
      <c r="D2808" s="13">
        <f>_xll.EditDistance($C$3,C2808,2)</f>
        <v>10</v>
      </c>
      <c r="E2808" s="13"/>
    </row>
    <row r="2809" spans="2:5" x14ac:dyDescent="0.2">
      <c r="B2809" t="s">
        <v>3195</v>
      </c>
      <c r="C2809" t="s">
        <v>3196</v>
      </c>
      <c r="D2809" s="13">
        <f>_xll.EditDistance($C$3,C2809,2)</f>
        <v>20</v>
      </c>
      <c r="E2809" s="13"/>
    </row>
    <row r="2810" spans="2:5" x14ac:dyDescent="0.2">
      <c r="B2810" t="s">
        <v>3938</v>
      </c>
      <c r="C2810" t="s">
        <v>3939</v>
      </c>
      <c r="D2810" s="13">
        <f>_xll.EditDistance($C$3,C2810,2)</f>
        <v>10</v>
      </c>
      <c r="E2810" s="13"/>
    </row>
    <row r="2811" spans="2:5" x14ac:dyDescent="0.2">
      <c r="B2811" t="s">
        <v>3985</v>
      </c>
      <c r="C2811" t="s">
        <v>3986</v>
      </c>
      <c r="D2811" s="13">
        <f>_xll.EditDistance($C$3,C2811,2)</f>
        <v>10</v>
      </c>
      <c r="E2811" s="13"/>
    </row>
    <row r="2812" spans="2:5" x14ac:dyDescent="0.2">
      <c r="B2812" t="s">
        <v>4408</v>
      </c>
      <c r="C2812" t="s">
        <v>4409</v>
      </c>
      <c r="D2812" s="13">
        <f>_xll.EditDistance($C$3,C2812,2)</f>
        <v>10</v>
      </c>
      <c r="E2812" s="13"/>
    </row>
    <row r="2813" spans="2:5" x14ac:dyDescent="0.2">
      <c r="B2813" s="22" t="s">
        <v>4619</v>
      </c>
      <c r="C2813" t="s">
        <v>4620</v>
      </c>
      <c r="D2813" s="13">
        <f>_xll.EditDistance($C$3,C2813,2)</f>
        <v>20</v>
      </c>
      <c r="E2813" s="13"/>
    </row>
    <row r="2814" spans="2:5" x14ac:dyDescent="0.2">
      <c r="B2814" t="s">
        <v>4972</v>
      </c>
      <c r="C2814" t="s">
        <v>4973</v>
      </c>
      <c r="D2814" s="13">
        <f>_xll.EditDistance($C$3,C2814,2)</f>
        <v>20</v>
      </c>
      <c r="E2814" s="13"/>
    </row>
    <row r="2815" spans="2:5" x14ac:dyDescent="0.2">
      <c r="B2815" t="s">
        <v>5041</v>
      </c>
      <c r="C2815" t="s">
        <v>5042</v>
      </c>
      <c r="D2815" s="13">
        <f>_xll.EditDistance($C$3,C2815,2)</f>
        <v>20</v>
      </c>
      <c r="E2815" s="13"/>
    </row>
    <row r="2816" spans="2:5" x14ac:dyDescent="0.2">
      <c r="B2816" t="s">
        <v>5087</v>
      </c>
      <c r="C2816" t="s">
        <v>5088</v>
      </c>
      <c r="D2816" s="13">
        <f>_xll.EditDistance($C$3,C2816,2)</f>
        <v>10</v>
      </c>
      <c r="E2816" s="13"/>
    </row>
    <row r="2817" spans="2:5" x14ac:dyDescent="0.2">
      <c r="B2817" t="s">
        <v>5312</v>
      </c>
      <c r="C2817" t="s">
        <v>5313</v>
      </c>
      <c r="D2817" s="13">
        <f>_xll.EditDistance($C$3,C2817,2)</f>
        <v>10</v>
      </c>
      <c r="E2817" s="13"/>
    </row>
    <row r="2818" spans="2:5" x14ac:dyDescent="0.2">
      <c r="B2818" t="s">
        <v>5318</v>
      </c>
      <c r="C2818" t="s">
        <v>5319</v>
      </c>
      <c r="D2818" s="13">
        <f>_xll.EditDistance($C$3,C2818,2)</f>
        <v>10</v>
      </c>
      <c r="E2818" s="13"/>
    </row>
    <row r="2819" spans="2:5" x14ac:dyDescent="0.2">
      <c r="B2819" t="s">
        <v>5696</v>
      </c>
      <c r="C2819" t="s">
        <v>5697</v>
      </c>
      <c r="D2819" s="13">
        <f>_xll.EditDistance($C$3,C2819,2)</f>
        <v>10</v>
      </c>
      <c r="E2819" s="13"/>
    </row>
    <row r="2820" spans="2:5" x14ac:dyDescent="0.2">
      <c r="B2820" t="s">
        <v>5744</v>
      </c>
      <c r="C2820" t="s">
        <v>5745</v>
      </c>
      <c r="D2820" s="13">
        <f>_xll.EditDistance($C$3,C2820,2)</f>
        <v>10</v>
      </c>
      <c r="E2820" s="13"/>
    </row>
    <row r="2821" spans="2:5" x14ac:dyDescent="0.2">
      <c r="B2821" t="s">
        <v>5910</v>
      </c>
      <c r="C2821" t="s">
        <v>5911</v>
      </c>
      <c r="D2821" s="13">
        <f>_xll.EditDistance($C$3,C2821,2)</f>
        <v>20</v>
      </c>
      <c r="E2821" s="13"/>
    </row>
    <row r="2822" spans="2:5" x14ac:dyDescent="0.2">
      <c r="B2822" t="s">
        <v>6334</v>
      </c>
      <c r="C2822" t="s">
        <v>6335</v>
      </c>
      <c r="D2822" s="13">
        <f>_xll.EditDistance($C$3,C2822,2)</f>
        <v>10</v>
      </c>
      <c r="E2822" s="13"/>
    </row>
    <row r="2823" spans="2:5" x14ac:dyDescent="0.2">
      <c r="B2823" t="s">
        <v>6687</v>
      </c>
      <c r="C2823" t="s">
        <v>6688</v>
      </c>
      <c r="D2823" s="13">
        <f>_xll.EditDistance($C$3,C2823,2)</f>
        <v>10</v>
      </c>
      <c r="E2823" s="13"/>
    </row>
    <row r="2824" spans="2:5" x14ac:dyDescent="0.2">
      <c r="B2824" t="s">
        <v>7392</v>
      </c>
      <c r="C2824" t="s">
        <v>7393</v>
      </c>
      <c r="D2824" s="13">
        <f>_xll.EditDistance($C$3,C2824,2)</f>
        <v>20</v>
      </c>
      <c r="E2824" s="13"/>
    </row>
    <row r="2825" spans="2:5" x14ac:dyDescent="0.2">
      <c r="B2825" t="s">
        <v>7707</v>
      </c>
      <c r="C2825" t="s">
        <v>7708</v>
      </c>
      <c r="D2825" s="13">
        <f>_xll.EditDistance($C$3,C2825,2)</f>
        <v>20</v>
      </c>
      <c r="E2825" s="13"/>
    </row>
    <row r="2826" spans="2:5" x14ac:dyDescent="0.2">
      <c r="B2826" t="s">
        <v>8359</v>
      </c>
      <c r="C2826" t="s">
        <v>8360</v>
      </c>
      <c r="D2826" s="13">
        <f>_xll.EditDistance($C$3,C2826,2)</f>
        <v>20</v>
      </c>
      <c r="E2826" s="13"/>
    </row>
    <row r="2827" spans="2:5" x14ac:dyDescent="0.2">
      <c r="B2827" t="s">
        <v>8623</v>
      </c>
      <c r="C2827" t="s">
        <v>8624</v>
      </c>
      <c r="D2827" s="13">
        <f>_xll.EditDistance($C$3,C2827,2)</f>
        <v>10</v>
      </c>
      <c r="E2827" s="13"/>
    </row>
    <row r="2828" spans="2:5" x14ac:dyDescent="0.2">
      <c r="B2828" t="s">
        <v>159</v>
      </c>
      <c r="C2828" t="s">
        <v>160</v>
      </c>
      <c r="D2828" s="13">
        <f>_xll.EditDistance($C$3,C2828,2)</f>
        <v>10</v>
      </c>
      <c r="E2828" s="13"/>
    </row>
    <row r="2829" spans="2:5" x14ac:dyDescent="0.2">
      <c r="B2829" t="s">
        <v>796</v>
      </c>
      <c r="C2829" t="s">
        <v>799</v>
      </c>
      <c r="D2829" s="13">
        <f>_xll.EditDistance($C$3,C2829,2)</f>
        <v>10</v>
      </c>
      <c r="E2829" s="13"/>
    </row>
    <row r="2830" spans="2:5" x14ac:dyDescent="0.2">
      <c r="B2830" t="s">
        <v>905</v>
      </c>
      <c r="C2830" t="s">
        <v>906</v>
      </c>
      <c r="D2830" s="13">
        <f>_xll.EditDistance($C$3,C2830,2)</f>
        <v>10</v>
      </c>
      <c r="E2830" s="13"/>
    </row>
    <row r="2831" spans="2:5" x14ac:dyDescent="0.2">
      <c r="B2831" t="s">
        <v>1184</v>
      </c>
      <c r="C2831" t="s">
        <v>1185</v>
      </c>
      <c r="D2831" s="13">
        <f>_xll.EditDistance($C$3,C2831,2)</f>
        <v>20</v>
      </c>
      <c r="E2831" s="13"/>
    </row>
    <row r="2832" spans="2:5" x14ac:dyDescent="0.2">
      <c r="B2832" t="s">
        <v>1434</v>
      </c>
      <c r="C2832" t="s">
        <v>1435</v>
      </c>
      <c r="D2832" s="13">
        <f>_xll.EditDistance($C$3,C2832,2)</f>
        <v>10</v>
      </c>
      <c r="E2832" s="13"/>
    </row>
    <row r="2833" spans="2:5" x14ac:dyDescent="0.2">
      <c r="B2833" t="s">
        <v>1838</v>
      </c>
      <c r="C2833" t="s">
        <v>1839</v>
      </c>
      <c r="D2833" s="13">
        <f>_xll.EditDistance($C$3,C2833,2)</f>
        <v>20</v>
      </c>
      <c r="E2833" s="13"/>
    </row>
    <row r="2834" spans="2:5" x14ac:dyDescent="0.2">
      <c r="B2834" s="22" t="s">
        <v>2223</v>
      </c>
      <c r="C2834" t="s">
        <v>2224</v>
      </c>
      <c r="D2834" s="13">
        <f>_xll.EditDistance($C$3,C2834,2)</f>
        <v>10</v>
      </c>
      <c r="E2834" s="13"/>
    </row>
    <row r="2835" spans="2:5" x14ac:dyDescent="0.2">
      <c r="B2835" t="s">
        <v>2907</v>
      </c>
      <c r="C2835" t="s">
        <v>2908</v>
      </c>
      <c r="D2835" s="13">
        <f>_xll.EditDistance($C$3,C2835,2)</f>
        <v>10</v>
      </c>
      <c r="E2835" s="13"/>
    </row>
    <row r="2836" spans="2:5" x14ac:dyDescent="0.2">
      <c r="B2836" t="s">
        <v>2975</v>
      </c>
      <c r="C2836" t="s">
        <v>2977</v>
      </c>
      <c r="D2836" s="13">
        <f>_xll.EditDistance($C$3,C2836,2)</f>
        <v>54</v>
      </c>
      <c r="E2836" s="13"/>
    </row>
    <row r="2837" spans="2:5" x14ac:dyDescent="0.2">
      <c r="B2837" t="s">
        <v>3000</v>
      </c>
      <c r="C2837" t="s">
        <v>3001</v>
      </c>
      <c r="D2837" s="13">
        <f>_xll.EditDistance($C$3,C2837,2)</f>
        <v>10</v>
      </c>
      <c r="E2837" s="13"/>
    </row>
    <row r="2838" spans="2:5" x14ac:dyDescent="0.2">
      <c r="B2838" t="s">
        <v>3390</v>
      </c>
      <c r="C2838" t="s">
        <v>3391</v>
      </c>
      <c r="D2838" s="13">
        <f>_xll.EditDistance($C$3,C2838,2)</f>
        <v>20</v>
      </c>
      <c r="E2838" s="13"/>
    </row>
    <row r="2839" spans="2:5" x14ac:dyDescent="0.2">
      <c r="B2839" t="s">
        <v>3399</v>
      </c>
      <c r="C2839" t="s">
        <v>3400</v>
      </c>
      <c r="D2839" s="13">
        <f>_xll.EditDistance($C$3,C2839,2)</f>
        <v>10</v>
      </c>
      <c r="E2839" s="13"/>
    </row>
    <row r="2840" spans="2:5" x14ac:dyDescent="0.2">
      <c r="B2840" s="22" t="s">
        <v>3882</v>
      </c>
      <c r="C2840" t="s">
        <v>3883</v>
      </c>
      <c r="D2840" s="13">
        <f>_xll.EditDistance($C$3,C2840,2)</f>
        <v>10</v>
      </c>
      <c r="E2840" s="13"/>
    </row>
    <row r="2841" spans="2:5" x14ac:dyDescent="0.2">
      <c r="B2841" t="s">
        <v>4780</v>
      </c>
      <c r="C2841" t="s">
        <v>4781</v>
      </c>
      <c r="D2841" s="13">
        <f>_xll.EditDistance($C$3,C2841,2)</f>
        <v>10</v>
      </c>
      <c r="E2841" s="13"/>
    </row>
    <row r="2842" spans="2:5" x14ac:dyDescent="0.2">
      <c r="B2842" t="s">
        <v>4816</v>
      </c>
      <c r="C2842" t="s">
        <v>4817</v>
      </c>
      <c r="D2842" s="13">
        <f>_xll.EditDistance($C$3,C2842,2)</f>
        <v>20</v>
      </c>
      <c r="E2842" s="13"/>
    </row>
    <row r="2843" spans="2:5" x14ac:dyDescent="0.2">
      <c r="B2843" t="s">
        <v>5020</v>
      </c>
      <c r="C2843" t="s">
        <v>5022</v>
      </c>
      <c r="D2843" s="13">
        <f>_xll.EditDistance($C$3,C2843,2)</f>
        <v>60</v>
      </c>
      <c r="E2843" s="13"/>
    </row>
    <row r="2844" spans="2:5" x14ac:dyDescent="0.2">
      <c r="B2844" t="s">
        <v>5126</v>
      </c>
      <c r="C2844" t="s">
        <v>5127</v>
      </c>
      <c r="D2844" s="13">
        <f>_xll.EditDistance($C$3,C2844,2)</f>
        <v>20</v>
      </c>
      <c r="E2844" s="13"/>
    </row>
    <row r="2845" spans="2:5" x14ac:dyDescent="0.2">
      <c r="B2845" t="s">
        <v>5511</v>
      </c>
      <c r="C2845" t="s">
        <v>5512</v>
      </c>
      <c r="D2845" s="13">
        <f>_xll.EditDistance($C$3,C2845,2)</f>
        <v>20</v>
      </c>
      <c r="E2845" s="13"/>
    </row>
    <row r="2846" spans="2:5" x14ac:dyDescent="0.2">
      <c r="B2846" t="s">
        <v>5602</v>
      </c>
      <c r="C2846" t="s">
        <v>5603</v>
      </c>
      <c r="D2846" s="13">
        <f>_xll.EditDistance($C$3,C2846,2)</f>
        <v>10</v>
      </c>
      <c r="E2846" s="13"/>
    </row>
    <row r="2847" spans="2:5" x14ac:dyDescent="0.2">
      <c r="B2847" t="s">
        <v>5742</v>
      </c>
      <c r="C2847" t="s">
        <v>5743</v>
      </c>
      <c r="D2847" s="13">
        <f>_xll.EditDistance($C$3,C2847,2)</f>
        <v>20</v>
      </c>
      <c r="E2847" s="13"/>
    </row>
    <row r="2848" spans="2:5" x14ac:dyDescent="0.2">
      <c r="B2848" t="s">
        <v>6250</v>
      </c>
      <c r="C2848" t="s">
        <v>6251</v>
      </c>
      <c r="D2848" s="13">
        <f>_xll.EditDistance($C$3,C2848,2)</f>
        <v>10</v>
      </c>
      <c r="E2848" s="13"/>
    </row>
    <row r="2849" spans="2:5" x14ac:dyDescent="0.2">
      <c r="B2849" t="s">
        <v>6580</v>
      </c>
      <c r="C2849" t="s">
        <v>6581</v>
      </c>
      <c r="D2849" s="13">
        <f>_xll.EditDistance($C$3,C2849,2)</f>
        <v>20</v>
      </c>
      <c r="E2849" s="13"/>
    </row>
    <row r="2850" spans="2:5" x14ac:dyDescent="0.2">
      <c r="B2850" t="s">
        <v>6631</v>
      </c>
      <c r="C2850" t="s">
        <v>6632</v>
      </c>
      <c r="D2850" s="13">
        <f>_xll.EditDistance($C$3,C2850,2)</f>
        <v>10</v>
      </c>
      <c r="E2850" s="13"/>
    </row>
    <row r="2851" spans="2:5" x14ac:dyDescent="0.2">
      <c r="B2851" t="s">
        <v>6907</v>
      </c>
      <c r="C2851" t="s">
        <v>6908</v>
      </c>
      <c r="D2851" s="13">
        <f>_xll.EditDistance($C$3,C2851,2)</f>
        <v>10</v>
      </c>
      <c r="E2851" s="13"/>
    </row>
    <row r="2852" spans="2:5" x14ac:dyDescent="0.2">
      <c r="B2852" t="s">
        <v>8042</v>
      </c>
      <c r="C2852" t="s">
        <v>8043</v>
      </c>
      <c r="D2852" s="13">
        <f>_xll.EditDistance($C$3,C2852,2)</f>
        <v>20</v>
      </c>
      <c r="E2852" s="13"/>
    </row>
    <row r="2853" spans="2:5" x14ac:dyDescent="0.2">
      <c r="B2853" t="s">
        <v>8226</v>
      </c>
      <c r="C2853" t="s">
        <v>8227</v>
      </c>
      <c r="D2853" s="13">
        <f>_xll.EditDistance($C$3,C2853,2)</f>
        <v>10</v>
      </c>
      <c r="E2853" s="13"/>
    </row>
    <row r="2854" spans="2:5" x14ac:dyDescent="0.2">
      <c r="B2854" t="s">
        <v>8425</v>
      </c>
      <c r="C2854" t="s">
        <v>8426</v>
      </c>
      <c r="D2854" s="13">
        <f>_xll.EditDistance($C$3,C2854,2)</f>
        <v>10</v>
      </c>
      <c r="E2854" s="13"/>
    </row>
    <row r="2855" spans="2:5" x14ac:dyDescent="0.2">
      <c r="B2855" t="s">
        <v>8437</v>
      </c>
      <c r="C2855" t="s">
        <v>8438</v>
      </c>
      <c r="D2855" s="13">
        <f>_xll.EditDistance($C$3,C2855,2)</f>
        <v>20</v>
      </c>
      <c r="E2855" s="13"/>
    </row>
    <row r="2856" spans="2:5" x14ac:dyDescent="0.2">
      <c r="B2856" t="s">
        <v>8530</v>
      </c>
      <c r="C2856" t="s">
        <v>8531</v>
      </c>
      <c r="D2856" s="13">
        <f>_xll.EditDistance($C$3,C2856,2)</f>
        <v>20</v>
      </c>
      <c r="E2856" s="13"/>
    </row>
    <row r="2857" spans="2:5" x14ac:dyDescent="0.2">
      <c r="B2857" t="s">
        <v>253</v>
      </c>
      <c r="C2857" t="s">
        <v>254</v>
      </c>
      <c r="D2857" s="13">
        <f>_xll.EditDistance($C$3,C2857,2)</f>
        <v>10</v>
      </c>
      <c r="E2857" s="13"/>
    </row>
    <row r="2858" spans="2:5" x14ac:dyDescent="0.2">
      <c r="B2858" t="s">
        <v>357</v>
      </c>
      <c r="C2858" t="s">
        <v>358</v>
      </c>
      <c r="D2858" s="13">
        <f>_xll.EditDistance($C$3,C2858,2)</f>
        <v>10</v>
      </c>
      <c r="E2858" s="13"/>
    </row>
    <row r="2859" spans="2:5" x14ac:dyDescent="0.2">
      <c r="B2859" t="s">
        <v>416</v>
      </c>
      <c r="C2859" t="s">
        <v>417</v>
      </c>
      <c r="D2859" s="13">
        <f>_xll.EditDistance($C$3,C2859,2)</f>
        <v>10</v>
      </c>
      <c r="E2859" s="13"/>
    </row>
    <row r="2860" spans="2:5" x14ac:dyDescent="0.2">
      <c r="B2860" t="s">
        <v>746</v>
      </c>
      <c r="C2860" t="s">
        <v>747</v>
      </c>
      <c r="D2860" s="13">
        <f>_xll.EditDistance($C$3,C2860,2)</f>
        <v>10</v>
      </c>
      <c r="E2860" s="13"/>
    </row>
    <row r="2861" spans="2:5" x14ac:dyDescent="0.2">
      <c r="B2861" t="s">
        <v>759</v>
      </c>
      <c r="C2861" t="s">
        <v>760</v>
      </c>
      <c r="D2861" s="13">
        <f>_xll.EditDistance($C$3,C2861,2)</f>
        <v>10</v>
      </c>
      <c r="E2861" s="13"/>
    </row>
    <row r="2862" spans="2:5" x14ac:dyDescent="0.2">
      <c r="B2862" t="s">
        <v>1038</v>
      </c>
      <c r="C2862" t="s">
        <v>1039</v>
      </c>
      <c r="D2862" s="13">
        <f>_xll.EditDistance($C$3,C2862,2)</f>
        <v>20</v>
      </c>
      <c r="E2862" s="13"/>
    </row>
    <row r="2863" spans="2:5" x14ac:dyDescent="0.2">
      <c r="B2863" t="s">
        <v>1210</v>
      </c>
      <c r="C2863" t="s">
        <v>1211</v>
      </c>
      <c r="D2863" s="13">
        <f>_xll.EditDistance($C$3,C2863,2)</f>
        <v>10</v>
      </c>
      <c r="E2863" s="13"/>
    </row>
    <row r="2864" spans="2:5" x14ac:dyDescent="0.2">
      <c r="B2864" t="s">
        <v>1405</v>
      </c>
      <c r="C2864" t="s">
        <v>1406</v>
      </c>
      <c r="D2864" s="13">
        <f>_xll.EditDistance($C$3,C2864,2)</f>
        <v>10</v>
      </c>
      <c r="E2864" s="13"/>
    </row>
    <row r="2865" spans="2:5" x14ac:dyDescent="0.2">
      <c r="B2865" t="s">
        <v>1909</v>
      </c>
      <c r="C2865" t="s">
        <v>1911</v>
      </c>
      <c r="D2865" s="13">
        <f>_xll.EditDistance($C$3,C2865,2)</f>
        <v>20</v>
      </c>
      <c r="E2865" s="13"/>
    </row>
    <row r="2866" spans="2:5" x14ac:dyDescent="0.2">
      <c r="B2866" t="s">
        <v>2351</v>
      </c>
      <c r="C2866" t="s">
        <v>2352</v>
      </c>
      <c r="D2866" s="13">
        <f>_xll.EditDistance($C$3,C2866,2)</f>
        <v>10</v>
      </c>
      <c r="E2866" s="13"/>
    </row>
    <row r="2867" spans="2:5" x14ac:dyDescent="0.2">
      <c r="B2867" t="s">
        <v>2636</v>
      </c>
      <c r="C2867" t="s">
        <v>2637</v>
      </c>
      <c r="D2867" s="13">
        <f>_xll.EditDistance($C$3,C2867,2)</f>
        <v>10</v>
      </c>
      <c r="E2867" s="13"/>
    </row>
    <row r="2868" spans="2:5" x14ac:dyDescent="0.2">
      <c r="B2868" t="s">
        <v>2748</v>
      </c>
      <c r="C2868" t="s">
        <v>2749</v>
      </c>
      <c r="D2868" s="13">
        <f>_xll.EditDistance($C$3,C2868,2)</f>
        <v>20</v>
      </c>
      <c r="E2868" s="13"/>
    </row>
    <row r="2869" spans="2:5" x14ac:dyDescent="0.2">
      <c r="B2869" t="s">
        <v>3203</v>
      </c>
      <c r="C2869" t="s">
        <v>3204</v>
      </c>
      <c r="D2869" s="13">
        <f>_xll.EditDistance($C$3,C2869,2)</f>
        <v>20</v>
      </c>
      <c r="E2869" s="13"/>
    </row>
    <row r="2870" spans="2:5" x14ac:dyDescent="0.2">
      <c r="B2870" t="s">
        <v>3520</v>
      </c>
      <c r="C2870" t="s">
        <v>3521</v>
      </c>
      <c r="D2870" s="13">
        <f>_xll.EditDistance($C$3,C2870,2)</f>
        <v>10</v>
      </c>
      <c r="E2870" s="13"/>
    </row>
    <row r="2871" spans="2:5" x14ac:dyDescent="0.2">
      <c r="B2871" s="22" t="s">
        <v>3694</v>
      </c>
      <c r="C2871" t="s">
        <v>3695</v>
      </c>
      <c r="D2871" s="13">
        <f>_xll.EditDistance($C$3,C2871,2)</f>
        <v>20</v>
      </c>
      <c r="E2871" s="13"/>
    </row>
    <row r="2872" spans="2:5" x14ac:dyDescent="0.2">
      <c r="B2872" t="s">
        <v>3742</v>
      </c>
      <c r="C2872" t="s">
        <v>3743</v>
      </c>
      <c r="D2872" s="13">
        <f>_xll.EditDistance($C$3,C2872,2)</f>
        <v>10</v>
      </c>
      <c r="E2872" s="13"/>
    </row>
    <row r="2873" spans="2:5" x14ac:dyDescent="0.2">
      <c r="B2873" t="s">
        <v>3864</v>
      </c>
      <c r="C2873" t="s">
        <v>3865</v>
      </c>
      <c r="D2873" s="13">
        <f>_xll.EditDistance($C$3,C2873,2)</f>
        <v>18</v>
      </c>
      <c r="E2873" s="13"/>
    </row>
    <row r="2874" spans="2:5" x14ac:dyDescent="0.2">
      <c r="B2874" t="s">
        <v>4151</v>
      </c>
      <c r="C2874" t="s">
        <v>4152</v>
      </c>
      <c r="D2874" s="13">
        <f>_xll.EditDistance($C$3,C2874,2)</f>
        <v>10</v>
      </c>
      <c r="E2874" s="13"/>
    </row>
    <row r="2875" spans="2:5" x14ac:dyDescent="0.2">
      <c r="B2875" t="s">
        <v>4487</v>
      </c>
      <c r="C2875" t="s">
        <v>4488</v>
      </c>
      <c r="D2875" s="13">
        <f>_xll.EditDistance($C$3,C2875,2)</f>
        <v>10</v>
      </c>
      <c r="E2875" s="13"/>
    </row>
    <row r="2876" spans="2:5" x14ac:dyDescent="0.2">
      <c r="B2876" t="s">
        <v>5020</v>
      </c>
      <c r="C2876" t="s">
        <v>5021</v>
      </c>
      <c r="D2876" s="13">
        <f>_xll.EditDistance($C$3,C2876,2)</f>
        <v>60</v>
      </c>
      <c r="E2876" s="13"/>
    </row>
    <row r="2877" spans="2:5" x14ac:dyDescent="0.2">
      <c r="B2877" t="s">
        <v>5451</v>
      </c>
      <c r="C2877" t="s">
        <v>5452</v>
      </c>
      <c r="D2877" s="13">
        <f>_xll.EditDistance($C$3,C2877,2)</f>
        <v>10</v>
      </c>
      <c r="E2877" s="13"/>
    </row>
    <row r="2878" spans="2:5" x14ac:dyDescent="0.2">
      <c r="B2878" t="s">
        <v>5497</v>
      </c>
      <c r="C2878" t="s">
        <v>5498</v>
      </c>
      <c r="D2878" s="13">
        <f>_xll.EditDistance($C$3,C2878,2)</f>
        <v>10</v>
      </c>
      <c r="E2878" s="13"/>
    </row>
    <row r="2879" spans="2:5" x14ac:dyDescent="0.2">
      <c r="B2879" t="s">
        <v>5581</v>
      </c>
      <c r="C2879" t="s">
        <v>5582</v>
      </c>
      <c r="D2879" s="13">
        <f>_xll.EditDistance($C$3,C2879,2)</f>
        <v>20</v>
      </c>
      <c r="E2879" s="13"/>
    </row>
    <row r="2880" spans="2:5" x14ac:dyDescent="0.2">
      <c r="B2880" t="s">
        <v>5724</v>
      </c>
      <c r="C2880" t="s">
        <v>5725</v>
      </c>
      <c r="D2880" s="13">
        <f>_xll.EditDistance($C$3,C2880,2)</f>
        <v>10</v>
      </c>
      <c r="E2880" s="13"/>
    </row>
    <row r="2881" spans="2:5" x14ac:dyDescent="0.2">
      <c r="B2881" t="s">
        <v>5806</v>
      </c>
      <c r="C2881" t="s">
        <v>5807</v>
      </c>
      <c r="D2881" s="13">
        <f>_xll.EditDistance($C$3,C2881,2)</f>
        <v>10</v>
      </c>
      <c r="E2881" s="13"/>
    </row>
    <row r="2882" spans="2:5" x14ac:dyDescent="0.2">
      <c r="B2882" t="s">
        <v>6351</v>
      </c>
      <c r="C2882" t="s">
        <v>6352</v>
      </c>
      <c r="D2882" s="13">
        <f>_xll.EditDistance($C$3,C2882,2)</f>
        <v>10</v>
      </c>
      <c r="E2882" s="13"/>
    </row>
    <row r="2883" spans="2:5" x14ac:dyDescent="0.2">
      <c r="B2883" t="s">
        <v>6395</v>
      </c>
      <c r="C2883" t="s">
        <v>6396</v>
      </c>
      <c r="D2883" s="13">
        <f>_xll.EditDistance($C$3,C2883,2)</f>
        <v>10</v>
      </c>
      <c r="E2883" s="13"/>
    </row>
    <row r="2884" spans="2:5" x14ac:dyDescent="0.2">
      <c r="B2884" t="s">
        <v>6438</v>
      </c>
      <c r="C2884" t="s">
        <v>6439</v>
      </c>
      <c r="D2884" s="13">
        <f>_xll.EditDistance($C$3,C2884,2)</f>
        <v>18</v>
      </c>
      <c r="E2884" s="13"/>
    </row>
    <row r="2885" spans="2:5" x14ac:dyDescent="0.2">
      <c r="B2885" t="s">
        <v>6494</v>
      </c>
      <c r="C2885" t="s">
        <v>6495</v>
      </c>
      <c r="D2885" s="13">
        <f>_xll.EditDistance($C$3,C2885,2)</f>
        <v>10</v>
      </c>
      <c r="E2885" s="13"/>
    </row>
    <row r="2886" spans="2:5" x14ac:dyDescent="0.2">
      <c r="B2886" t="s">
        <v>7533</v>
      </c>
      <c r="C2886" t="s">
        <v>7534</v>
      </c>
      <c r="D2886" s="13">
        <f>_xll.EditDistance($C$3,C2886,2)</f>
        <v>10</v>
      </c>
      <c r="E2886" s="13"/>
    </row>
    <row r="2887" spans="2:5" x14ac:dyDescent="0.2">
      <c r="B2887" t="s">
        <v>7561</v>
      </c>
      <c r="C2887" t="s">
        <v>7562</v>
      </c>
      <c r="D2887" s="13">
        <f>_xll.EditDistance($C$3,C2887,2)</f>
        <v>20</v>
      </c>
      <c r="E2887" s="13"/>
    </row>
    <row r="2888" spans="2:5" x14ac:dyDescent="0.2">
      <c r="B2888" t="s">
        <v>7796</v>
      </c>
      <c r="C2888" t="s">
        <v>7797</v>
      </c>
      <c r="D2888" s="13">
        <f>_xll.EditDistance($C$3,C2888,2)</f>
        <v>10</v>
      </c>
      <c r="E2888" s="13"/>
    </row>
    <row r="2889" spans="2:5" x14ac:dyDescent="0.2">
      <c r="B2889" t="s">
        <v>8106</v>
      </c>
      <c r="C2889" t="s">
        <v>8107</v>
      </c>
      <c r="D2889" s="13">
        <f>_xll.EditDistance($C$3,C2889,2)</f>
        <v>10</v>
      </c>
      <c r="E2889" s="13"/>
    </row>
    <row r="2890" spans="2:5" x14ac:dyDescent="0.2">
      <c r="B2890" t="s">
        <v>8509</v>
      </c>
      <c r="C2890" t="s">
        <v>8510</v>
      </c>
      <c r="D2890" s="13">
        <f>_xll.EditDistance($C$3,C2890,2)</f>
        <v>10</v>
      </c>
      <c r="E2890" s="13"/>
    </row>
    <row r="2891" spans="2:5" x14ac:dyDescent="0.2">
      <c r="B2891" t="s">
        <v>132</v>
      </c>
      <c r="C2891" t="s">
        <v>133</v>
      </c>
      <c r="D2891" s="13">
        <f>_xll.EditDistance($C$3,C2891,2)</f>
        <v>10</v>
      </c>
      <c r="E2891" s="13"/>
    </row>
    <row r="2892" spans="2:5" x14ac:dyDescent="0.2">
      <c r="B2892" t="s">
        <v>180</v>
      </c>
      <c r="C2892" t="s">
        <v>181</v>
      </c>
      <c r="D2892" s="13">
        <f>_xll.EditDistance($C$3,C2892,2)</f>
        <v>10</v>
      </c>
      <c r="E2892" s="13"/>
    </row>
    <row r="2893" spans="2:5" x14ac:dyDescent="0.2">
      <c r="B2893" t="s">
        <v>200</v>
      </c>
      <c r="C2893" t="s">
        <v>201</v>
      </c>
      <c r="D2893" s="13">
        <f>_xll.EditDistance($C$3,C2893,2)</f>
        <v>10</v>
      </c>
      <c r="E2893" s="13"/>
    </row>
    <row r="2894" spans="2:5" x14ac:dyDescent="0.2">
      <c r="B2894" t="s">
        <v>202</v>
      </c>
      <c r="C2894" t="s">
        <v>203</v>
      </c>
      <c r="D2894" s="13">
        <f>_xll.EditDistance($C$3,C2894,2)</f>
        <v>10</v>
      </c>
      <c r="E2894" s="13"/>
    </row>
    <row r="2895" spans="2:5" x14ac:dyDescent="0.2">
      <c r="B2895" t="s">
        <v>218</v>
      </c>
      <c r="C2895" t="s">
        <v>219</v>
      </c>
      <c r="D2895" s="13">
        <f>_xll.EditDistance($C$3,C2895,2)</f>
        <v>10</v>
      </c>
      <c r="E2895" s="13"/>
    </row>
    <row r="2896" spans="2:5" x14ac:dyDescent="0.2">
      <c r="B2896" t="s">
        <v>235</v>
      </c>
      <c r="C2896" t="s">
        <v>236</v>
      </c>
      <c r="D2896" s="13">
        <f>_xll.EditDistance($C$3,C2896,2)</f>
        <v>10</v>
      </c>
      <c r="E2896" s="13"/>
    </row>
    <row r="2897" spans="2:5" x14ac:dyDescent="0.2">
      <c r="B2897" t="s">
        <v>294</v>
      </c>
      <c r="C2897" t="s">
        <v>295</v>
      </c>
      <c r="D2897" s="13">
        <f>_xll.EditDistance($C$3,C2897,2)</f>
        <v>10</v>
      </c>
      <c r="E2897" s="13"/>
    </row>
    <row r="2898" spans="2:5" x14ac:dyDescent="0.2">
      <c r="B2898" t="s">
        <v>329</v>
      </c>
      <c r="C2898" t="s">
        <v>330</v>
      </c>
      <c r="D2898" s="13">
        <f>_xll.EditDistance($C$3,C2898,2)</f>
        <v>10</v>
      </c>
      <c r="E2898" s="13"/>
    </row>
    <row r="2899" spans="2:5" x14ac:dyDescent="0.2">
      <c r="B2899" t="s">
        <v>345</v>
      </c>
      <c r="C2899" t="s">
        <v>346</v>
      </c>
      <c r="D2899" s="13">
        <f>_xll.EditDistance($C$3,C2899,2)</f>
        <v>10</v>
      </c>
      <c r="E2899" s="13"/>
    </row>
    <row r="2900" spans="2:5" x14ac:dyDescent="0.2">
      <c r="B2900" t="s">
        <v>402</v>
      </c>
      <c r="C2900" t="s">
        <v>403</v>
      </c>
      <c r="D2900" s="13">
        <f>_xll.EditDistance($C$3,C2900,2)</f>
        <v>10</v>
      </c>
      <c r="E2900" s="13"/>
    </row>
    <row r="2901" spans="2:5" x14ac:dyDescent="0.2">
      <c r="B2901" t="s">
        <v>424</v>
      </c>
      <c r="C2901" t="s">
        <v>425</v>
      </c>
      <c r="D2901" s="13">
        <f>_xll.EditDistance($C$3,C2901,2)</f>
        <v>10</v>
      </c>
      <c r="E2901" s="13"/>
    </row>
    <row r="2902" spans="2:5" x14ac:dyDescent="0.2">
      <c r="B2902" t="s">
        <v>484</v>
      </c>
      <c r="C2902" t="s">
        <v>485</v>
      </c>
      <c r="D2902" s="13">
        <f>_xll.EditDistance($C$3,C2902,2)</f>
        <v>10</v>
      </c>
      <c r="E2902" s="13"/>
    </row>
    <row r="2903" spans="2:5" x14ac:dyDescent="0.2">
      <c r="B2903" t="s">
        <v>494</v>
      </c>
      <c r="C2903" t="s">
        <v>495</v>
      </c>
      <c r="D2903" s="13">
        <f>_xll.EditDistance($C$3,C2903,2)</f>
        <v>10</v>
      </c>
      <c r="E2903" s="13"/>
    </row>
    <row r="2904" spans="2:5" x14ac:dyDescent="0.2">
      <c r="B2904" s="22" t="s">
        <v>540</v>
      </c>
      <c r="C2904" t="s">
        <v>541</v>
      </c>
      <c r="D2904" s="13">
        <f>_xll.EditDistance($C$3,C2904,2)</f>
        <v>10</v>
      </c>
      <c r="E2904" s="13"/>
    </row>
    <row r="2905" spans="2:5" x14ac:dyDescent="0.2">
      <c r="B2905" t="s">
        <v>580</v>
      </c>
      <c r="C2905" t="s">
        <v>581</v>
      </c>
      <c r="D2905" s="13">
        <f>_xll.EditDistance($C$3,C2905,2)</f>
        <v>10</v>
      </c>
      <c r="E2905" s="13"/>
    </row>
    <row r="2906" spans="2:5" x14ac:dyDescent="0.2">
      <c r="B2906" t="s">
        <v>593</v>
      </c>
      <c r="C2906" t="s">
        <v>594</v>
      </c>
      <c r="D2906" s="13">
        <f>_xll.EditDistance($C$3,C2906,2)</f>
        <v>10</v>
      </c>
      <c r="E2906" s="13"/>
    </row>
    <row r="2907" spans="2:5" x14ac:dyDescent="0.2">
      <c r="B2907" t="s">
        <v>613</v>
      </c>
      <c r="C2907" t="s">
        <v>614</v>
      </c>
      <c r="D2907" s="13">
        <f>_xll.EditDistance($C$3,C2907,2)</f>
        <v>10</v>
      </c>
      <c r="E2907" s="13"/>
    </row>
    <row r="2908" spans="2:5" x14ac:dyDescent="0.2">
      <c r="B2908" t="s">
        <v>626</v>
      </c>
      <c r="C2908" t="s">
        <v>627</v>
      </c>
      <c r="D2908" s="13">
        <f>_xll.EditDistance($C$3,C2908,2)</f>
        <v>10</v>
      </c>
      <c r="E2908" s="13"/>
    </row>
    <row r="2909" spans="2:5" x14ac:dyDescent="0.2">
      <c r="B2909" t="s">
        <v>644</v>
      </c>
      <c r="C2909" t="s">
        <v>645</v>
      </c>
      <c r="D2909" s="13">
        <f>_xll.EditDistance($C$3,C2909,2)</f>
        <v>10</v>
      </c>
      <c r="E2909" s="13"/>
    </row>
    <row r="2910" spans="2:5" x14ac:dyDescent="0.2">
      <c r="B2910" t="s">
        <v>644</v>
      </c>
      <c r="C2910" t="s">
        <v>646</v>
      </c>
      <c r="D2910" s="13">
        <f>_xll.EditDistance($C$3,C2910,2)</f>
        <v>10</v>
      </c>
      <c r="E2910" s="13"/>
    </row>
    <row r="2911" spans="2:5" x14ac:dyDescent="0.2">
      <c r="B2911" t="s">
        <v>644</v>
      </c>
      <c r="C2911" t="s">
        <v>648</v>
      </c>
      <c r="D2911" s="13">
        <f>_xll.EditDistance($C$3,C2911,2)</f>
        <v>10</v>
      </c>
      <c r="E2911" s="13"/>
    </row>
    <row r="2912" spans="2:5" x14ac:dyDescent="0.2">
      <c r="B2912" t="s">
        <v>654</v>
      </c>
      <c r="C2912" t="s">
        <v>655</v>
      </c>
      <c r="D2912" s="13">
        <f>_xll.EditDistance($C$3,C2912,2)</f>
        <v>10</v>
      </c>
      <c r="E2912" s="13"/>
    </row>
    <row r="2913" spans="2:5" x14ac:dyDescent="0.2">
      <c r="B2913" t="s">
        <v>695</v>
      </c>
      <c r="C2913" t="s">
        <v>696</v>
      </c>
      <c r="D2913" s="13">
        <f>_xll.EditDistance($C$3,C2913,2)</f>
        <v>10</v>
      </c>
      <c r="E2913" s="13"/>
    </row>
    <row r="2914" spans="2:5" x14ac:dyDescent="0.2">
      <c r="B2914" t="s">
        <v>716</v>
      </c>
      <c r="C2914" t="s">
        <v>719</v>
      </c>
      <c r="D2914" s="13">
        <f>_xll.EditDistance($C$3,C2914,2)</f>
        <v>20</v>
      </c>
      <c r="E2914" s="13"/>
    </row>
    <row r="2915" spans="2:5" x14ac:dyDescent="0.2">
      <c r="B2915" t="s">
        <v>738</v>
      </c>
      <c r="C2915" t="s">
        <v>739</v>
      </c>
      <c r="D2915" s="13">
        <f>_xll.EditDistance($C$3,C2915,2)</f>
        <v>10</v>
      </c>
      <c r="E2915" s="13"/>
    </row>
    <row r="2916" spans="2:5" x14ac:dyDescent="0.2">
      <c r="B2916" t="s">
        <v>742</v>
      </c>
      <c r="C2916" t="s">
        <v>743</v>
      </c>
      <c r="D2916" s="13">
        <f>_xll.EditDistance($C$3,C2916,2)</f>
        <v>20</v>
      </c>
      <c r="E2916" s="13"/>
    </row>
    <row r="2917" spans="2:5" x14ac:dyDescent="0.2">
      <c r="B2917" t="s">
        <v>781</v>
      </c>
      <c r="C2917" t="s">
        <v>782</v>
      </c>
      <c r="D2917" s="13">
        <f>_xll.EditDistance($C$3,C2917,2)</f>
        <v>10</v>
      </c>
      <c r="E2917" s="13"/>
    </row>
    <row r="2918" spans="2:5" x14ac:dyDescent="0.2">
      <c r="B2918" t="s">
        <v>828</v>
      </c>
      <c r="C2918" t="s">
        <v>829</v>
      </c>
      <c r="D2918" s="13">
        <f>_xll.EditDistance($C$3,C2918,2)</f>
        <v>10</v>
      </c>
      <c r="E2918" s="13"/>
    </row>
    <row r="2919" spans="2:5" x14ac:dyDescent="0.2">
      <c r="B2919" t="s">
        <v>875</v>
      </c>
      <c r="C2919" t="s">
        <v>876</v>
      </c>
      <c r="D2919" s="13">
        <f>_xll.EditDistance($C$3,C2919,2)</f>
        <v>10</v>
      </c>
      <c r="E2919" s="13"/>
    </row>
    <row r="2920" spans="2:5" x14ac:dyDescent="0.2">
      <c r="B2920" t="s">
        <v>903</v>
      </c>
      <c r="C2920" t="s">
        <v>904</v>
      </c>
      <c r="D2920" s="13">
        <f>_xll.EditDistance($C$3,C2920,2)</f>
        <v>10</v>
      </c>
      <c r="E2920" s="13"/>
    </row>
    <row r="2921" spans="2:5" x14ac:dyDescent="0.2">
      <c r="B2921" t="s">
        <v>1012</v>
      </c>
      <c r="C2921" t="s">
        <v>1013</v>
      </c>
      <c r="D2921" s="13">
        <f>_xll.EditDistance($C$3,C2921,2)</f>
        <v>10</v>
      </c>
      <c r="E2921" s="13"/>
    </row>
    <row r="2922" spans="2:5" x14ac:dyDescent="0.2">
      <c r="B2922" t="s">
        <v>1034</v>
      </c>
      <c r="C2922" t="s">
        <v>1035</v>
      </c>
      <c r="D2922" s="13">
        <f>_xll.EditDistance($C$3,C2922,2)</f>
        <v>10</v>
      </c>
      <c r="E2922" s="13"/>
    </row>
    <row r="2923" spans="2:5" x14ac:dyDescent="0.2">
      <c r="B2923" t="s">
        <v>1058</v>
      </c>
      <c r="C2923" t="s">
        <v>1059</v>
      </c>
      <c r="D2923" s="13">
        <f>_xll.EditDistance($C$3,C2923,2)</f>
        <v>20</v>
      </c>
      <c r="E2923" s="13"/>
    </row>
    <row r="2924" spans="2:5" x14ac:dyDescent="0.2">
      <c r="B2924" t="s">
        <v>1089</v>
      </c>
      <c r="C2924" t="s">
        <v>1090</v>
      </c>
      <c r="D2924" s="13">
        <f>_xll.EditDistance($C$3,C2924,2)</f>
        <v>10</v>
      </c>
      <c r="E2924" s="13"/>
    </row>
    <row r="2925" spans="2:5" x14ac:dyDescent="0.2">
      <c r="B2925" t="s">
        <v>1097</v>
      </c>
      <c r="C2925" t="s">
        <v>1098</v>
      </c>
      <c r="D2925" s="13">
        <f>_xll.EditDistance($C$3,C2925,2)</f>
        <v>10</v>
      </c>
      <c r="E2925" s="13"/>
    </row>
    <row r="2926" spans="2:5" x14ac:dyDescent="0.2">
      <c r="B2926" t="s">
        <v>1143</v>
      </c>
      <c r="C2926" t="s">
        <v>1144</v>
      </c>
      <c r="D2926" s="13">
        <f>_xll.EditDistance($C$3,C2926,2)</f>
        <v>10</v>
      </c>
      <c r="E2926" s="13"/>
    </row>
    <row r="2927" spans="2:5" x14ac:dyDescent="0.2">
      <c r="B2927" t="s">
        <v>1153</v>
      </c>
      <c r="C2927" t="s">
        <v>1154</v>
      </c>
      <c r="D2927" s="13">
        <f>_xll.EditDistance($C$3,C2927,2)</f>
        <v>10</v>
      </c>
      <c r="E2927" s="13"/>
    </row>
    <row r="2928" spans="2:5" x14ac:dyDescent="0.2">
      <c r="B2928" t="s">
        <v>1155</v>
      </c>
      <c r="C2928" t="s">
        <v>1156</v>
      </c>
      <c r="D2928" s="13">
        <f>_xll.EditDistance($C$3,C2928,2)</f>
        <v>10</v>
      </c>
      <c r="E2928" s="13"/>
    </row>
    <row r="2929" spans="2:5" x14ac:dyDescent="0.2">
      <c r="B2929" t="s">
        <v>1155</v>
      </c>
      <c r="C2929" t="s">
        <v>1157</v>
      </c>
      <c r="D2929" s="13">
        <f>_xll.EditDistance($C$3,C2929,2)</f>
        <v>10</v>
      </c>
      <c r="E2929" s="13"/>
    </row>
    <row r="2930" spans="2:5" x14ac:dyDescent="0.2">
      <c r="B2930" t="s">
        <v>1188</v>
      </c>
      <c r="C2930" t="s">
        <v>1189</v>
      </c>
      <c r="D2930" s="13">
        <f>_xll.EditDistance($C$3,C2930,2)</f>
        <v>10</v>
      </c>
      <c r="E2930" s="13"/>
    </row>
    <row r="2931" spans="2:5" x14ac:dyDescent="0.2">
      <c r="B2931" t="s">
        <v>1238</v>
      </c>
      <c r="C2931" t="s">
        <v>1239</v>
      </c>
      <c r="D2931" s="13">
        <f>_xll.EditDistance($C$3,C2931,2)</f>
        <v>10</v>
      </c>
      <c r="E2931" s="13"/>
    </row>
    <row r="2932" spans="2:5" x14ac:dyDescent="0.2">
      <c r="B2932" t="s">
        <v>1248</v>
      </c>
      <c r="C2932" t="s">
        <v>1249</v>
      </c>
      <c r="D2932" s="13">
        <f>_xll.EditDistance($C$3,C2932,2)</f>
        <v>10</v>
      </c>
      <c r="E2932" s="13"/>
    </row>
    <row r="2933" spans="2:5" x14ac:dyDescent="0.2">
      <c r="B2933" t="s">
        <v>1264</v>
      </c>
      <c r="C2933" t="s">
        <v>1265</v>
      </c>
      <c r="D2933" s="13">
        <f>_xll.EditDistance($C$3,C2933,2)</f>
        <v>10</v>
      </c>
      <c r="E2933" s="13"/>
    </row>
    <row r="2934" spans="2:5" x14ac:dyDescent="0.2">
      <c r="B2934" t="s">
        <v>1293</v>
      </c>
      <c r="C2934" t="s">
        <v>1294</v>
      </c>
      <c r="D2934" s="13">
        <f>_xll.EditDistance($C$3,C2934,2)</f>
        <v>10</v>
      </c>
      <c r="E2934" s="13"/>
    </row>
    <row r="2935" spans="2:5" x14ac:dyDescent="0.2">
      <c r="B2935" t="s">
        <v>1306</v>
      </c>
      <c r="C2935" t="s">
        <v>1307</v>
      </c>
      <c r="D2935" s="13">
        <f>_xll.EditDistance($C$3,C2935,2)</f>
        <v>10</v>
      </c>
      <c r="E2935" s="13"/>
    </row>
    <row r="2936" spans="2:5" x14ac:dyDescent="0.2">
      <c r="B2936" s="22" t="s">
        <v>1330</v>
      </c>
      <c r="C2936" t="s">
        <v>1331</v>
      </c>
      <c r="D2936" s="13">
        <f>_xll.EditDistance($C$3,C2936,2)</f>
        <v>10</v>
      </c>
      <c r="E2936" s="13"/>
    </row>
    <row r="2937" spans="2:5" x14ac:dyDescent="0.2">
      <c r="B2937" t="s">
        <v>1351</v>
      </c>
      <c r="C2937" t="s">
        <v>1352</v>
      </c>
      <c r="D2937" s="13">
        <f>_xll.EditDistance($C$3,C2937,2)</f>
        <v>18</v>
      </c>
      <c r="E2937" s="13"/>
    </row>
    <row r="2938" spans="2:5" x14ac:dyDescent="0.2">
      <c r="B2938" t="s">
        <v>1363</v>
      </c>
      <c r="C2938" t="s">
        <v>1364</v>
      </c>
      <c r="D2938" s="13">
        <f>_xll.EditDistance($C$3,C2938,2)</f>
        <v>10</v>
      </c>
      <c r="E2938" s="13"/>
    </row>
    <row r="2939" spans="2:5" x14ac:dyDescent="0.2">
      <c r="B2939" t="s">
        <v>1451</v>
      </c>
      <c r="C2939" t="s">
        <v>1452</v>
      </c>
      <c r="D2939" s="13">
        <f>_xll.EditDistance($C$3,C2939,2)</f>
        <v>10</v>
      </c>
      <c r="E2939" s="13"/>
    </row>
    <row r="2940" spans="2:5" x14ac:dyDescent="0.2">
      <c r="B2940" t="s">
        <v>1478</v>
      </c>
      <c r="C2940" t="s">
        <v>1479</v>
      </c>
      <c r="D2940" s="13">
        <f>_xll.EditDistance($C$3,C2940,2)</f>
        <v>10</v>
      </c>
      <c r="E2940" s="13"/>
    </row>
    <row r="2941" spans="2:5" x14ac:dyDescent="0.2">
      <c r="B2941" t="s">
        <v>1497</v>
      </c>
      <c r="C2941" t="s">
        <v>1498</v>
      </c>
      <c r="D2941" s="13">
        <f>_xll.EditDistance($C$3,C2941,2)</f>
        <v>10</v>
      </c>
      <c r="E2941" s="13"/>
    </row>
    <row r="2942" spans="2:5" x14ac:dyDescent="0.2">
      <c r="B2942" t="s">
        <v>1519</v>
      </c>
      <c r="C2942" t="s">
        <v>1520</v>
      </c>
      <c r="D2942" s="13">
        <f>_xll.EditDistance($C$3,C2942,2)</f>
        <v>10</v>
      </c>
      <c r="E2942" s="13"/>
    </row>
    <row r="2943" spans="2:5" x14ac:dyDescent="0.2">
      <c r="B2943" t="s">
        <v>1584</v>
      </c>
      <c r="C2943" t="s">
        <v>1585</v>
      </c>
      <c r="D2943" s="13">
        <f>_xll.EditDistance($C$3,C2943,2)</f>
        <v>10</v>
      </c>
      <c r="E2943" s="13"/>
    </row>
    <row r="2944" spans="2:5" x14ac:dyDescent="0.2">
      <c r="B2944" t="s">
        <v>1588</v>
      </c>
      <c r="C2944" t="s">
        <v>1589</v>
      </c>
      <c r="D2944" s="13">
        <f>_xll.EditDistance($C$3,C2944,2)</f>
        <v>10</v>
      </c>
      <c r="E2944" s="13"/>
    </row>
    <row r="2945" spans="2:5" x14ac:dyDescent="0.2">
      <c r="B2945" t="s">
        <v>1618</v>
      </c>
      <c r="C2945" t="s">
        <v>1619</v>
      </c>
      <c r="D2945" s="13">
        <f>_xll.EditDistance($C$3,C2945,2)</f>
        <v>10</v>
      </c>
      <c r="E2945" s="13"/>
    </row>
    <row r="2946" spans="2:5" x14ac:dyDescent="0.2">
      <c r="B2946" t="s">
        <v>1669</v>
      </c>
      <c r="C2946" t="s">
        <v>1670</v>
      </c>
      <c r="D2946" s="13">
        <f>_xll.EditDistance($C$3,C2946,2)</f>
        <v>10</v>
      </c>
      <c r="E2946" s="13"/>
    </row>
    <row r="2947" spans="2:5" x14ac:dyDescent="0.2">
      <c r="B2947" t="s">
        <v>1742</v>
      </c>
      <c r="C2947" t="s">
        <v>1743</v>
      </c>
      <c r="D2947" s="13">
        <f>_xll.EditDistance($C$3,C2947,2)</f>
        <v>10</v>
      </c>
      <c r="E2947" s="13"/>
    </row>
    <row r="2948" spans="2:5" x14ac:dyDescent="0.2">
      <c r="B2948" t="s">
        <v>1766</v>
      </c>
      <c r="C2948" t="s">
        <v>1767</v>
      </c>
      <c r="D2948" s="13">
        <f>_xll.EditDistance($C$3,C2948,2)</f>
        <v>10</v>
      </c>
      <c r="E2948" s="13"/>
    </row>
    <row r="2949" spans="2:5" x14ac:dyDescent="0.2">
      <c r="B2949" t="s">
        <v>1789</v>
      </c>
      <c r="C2949" t="s">
        <v>1790</v>
      </c>
      <c r="D2949" s="13">
        <f>_xll.EditDistance($C$3,C2949,2)</f>
        <v>10</v>
      </c>
      <c r="E2949" s="13"/>
    </row>
    <row r="2950" spans="2:5" x14ac:dyDescent="0.2">
      <c r="B2950" t="s">
        <v>1800</v>
      </c>
      <c r="C2950" t="s">
        <v>1801</v>
      </c>
      <c r="D2950" s="13">
        <f>_xll.EditDistance($C$3,C2950,2)</f>
        <v>10</v>
      </c>
      <c r="E2950" s="13"/>
    </row>
    <row r="2951" spans="2:5" x14ac:dyDescent="0.2">
      <c r="B2951" t="s">
        <v>1804</v>
      </c>
      <c r="C2951" t="s">
        <v>1805</v>
      </c>
      <c r="D2951" s="13">
        <f>_xll.EditDistance($C$3,C2951,2)</f>
        <v>10</v>
      </c>
      <c r="E2951" s="13"/>
    </row>
    <row r="2952" spans="2:5" x14ac:dyDescent="0.2">
      <c r="B2952" t="s">
        <v>1834</v>
      </c>
      <c r="C2952" t="s">
        <v>1835</v>
      </c>
      <c r="D2952" s="13">
        <f>_xll.EditDistance($C$3,C2952,2)</f>
        <v>10</v>
      </c>
      <c r="E2952" s="13"/>
    </row>
    <row r="2953" spans="2:5" x14ac:dyDescent="0.2">
      <c r="B2953" t="s">
        <v>1842</v>
      </c>
      <c r="C2953" t="s">
        <v>1843</v>
      </c>
      <c r="D2953" s="13">
        <f>_xll.EditDistance($C$3,C2953,2)</f>
        <v>10</v>
      </c>
      <c r="E2953" s="13"/>
    </row>
    <row r="2954" spans="2:5" x14ac:dyDescent="0.2">
      <c r="B2954" t="s">
        <v>1881</v>
      </c>
      <c r="C2954" t="s">
        <v>1882</v>
      </c>
      <c r="D2954" s="13">
        <f>_xll.EditDistance($C$3,C2954,2)</f>
        <v>10</v>
      </c>
      <c r="E2954" s="13"/>
    </row>
    <row r="2955" spans="2:5" x14ac:dyDescent="0.2">
      <c r="B2955" t="s">
        <v>1907</v>
      </c>
      <c r="C2955" t="s">
        <v>1908</v>
      </c>
      <c r="D2955" s="13">
        <f>_xll.EditDistance($C$3,C2955,2)</f>
        <v>10</v>
      </c>
      <c r="E2955" s="13"/>
    </row>
    <row r="2956" spans="2:5" x14ac:dyDescent="0.2">
      <c r="B2956" t="s">
        <v>1917</v>
      </c>
      <c r="C2956" t="s">
        <v>1918</v>
      </c>
      <c r="D2956" s="13">
        <f>_xll.EditDistance($C$3,C2956,2)</f>
        <v>10</v>
      </c>
      <c r="E2956" s="13"/>
    </row>
    <row r="2957" spans="2:5" x14ac:dyDescent="0.2">
      <c r="B2957" t="s">
        <v>1952</v>
      </c>
      <c r="C2957" t="s">
        <v>1953</v>
      </c>
      <c r="D2957" s="13">
        <f>_xll.EditDistance($C$3,C2957,2)</f>
        <v>10</v>
      </c>
      <c r="E2957" s="13"/>
    </row>
    <row r="2958" spans="2:5" x14ac:dyDescent="0.2">
      <c r="B2958" t="s">
        <v>1954</v>
      </c>
      <c r="C2958" t="s">
        <v>1955</v>
      </c>
      <c r="D2958" s="13">
        <f>_xll.EditDistance($C$3,C2958,2)</f>
        <v>10</v>
      </c>
      <c r="E2958" s="13"/>
    </row>
    <row r="2959" spans="2:5" x14ac:dyDescent="0.2">
      <c r="B2959" s="22" t="s">
        <v>1988</v>
      </c>
      <c r="C2959" t="s">
        <v>1989</v>
      </c>
      <c r="D2959" s="13">
        <f>_xll.EditDistance($C$3,C2959,2)</f>
        <v>10</v>
      </c>
      <c r="E2959" s="13"/>
    </row>
    <row r="2960" spans="2:5" x14ac:dyDescent="0.2">
      <c r="B2960" t="s">
        <v>2064</v>
      </c>
      <c r="C2960" t="s">
        <v>2065</v>
      </c>
      <c r="D2960" s="13">
        <f>_xll.EditDistance($C$3,C2960,2)</f>
        <v>10</v>
      </c>
      <c r="E2960" s="13"/>
    </row>
    <row r="2961" spans="2:5" x14ac:dyDescent="0.2">
      <c r="B2961" t="s">
        <v>2084</v>
      </c>
      <c r="C2961" t="s">
        <v>2086</v>
      </c>
      <c r="D2961" s="13">
        <f>_xll.EditDistance($C$3,C2961,2)</f>
        <v>10</v>
      </c>
      <c r="E2961" s="13"/>
    </row>
    <row r="2962" spans="2:5" x14ac:dyDescent="0.2">
      <c r="B2962" t="s">
        <v>2103</v>
      </c>
      <c r="C2962" t="s">
        <v>2104</v>
      </c>
      <c r="D2962" s="13">
        <f>_xll.EditDistance($C$3,C2962,2)</f>
        <v>10</v>
      </c>
      <c r="E2962" s="13"/>
    </row>
    <row r="2963" spans="2:5" x14ac:dyDescent="0.2">
      <c r="B2963" t="s">
        <v>2188</v>
      </c>
      <c r="C2963" t="s">
        <v>2189</v>
      </c>
      <c r="D2963" s="13">
        <f>_xll.EditDistance($C$3,C2963,2)</f>
        <v>10</v>
      </c>
      <c r="E2963" s="13"/>
    </row>
    <row r="2964" spans="2:5" x14ac:dyDescent="0.2">
      <c r="B2964" t="s">
        <v>2194</v>
      </c>
      <c r="C2964" t="s">
        <v>2195</v>
      </c>
      <c r="D2964" s="13">
        <f>_xll.EditDistance($C$3,C2964,2)</f>
        <v>10</v>
      </c>
      <c r="E2964" s="13"/>
    </row>
    <row r="2965" spans="2:5" x14ac:dyDescent="0.2">
      <c r="B2965" t="s">
        <v>2204</v>
      </c>
      <c r="C2965" t="s">
        <v>2205</v>
      </c>
      <c r="D2965" s="13">
        <f>_xll.EditDistance($C$3,C2965,2)</f>
        <v>10</v>
      </c>
      <c r="E2965" s="13"/>
    </row>
    <row r="2966" spans="2:5" x14ac:dyDescent="0.2">
      <c r="B2966" t="s">
        <v>2255</v>
      </c>
      <c r="C2966" t="s">
        <v>2256</v>
      </c>
      <c r="D2966" s="13">
        <f>_xll.EditDistance($C$3,C2966,2)</f>
        <v>20</v>
      </c>
      <c r="E2966" s="13"/>
    </row>
    <row r="2967" spans="2:5" x14ac:dyDescent="0.2">
      <c r="B2967" t="s">
        <v>2257</v>
      </c>
      <c r="C2967" t="s">
        <v>2258</v>
      </c>
      <c r="D2967" s="13">
        <f>_xll.EditDistance($C$3,C2967,2)</f>
        <v>20</v>
      </c>
      <c r="E2967" s="13"/>
    </row>
    <row r="2968" spans="2:5" x14ac:dyDescent="0.2">
      <c r="B2968" t="s">
        <v>2259</v>
      </c>
      <c r="C2968" t="s">
        <v>2260</v>
      </c>
      <c r="D2968" s="13">
        <f>_xll.EditDistance($C$3,C2968,2)</f>
        <v>10</v>
      </c>
      <c r="E2968" s="13"/>
    </row>
    <row r="2969" spans="2:5" x14ac:dyDescent="0.2">
      <c r="B2969" t="s">
        <v>2265</v>
      </c>
      <c r="C2969" t="s">
        <v>2266</v>
      </c>
      <c r="D2969" s="13">
        <f>_xll.EditDistance($C$3,C2969,2)</f>
        <v>10</v>
      </c>
      <c r="E2969" s="13"/>
    </row>
    <row r="2970" spans="2:5" x14ac:dyDescent="0.2">
      <c r="B2970" t="s">
        <v>2334</v>
      </c>
      <c r="C2970" t="s">
        <v>2335</v>
      </c>
      <c r="D2970" s="13">
        <f>_xll.EditDistance($C$3,C2970,2)</f>
        <v>10</v>
      </c>
      <c r="E2970" s="13"/>
    </row>
    <row r="2971" spans="2:5" x14ac:dyDescent="0.2">
      <c r="B2971" t="s">
        <v>2472</v>
      </c>
      <c r="C2971" t="s">
        <v>2473</v>
      </c>
      <c r="D2971" s="13">
        <f>_xll.EditDistance($C$3,C2971,2)</f>
        <v>10</v>
      </c>
      <c r="E2971" s="13"/>
    </row>
    <row r="2972" spans="2:5" x14ac:dyDescent="0.2">
      <c r="B2972" t="s">
        <v>2537</v>
      </c>
      <c r="C2972" t="s">
        <v>2539</v>
      </c>
      <c r="D2972" s="13">
        <f>_xll.EditDistance($C$3,C2972,2)</f>
        <v>10</v>
      </c>
      <c r="E2972" s="13"/>
    </row>
    <row r="2973" spans="2:5" x14ac:dyDescent="0.2">
      <c r="B2973" t="s">
        <v>2542</v>
      </c>
      <c r="C2973" t="s">
        <v>2543</v>
      </c>
      <c r="D2973" s="13">
        <f>_xll.EditDistance($C$3,C2973,2)</f>
        <v>10</v>
      </c>
      <c r="E2973" s="13"/>
    </row>
    <row r="2974" spans="2:5" x14ac:dyDescent="0.2">
      <c r="B2974" t="s">
        <v>2632</v>
      </c>
      <c r="C2974" t="s">
        <v>2633</v>
      </c>
      <c r="D2974" s="13">
        <f>_xll.EditDistance($C$3,C2974,2)</f>
        <v>10</v>
      </c>
      <c r="E2974" s="13"/>
    </row>
    <row r="2975" spans="2:5" x14ac:dyDescent="0.2">
      <c r="B2975" t="s">
        <v>2648</v>
      </c>
      <c r="C2975" t="s">
        <v>2649</v>
      </c>
      <c r="D2975" s="13">
        <f>_xll.EditDistance($C$3,C2975,2)</f>
        <v>10</v>
      </c>
      <c r="E2975" s="13"/>
    </row>
    <row r="2976" spans="2:5" x14ac:dyDescent="0.2">
      <c r="B2976" t="s">
        <v>2723</v>
      </c>
      <c r="C2976" t="s">
        <v>2724</v>
      </c>
      <c r="D2976" s="13">
        <f>_xll.EditDistance($C$3,C2976,2)</f>
        <v>10</v>
      </c>
      <c r="E2976" s="13"/>
    </row>
    <row r="2977" spans="2:5" x14ac:dyDescent="0.2">
      <c r="B2977" t="s">
        <v>2725</v>
      </c>
      <c r="C2977" t="s">
        <v>2726</v>
      </c>
      <c r="D2977" s="13">
        <f>_xll.EditDistance($C$3,C2977,2)</f>
        <v>10</v>
      </c>
      <c r="E2977" s="13"/>
    </row>
    <row r="2978" spans="2:5" x14ac:dyDescent="0.2">
      <c r="B2978" t="s">
        <v>2731</v>
      </c>
      <c r="C2978" t="s">
        <v>2732</v>
      </c>
      <c r="D2978" s="13">
        <f>_xll.EditDistance($C$3,C2978,2)</f>
        <v>10</v>
      </c>
      <c r="E2978" s="13"/>
    </row>
    <row r="2979" spans="2:5" x14ac:dyDescent="0.2">
      <c r="B2979" t="s">
        <v>2762</v>
      </c>
      <c r="C2979" t="s">
        <v>2763</v>
      </c>
      <c r="D2979" s="13">
        <f>_xll.EditDistance($C$3,C2979,2)</f>
        <v>10</v>
      </c>
      <c r="E2979" s="13"/>
    </row>
    <row r="2980" spans="2:5" x14ac:dyDescent="0.2">
      <c r="B2980" t="s">
        <v>2766</v>
      </c>
      <c r="C2980" t="s">
        <v>2767</v>
      </c>
      <c r="D2980" s="13">
        <f>_xll.EditDistance($C$3,C2980,2)</f>
        <v>10</v>
      </c>
      <c r="E2980" s="13"/>
    </row>
    <row r="2981" spans="2:5" x14ac:dyDescent="0.2">
      <c r="B2981" t="s">
        <v>2807</v>
      </c>
      <c r="C2981" t="s">
        <v>2808</v>
      </c>
      <c r="D2981" s="13">
        <f>_xll.EditDistance($C$3,C2981,2)</f>
        <v>10</v>
      </c>
      <c r="E2981" s="13"/>
    </row>
    <row r="2982" spans="2:5" x14ac:dyDescent="0.2">
      <c r="B2982" t="s">
        <v>2811</v>
      </c>
      <c r="C2982" t="s">
        <v>2812</v>
      </c>
      <c r="D2982" s="13">
        <f>_xll.EditDistance($C$3,C2982,2)</f>
        <v>10</v>
      </c>
      <c r="E2982" s="13"/>
    </row>
    <row r="2983" spans="2:5" x14ac:dyDescent="0.2">
      <c r="B2983" t="s">
        <v>2829</v>
      </c>
      <c r="C2983" t="s">
        <v>2830</v>
      </c>
      <c r="D2983" s="13">
        <f>_xll.EditDistance($C$3,C2983,2)</f>
        <v>20</v>
      </c>
      <c r="E2983" s="13"/>
    </row>
    <row r="2984" spans="2:5" x14ac:dyDescent="0.2">
      <c r="B2984" t="s">
        <v>2850</v>
      </c>
      <c r="C2984" t="s">
        <v>2851</v>
      </c>
      <c r="D2984" s="13">
        <f>_xll.EditDistance($C$3,C2984,2)</f>
        <v>10</v>
      </c>
      <c r="E2984" s="13"/>
    </row>
    <row r="2985" spans="2:5" x14ac:dyDescent="0.2">
      <c r="B2985" t="s">
        <v>2867</v>
      </c>
      <c r="C2985" t="s">
        <v>2868</v>
      </c>
      <c r="D2985" s="13">
        <f>_xll.EditDistance($C$3,C2985,2)</f>
        <v>10</v>
      </c>
      <c r="E2985" s="13"/>
    </row>
    <row r="2986" spans="2:5" x14ac:dyDescent="0.2">
      <c r="B2986" t="s">
        <v>2892</v>
      </c>
      <c r="C2986" t="s">
        <v>2893</v>
      </c>
      <c r="D2986" s="13">
        <f>_xll.EditDistance($C$3,C2986,2)</f>
        <v>10</v>
      </c>
      <c r="E2986" s="13"/>
    </row>
    <row r="2987" spans="2:5" x14ac:dyDescent="0.2">
      <c r="B2987" t="s">
        <v>2919</v>
      </c>
      <c r="C2987" t="s">
        <v>2920</v>
      </c>
      <c r="D2987" s="13">
        <f>_xll.EditDistance($C$3,C2987,2)</f>
        <v>10</v>
      </c>
      <c r="E2987" s="13"/>
    </row>
    <row r="2988" spans="2:5" x14ac:dyDescent="0.2">
      <c r="B2988" t="s">
        <v>3031</v>
      </c>
      <c r="C2988" t="s">
        <v>3032</v>
      </c>
      <c r="D2988" s="13">
        <f>_xll.EditDistance($C$3,C2988,2)</f>
        <v>10</v>
      </c>
      <c r="E2988" s="13"/>
    </row>
    <row r="2989" spans="2:5" x14ac:dyDescent="0.2">
      <c r="B2989" t="s">
        <v>3048</v>
      </c>
      <c r="C2989" t="s">
        <v>3049</v>
      </c>
      <c r="D2989" s="13">
        <f>_xll.EditDistance($C$3,C2989,2)</f>
        <v>10</v>
      </c>
      <c r="E2989" s="13"/>
    </row>
    <row r="2990" spans="2:5" x14ac:dyDescent="0.2">
      <c r="B2990" t="s">
        <v>3126</v>
      </c>
      <c r="C2990" t="s">
        <v>3127</v>
      </c>
      <c r="D2990" s="13">
        <f>_xll.EditDistance($C$3,C2990,2)</f>
        <v>10</v>
      </c>
      <c r="E2990" s="13"/>
    </row>
    <row r="2991" spans="2:5" x14ac:dyDescent="0.2">
      <c r="B2991" t="s">
        <v>3205</v>
      </c>
      <c r="C2991" t="s">
        <v>3206</v>
      </c>
      <c r="D2991" s="13">
        <f>_xll.EditDistance($C$3,C2991,2)</f>
        <v>10</v>
      </c>
      <c r="E2991" s="13"/>
    </row>
    <row r="2992" spans="2:5" x14ac:dyDescent="0.2">
      <c r="B2992" t="s">
        <v>3227</v>
      </c>
      <c r="C2992" t="s">
        <v>3228</v>
      </c>
      <c r="D2992" s="13">
        <f>_xll.EditDistance($C$3,C2992,2)</f>
        <v>10</v>
      </c>
      <c r="E2992" s="13"/>
    </row>
    <row r="2993" spans="2:5" x14ac:dyDescent="0.2">
      <c r="B2993" t="s">
        <v>3229</v>
      </c>
      <c r="C2993" t="s">
        <v>3230</v>
      </c>
      <c r="D2993" s="13">
        <f>_xll.EditDistance($C$3,C2993,2)</f>
        <v>10</v>
      </c>
      <c r="E2993" s="13"/>
    </row>
    <row r="2994" spans="2:5" x14ac:dyDescent="0.2">
      <c r="B2994" t="s">
        <v>3239</v>
      </c>
      <c r="C2994" t="s">
        <v>3240</v>
      </c>
      <c r="D2994" s="13">
        <f>_xll.EditDistance($C$3,C2994,2)</f>
        <v>10</v>
      </c>
      <c r="E2994" s="13"/>
    </row>
    <row r="2995" spans="2:5" x14ac:dyDescent="0.2">
      <c r="B2995" t="s">
        <v>3245</v>
      </c>
      <c r="C2995" t="s">
        <v>3246</v>
      </c>
      <c r="D2995" s="13">
        <f>_xll.EditDistance($C$3,C2995,2)</f>
        <v>10</v>
      </c>
      <c r="E2995" s="13"/>
    </row>
    <row r="2996" spans="2:5" x14ac:dyDescent="0.2">
      <c r="B2996" t="s">
        <v>3251</v>
      </c>
      <c r="C2996" t="s">
        <v>3252</v>
      </c>
      <c r="D2996" s="13">
        <f>_xll.EditDistance($C$3,C2996,2)</f>
        <v>10</v>
      </c>
      <c r="E2996" s="13"/>
    </row>
    <row r="2997" spans="2:5" x14ac:dyDescent="0.2">
      <c r="B2997" t="s">
        <v>3253</v>
      </c>
      <c r="C2997" t="s">
        <v>3254</v>
      </c>
      <c r="D2997" s="13">
        <f>_xll.EditDistance($C$3,C2997,2)</f>
        <v>10</v>
      </c>
      <c r="E2997" s="13"/>
    </row>
    <row r="2998" spans="2:5" x14ac:dyDescent="0.2">
      <c r="B2998" t="s">
        <v>3336</v>
      </c>
      <c r="C2998" t="s">
        <v>3337</v>
      </c>
      <c r="D2998" s="13">
        <f>_xll.EditDistance($C$3,C2998,2)</f>
        <v>20</v>
      </c>
      <c r="E2998" s="13"/>
    </row>
    <row r="2999" spans="2:5" x14ac:dyDescent="0.2">
      <c r="B2999" t="s">
        <v>3415</v>
      </c>
      <c r="C2999" t="s">
        <v>3416</v>
      </c>
      <c r="D2999" s="13">
        <f>_xll.EditDistance($C$3,C2999,2)</f>
        <v>10</v>
      </c>
      <c r="E2999" s="13"/>
    </row>
    <row r="3000" spans="2:5" x14ac:dyDescent="0.2">
      <c r="B3000" t="s">
        <v>3434</v>
      </c>
      <c r="C3000" t="s">
        <v>3435</v>
      </c>
      <c r="D3000" s="13">
        <f>_xll.EditDistance($C$3,C3000,2)</f>
        <v>10</v>
      </c>
      <c r="E3000" s="13"/>
    </row>
    <row r="3001" spans="2:5" x14ac:dyDescent="0.2">
      <c r="B3001" s="22" t="s">
        <v>3452</v>
      </c>
      <c r="C3001" t="s">
        <v>3453</v>
      </c>
      <c r="D3001" s="13">
        <f>_xll.EditDistance($C$3,C3001,2)</f>
        <v>10</v>
      </c>
      <c r="E3001" s="13"/>
    </row>
    <row r="3002" spans="2:5" x14ac:dyDescent="0.2">
      <c r="B3002" t="s">
        <v>3454</v>
      </c>
      <c r="C3002" t="s">
        <v>3455</v>
      </c>
      <c r="D3002" s="13">
        <f>_xll.EditDistance($C$3,C3002,2)</f>
        <v>10</v>
      </c>
      <c r="E3002" s="13"/>
    </row>
    <row r="3003" spans="2:5" x14ac:dyDescent="0.2">
      <c r="B3003" t="s">
        <v>3458</v>
      </c>
      <c r="C3003" t="s">
        <v>3459</v>
      </c>
      <c r="D3003" s="13">
        <f>_xll.EditDistance($C$3,C3003,2)</f>
        <v>10</v>
      </c>
      <c r="E3003" s="13"/>
    </row>
    <row r="3004" spans="2:5" x14ac:dyDescent="0.2">
      <c r="B3004" t="s">
        <v>3502</v>
      </c>
      <c r="C3004" t="s">
        <v>3503</v>
      </c>
      <c r="D3004" s="13">
        <f>_xll.EditDistance($C$3,C3004,2)</f>
        <v>10</v>
      </c>
      <c r="E3004" s="13"/>
    </row>
    <row r="3005" spans="2:5" x14ac:dyDescent="0.2">
      <c r="B3005" t="s">
        <v>3556</v>
      </c>
      <c r="C3005" t="s">
        <v>3557</v>
      </c>
      <c r="D3005" s="13">
        <f>_xll.EditDistance($C$3,C3005,2)</f>
        <v>10</v>
      </c>
      <c r="E3005" s="13"/>
    </row>
    <row r="3006" spans="2:5" x14ac:dyDescent="0.2">
      <c r="B3006" t="s">
        <v>3603</v>
      </c>
      <c r="C3006" t="s">
        <v>3604</v>
      </c>
      <c r="D3006" s="13">
        <f>_xll.EditDistance($C$3,C3006,2)</f>
        <v>10</v>
      </c>
      <c r="E3006" s="13"/>
    </row>
    <row r="3007" spans="2:5" x14ac:dyDescent="0.2">
      <c r="B3007" t="s">
        <v>3624</v>
      </c>
      <c r="C3007" t="s">
        <v>3625</v>
      </c>
      <c r="D3007" s="13">
        <f>_xll.EditDistance($C$3,C3007,2)</f>
        <v>10</v>
      </c>
      <c r="E3007" s="13"/>
    </row>
    <row r="3008" spans="2:5" x14ac:dyDescent="0.2">
      <c r="B3008" t="s">
        <v>3657</v>
      </c>
      <c r="C3008" t="s">
        <v>3658</v>
      </c>
      <c r="D3008" s="13">
        <f>_xll.EditDistance($C$3,C3008,2)</f>
        <v>10</v>
      </c>
      <c r="E3008" s="13"/>
    </row>
    <row r="3009" spans="2:5" x14ac:dyDescent="0.2">
      <c r="B3009" t="s">
        <v>3671</v>
      </c>
      <c r="C3009" t="s">
        <v>3672</v>
      </c>
      <c r="D3009" s="13">
        <f>_xll.EditDistance($C$3,C3009,2)</f>
        <v>20</v>
      </c>
      <c r="E3009" s="13"/>
    </row>
    <row r="3010" spans="2:5" x14ac:dyDescent="0.2">
      <c r="B3010" t="s">
        <v>3696</v>
      </c>
      <c r="C3010" t="s">
        <v>3697</v>
      </c>
      <c r="D3010" s="13">
        <f>_xll.EditDistance($C$3,C3010,2)</f>
        <v>10</v>
      </c>
      <c r="E3010" s="13"/>
    </row>
    <row r="3011" spans="2:5" x14ac:dyDescent="0.2">
      <c r="B3011" t="s">
        <v>3808</v>
      </c>
      <c r="C3011" t="s">
        <v>3809</v>
      </c>
      <c r="D3011" s="13">
        <f>_xll.EditDistance($C$3,C3011,2)</f>
        <v>10</v>
      </c>
      <c r="E3011" s="13"/>
    </row>
    <row r="3012" spans="2:5" x14ac:dyDescent="0.2">
      <c r="B3012" t="s">
        <v>3837</v>
      </c>
      <c r="C3012" t="s">
        <v>3838</v>
      </c>
      <c r="D3012" s="13">
        <f>_xll.EditDistance($C$3,C3012,2)</f>
        <v>20</v>
      </c>
      <c r="E3012" s="13"/>
    </row>
    <row r="3013" spans="2:5" x14ac:dyDescent="0.2">
      <c r="B3013" t="s">
        <v>3839</v>
      </c>
      <c r="C3013" t="s">
        <v>3840</v>
      </c>
      <c r="D3013" s="13">
        <f>_xll.EditDistance($C$3,C3013,2)</f>
        <v>10</v>
      </c>
      <c r="E3013" s="13"/>
    </row>
    <row r="3014" spans="2:5" x14ac:dyDescent="0.2">
      <c r="B3014" t="s">
        <v>3868</v>
      </c>
      <c r="C3014" t="s">
        <v>3869</v>
      </c>
      <c r="D3014" s="13">
        <f>_xll.EditDistance($C$3,C3014,2)</f>
        <v>10</v>
      </c>
      <c r="E3014" s="13"/>
    </row>
    <row r="3015" spans="2:5" x14ac:dyDescent="0.2">
      <c r="B3015" t="s">
        <v>3895</v>
      </c>
      <c r="C3015" t="s">
        <v>3897</v>
      </c>
      <c r="D3015" s="13">
        <f>_xll.EditDistance($C$3,C3015,2)</f>
        <v>10</v>
      </c>
      <c r="E3015" s="13"/>
    </row>
    <row r="3016" spans="2:5" x14ac:dyDescent="0.2">
      <c r="B3016" s="22" t="s">
        <v>3902</v>
      </c>
      <c r="C3016" t="s">
        <v>3903</v>
      </c>
      <c r="D3016" s="13">
        <f>_xll.EditDistance($C$3,C3016,2)</f>
        <v>10</v>
      </c>
      <c r="E3016" s="13"/>
    </row>
    <row r="3017" spans="2:5" x14ac:dyDescent="0.2">
      <c r="B3017" t="s">
        <v>3904</v>
      </c>
      <c r="C3017" t="s">
        <v>3905</v>
      </c>
      <c r="D3017" s="13">
        <f>_xll.EditDistance($C$3,C3017,2)</f>
        <v>10</v>
      </c>
      <c r="E3017" s="13"/>
    </row>
    <row r="3018" spans="2:5" x14ac:dyDescent="0.2">
      <c r="B3018" t="s">
        <v>3948</v>
      </c>
      <c r="C3018" t="s">
        <v>3950</v>
      </c>
      <c r="D3018" s="13">
        <f>_xll.EditDistance($C$3,C3018,2)</f>
        <v>10</v>
      </c>
      <c r="E3018" s="13"/>
    </row>
    <row r="3019" spans="2:5" x14ac:dyDescent="0.2">
      <c r="B3019" t="s">
        <v>4022</v>
      </c>
      <c r="C3019" t="s">
        <v>4023</v>
      </c>
      <c r="D3019" s="13">
        <f>_xll.EditDistance($C$3,C3019,2)</f>
        <v>10</v>
      </c>
      <c r="E3019" s="13"/>
    </row>
    <row r="3020" spans="2:5" x14ac:dyDescent="0.2">
      <c r="B3020" t="s">
        <v>4124</v>
      </c>
      <c r="C3020" t="s">
        <v>4125</v>
      </c>
      <c r="D3020" s="13">
        <f>_xll.EditDistance($C$3,C3020,2)</f>
        <v>10</v>
      </c>
      <c r="E3020" s="13"/>
    </row>
    <row r="3021" spans="2:5" x14ac:dyDescent="0.2">
      <c r="B3021" t="s">
        <v>4203</v>
      </c>
      <c r="C3021" t="s">
        <v>4204</v>
      </c>
      <c r="D3021" s="13">
        <f>_xll.EditDistance($C$3,C3021,2)</f>
        <v>18</v>
      </c>
      <c r="E3021" s="13"/>
    </row>
    <row r="3022" spans="2:5" x14ac:dyDescent="0.2">
      <c r="B3022" t="s">
        <v>4242</v>
      </c>
      <c r="C3022" t="s">
        <v>4243</v>
      </c>
      <c r="D3022" s="13">
        <f>_xll.EditDistance($C$3,C3022,2)</f>
        <v>10</v>
      </c>
      <c r="E3022" s="13"/>
    </row>
    <row r="3023" spans="2:5" x14ac:dyDescent="0.2">
      <c r="B3023" t="s">
        <v>4284</v>
      </c>
      <c r="C3023" t="s">
        <v>4285</v>
      </c>
      <c r="D3023" s="13">
        <f>_xll.EditDistance($C$3,C3023,2)</f>
        <v>20</v>
      </c>
      <c r="E3023" s="13"/>
    </row>
    <row r="3024" spans="2:5" x14ac:dyDescent="0.2">
      <c r="B3024" t="s">
        <v>4344</v>
      </c>
      <c r="C3024" t="s">
        <v>4346</v>
      </c>
      <c r="D3024" s="13">
        <f>_xll.EditDistance($C$3,C3024,2)</f>
        <v>20</v>
      </c>
      <c r="E3024" s="13"/>
    </row>
    <row r="3025" spans="2:5" x14ac:dyDescent="0.2">
      <c r="B3025" t="s">
        <v>4381</v>
      </c>
      <c r="C3025" t="s">
        <v>4382</v>
      </c>
      <c r="D3025" s="13">
        <f>_xll.EditDistance($C$3,C3025,2)</f>
        <v>10</v>
      </c>
      <c r="E3025" s="13"/>
    </row>
    <row r="3026" spans="2:5" x14ac:dyDescent="0.2">
      <c r="B3026" t="s">
        <v>4385</v>
      </c>
      <c r="C3026" t="s">
        <v>4386</v>
      </c>
      <c r="D3026" s="13">
        <f>_xll.EditDistance($C$3,C3026,2)</f>
        <v>10</v>
      </c>
      <c r="E3026" s="13"/>
    </row>
    <row r="3027" spans="2:5" x14ac:dyDescent="0.2">
      <c r="B3027" t="s">
        <v>4418</v>
      </c>
      <c r="C3027" t="s">
        <v>4419</v>
      </c>
      <c r="D3027" s="13">
        <f>_xll.EditDistance($C$3,C3027,2)</f>
        <v>10</v>
      </c>
      <c r="E3027" s="13"/>
    </row>
    <row r="3028" spans="2:5" x14ac:dyDescent="0.2">
      <c r="B3028" s="22" t="s">
        <v>4426</v>
      </c>
      <c r="C3028" t="s">
        <v>4429</v>
      </c>
      <c r="D3028" s="13">
        <f>_xll.EditDistance($C$3,C3028,2)</f>
        <v>10</v>
      </c>
      <c r="E3028" s="13"/>
    </row>
    <row r="3029" spans="2:5" x14ac:dyDescent="0.2">
      <c r="B3029" s="22" t="s">
        <v>4443</v>
      </c>
      <c r="C3029" t="s">
        <v>4444</v>
      </c>
      <c r="D3029" s="13">
        <f>_xll.EditDistance($C$3,C3029,2)</f>
        <v>10</v>
      </c>
      <c r="E3029" s="13"/>
    </row>
    <row r="3030" spans="2:5" x14ac:dyDescent="0.2">
      <c r="B3030" s="22" t="s">
        <v>4460</v>
      </c>
      <c r="C3030" t="s">
        <v>4461</v>
      </c>
      <c r="D3030" s="13">
        <f>_xll.EditDistance($C$3,C3030,2)</f>
        <v>10</v>
      </c>
      <c r="E3030" s="13"/>
    </row>
    <row r="3031" spans="2:5" x14ac:dyDescent="0.2">
      <c r="B3031" t="s">
        <v>4478</v>
      </c>
      <c r="C3031" t="s">
        <v>4479</v>
      </c>
      <c r="D3031" s="13">
        <f>_xll.EditDistance($C$3,C3031,2)</f>
        <v>10</v>
      </c>
      <c r="E3031" s="13"/>
    </row>
    <row r="3032" spans="2:5" x14ac:dyDescent="0.2">
      <c r="B3032" t="s">
        <v>4484</v>
      </c>
      <c r="C3032" t="s">
        <v>4486</v>
      </c>
      <c r="D3032" s="13">
        <f>_xll.EditDistance($C$3,C3032,2)</f>
        <v>10</v>
      </c>
      <c r="E3032" s="13"/>
    </row>
    <row r="3033" spans="2:5" x14ac:dyDescent="0.2">
      <c r="B3033" s="22" t="s">
        <v>4539</v>
      </c>
      <c r="C3033" t="s">
        <v>4540</v>
      </c>
      <c r="D3033" s="13">
        <f>_xll.EditDistance($C$3,C3033,2)</f>
        <v>10</v>
      </c>
      <c r="E3033" s="13"/>
    </row>
    <row r="3034" spans="2:5" x14ac:dyDescent="0.2">
      <c r="B3034" t="s">
        <v>4565</v>
      </c>
      <c r="C3034" t="s">
        <v>4566</v>
      </c>
      <c r="D3034" s="13">
        <f>_xll.EditDistance($C$3,C3034,2)</f>
        <v>10</v>
      </c>
      <c r="E3034" s="13"/>
    </row>
    <row r="3035" spans="2:5" x14ac:dyDescent="0.2">
      <c r="B3035" t="s">
        <v>4571</v>
      </c>
      <c r="C3035" t="s">
        <v>4572</v>
      </c>
      <c r="D3035" s="13">
        <f>_xll.EditDistance($C$3,C3035,2)</f>
        <v>10</v>
      </c>
      <c r="E3035" s="13"/>
    </row>
    <row r="3036" spans="2:5" x14ac:dyDescent="0.2">
      <c r="B3036" t="s">
        <v>4601</v>
      </c>
      <c r="C3036" t="s">
        <v>4602</v>
      </c>
      <c r="D3036" s="13">
        <f>_xll.EditDistance($C$3,C3036,2)</f>
        <v>10</v>
      </c>
      <c r="E3036" s="13"/>
    </row>
    <row r="3037" spans="2:5" x14ac:dyDescent="0.2">
      <c r="B3037" t="s">
        <v>4606</v>
      </c>
      <c r="C3037" t="s">
        <v>4607</v>
      </c>
      <c r="D3037" s="13">
        <f>_xll.EditDistance($C$3,C3037,2)</f>
        <v>10</v>
      </c>
      <c r="E3037" s="13"/>
    </row>
    <row r="3038" spans="2:5" x14ac:dyDescent="0.2">
      <c r="B3038" t="s">
        <v>4610</v>
      </c>
      <c r="C3038" t="s">
        <v>4611</v>
      </c>
      <c r="D3038" s="13">
        <f>_xll.EditDistance($C$3,C3038,2)</f>
        <v>10</v>
      </c>
      <c r="E3038" s="13"/>
    </row>
    <row r="3039" spans="2:5" x14ac:dyDescent="0.2">
      <c r="B3039" t="s">
        <v>4726</v>
      </c>
      <c r="C3039" t="s">
        <v>4727</v>
      </c>
      <c r="D3039" s="13">
        <f>_xll.EditDistance($C$3,C3039,2)</f>
        <v>10</v>
      </c>
      <c r="E3039" s="13"/>
    </row>
    <row r="3040" spans="2:5" x14ac:dyDescent="0.2">
      <c r="B3040" t="s">
        <v>4759</v>
      </c>
      <c r="C3040" t="s">
        <v>4760</v>
      </c>
      <c r="D3040" s="13">
        <f>_xll.EditDistance($C$3,C3040,2)</f>
        <v>10</v>
      </c>
      <c r="E3040" s="13"/>
    </row>
    <row r="3041" spans="2:5" x14ac:dyDescent="0.2">
      <c r="B3041" t="s">
        <v>4780</v>
      </c>
      <c r="C3041" t="s">
        <v>4783</v>
      </c>
      <c r="D3041" s="13">
        <f>_xll.EditDistance($C$3,C3041,2)</f>
        <v>10</v>
      </c>
      <c r="E3041" s="13"/>
    </row>
    <row r="3042" spans="2:5" x14ac:dyDescent="0.2">
      <c r="B3042" t="s">
        <v>4796</v>
      </c>
      <c r="C3042" t="s">
        <v>4797</v>
      </c>
      <c r="D3042" s="13">
        <f>_xll.EditDistance($C$3,C3042,2)</f>
        <v>10</v>
      </c>
      <c r="E3042" s="13"/>
    </row>
    <row r="3043" spans="2:5" x14ac:dyDescent="0.2">
      <c r="B3043" t="s">
        <v>4828</v>
      </c>
      <c r="C3043" t="s">
        <v>4829</v>
      </c>
      <c r="D3043" s="13">
        <f>_xll.EditDistance($C$3,C3043,2)</f>
        <v>10</v>
      </c>
      <c r="E3043" s="13"/>
    </row>
    <row r="3044" spans="2:5" x14ac:dyDescent="0.2">
      <c r="B3044" t="s">
        <v>4841</v>
      </c>
      <c r="C3044" t="s">
        <v>4842</v>
      </c>
      <c r="D3044" s="13">
        <f>_xll.EditDistance($C$3,C3044,2)</f>
        <v>10</v>
      </c>
      <c r="E3044" s="13"/>
    </row>
    <row r="3045" spans="2:5" x14ac:dyDescent="0.2">
      <c r="B3045" t="s">
        <v>4859</v>
      </c>
      <c r="C3045" t="s">
        <v>4860</v>
      </c>
      <c r="D3045" s="13">
        <f>_xll.EditDistance($C$3,C3045,2)</f>
        <v>10</v>
      </c>
      <c r="E3045" s="13"/>
    </row>
    <row r="3046" spans="2:5" x14ac:dyDescent="0.2">
      <c r="B3046" t="s">
        <v>4899</v>
      </c>
      <c r="C3046" t="s">
        <v>4900</v>
      </c>
      <c r="D3046" s="13">
        <f>_xll.EditDistance($C$3,C3046,2)</f>
        <v>10</v>
      </c>
      <c r="E3046" s="13"/>
    </row>
    <row r="3047" spans="2:5" x14ac:dyDescent="0.2">
      <c r="B3047" t="s">
        <v>4903</v>
      </c>
      <c r="C3047" t="s">
        <v>4904</v>
      </c>
      <c r="D3047" s="13">
        <f>_xll.EditDistance($C$3,C3047,2)</f>
        <v>10</v>
      </c>
      <c r="E3047" s="13"/>
    </row>
    <row r="3048" spans="2:5" x14ac:dyDescent="0.2">
      <c r="B3048" t="s">
        <v>4922</v>
      </c>
      <c r="C3048" t="s">
        <v>4923</v>
      </c>
      <c r="D3048" s="13">
        <f>_xll.EditDistance($C$3,C3048,2)</f>
        <v>10</v>
      </c>
      <c r="E3048" s="13"/>
    </row>
    <row r="3049" spans="2:5" x14ac:dyDescent="0.2">
      <c r="B3049" t="s">
        <v>4989</v>
      </c>
      <c r="C3049" t="s">
        <v>4990</v>
      </c>
      <c r="D3049" s="13">
        <f>_xll.EditDistance($C$3,C3049,2)</f>
        <v>10</v>
      </c>
      <c r="E3049" s="13"/>
    </row>
    <row r="3050" spans="2:5" x14ac:dyDescent="0.2">
      <c r="B3050" t="s">
        <v>5002</v>
      </c>
      <c r="C3050" t="s">
        <v>5003</v>
      </c>
      <c r="D3050" s="13">
        <f>_xll.EditDistance($C$3,C3050,2)</f>
        <v>10</v>
      </c>
      <c r="E3050" s="13"/>
    </row>
    <row r="3051" spans="2:5" x14ac:dyDescent="0.2">
      <c r="B3051" t="s">
        <v>5018</v>
      </c>
      <c r="C3051" t="s">
        <v>5019</v>
      </c>
      <c r="D3051" s="13">
        <f>_xll.EditDistance($C$3,C3051,2)</f>
        <v>10</v>
      </c>
      <c r="E3051" s="13"/>
    </row>
    <row r="3052" spans="2:5" x14ac:dyDescent="0.2">
      <c r="B3052" t="s">
        <v>5033</v>
      </c>
      <c r="C3052" t="s">
        <v>5034</v>
      </c>
      <c r="D3052" s="13">
        <f>_xll.EditDistance($C$3,C3052,2)</f>
        <v>10</v>
      </c>
      <c r="E3052" s="13"/>
    </row>
    <row r="3053" spans="2:5" x14ac:dyDescent="0.2">
      <c r="B3053" t="s">
        <v>5043</v>
      </c>
      <c r="C3053" t="s">
        <v>5044</v>
      </c>
      <c r="D3053" s="13">
        <f>_xll.EditDistance($C$3,C3053,2)</f>
        <v>10</v>
      </c>
      <c r="E3053" s="13"/>
    </row>
    <row r="3054" spans="2:5" x14ac:dyDescent="0.2">
      <c r="B3054" t="s">
        <v>5089</v>
      </c>
      <c r="C3054" t="s">
        <v>5090</v>
      </c>
      <c r="D3054" s="13">
        <f>_xll.EditDistance($C$3,C3054,2)</f>
        <v>10</v>
      </c>
      <c r="E3054" s="13"/>
    </row>
    <row r="3055" spans="2:5" x14ac:dyDescent="0.2">
      <c r="B3055" t="s">
        <v>5128</v>
      </c>
      <c r="C3055" t="s">
        <v>5129</v>
      </c>
      <c r="D3055" s="13">
        <f>_xll.EditDistance($C$3,C3055,2)</f>
        <v>10</v>
      </c>
      <c r="E3055" s="13"/>
    </row>
    <row r="3056" spans="2:5" x14ac:dyDescent="0.2">
      <c r="B3056" t="s">
        <v>5130</v>
      </c>
      <c r="C3056" t="s">
        <v>5131</v>
      </c>
      <c r="D3056" s="13">
        <f>_xll.EditDistance($C$3,C3056,2)</f>
        <v>54</v>
      </c>
      <c r="E3056" s="13"/>
    </row>
    <row r="3057" spans="2:5" x14ac:dyDescent="0.2">
      <c r="B3057" t="s">
        <v>5183</v>
      </c>
      <c r="C3057" t="s">
        <v>5184</v>
      </c>
      <c r="D3057" s="13">
        <f>_xll.EditDistance($C$3,C3057,2)</f>
        <v>10</v>
      </c>
      <c r="E3057" s="13"/>
    </row>
    <row r="3058" spans="2:5" x14ac:dyDescent="0.2">
      <c r="B3058" t="s">
        <v>5256</v>
      </c>
      <c r="C3058" t="s">
        <v>5257</v>
      </c>
      <c r="D3058" s="13">
        <f>_xll.EditDistance($C$3,C3058,2)</f>
        <v>10</v>
      </c>
      <c r="E3058" s="13"/>
    </row>
    <row r="3059" spans="2:5" x14ac:dyDescent="0.2">
      <c r="B3059" t="s">
        <v>5404</v>
      </c>
      <c r="C3059" t="s">
        <v>5405</v>
      </c>
      <c r="D3059" s="13">
        <f>_xll.EditDistance($C$3,C3059,2)</f>
        <v>10</v>
      </c>
      <c r="E3059" s="13"/>
    </row>
    <row r="3060" spans="2:5" x14ac:dyDescent="0.2">
      <c r="B3060" t="s">
        <v>5433</v>
      </c>
      <c r="C3060" t="s">
        <v>5434</v>
      </c>
      <c r="D3060" s="13">
        <f>_xll.EditDistance($C$3,C3060,2)</f>
        <v>10</v>
      </c>
      <c r="E3060" s="13"/>
    </row>
    <row r="3061" spans="2:5" x14ac:dyDescent="0.2">
      <c r="B3061" t="s">
        <v>5437</v>
      </c>
      <c r="C3061" t="s">
        <v>5438</v>
      </c>
      <c r="D3061" s="13">
        <f>_xll.EditDistance($C$3,C3061,2)</f>
        <v>10</v>
      </c>
      <c r="E3061" s="13"/>
    </row>
    <row r="3062" spans="2:5" x14ac:dyDescent="0.2">
      <c r="B3062" t="s">
        <v>5479</v>
      </c>
      <c r="C3062" t="s">
        <v>5480</v>
      </c>
      <c r="D3062" s="13">
        <f>_xll.EditDistance($C$3,C3062,2)</f>
        <v>10</v>
      </c>
      <c r="E3062" s="13"/>
    </row>
    <row r="3063" spans="2:5" x14ac:dyDescent="0.2">
      <c r="B3063" t="s">
        <v>5499</v>
      </c>
      <c r="C3063" t="s">
        <v>5500</v>
      </c>
      <c r="D3063" s="13">
        <f>_xll.EditDistance($C$3,C3063,2)</f>
        <v>10</v>
      </c>
      <c r="E3063" s="13"/>
    </row>
    <row r="3064" spans="2:5" x14ac:dyDescent="0.2">
      <c r="B3064" t="s">
        <v>5525</v>
      </c>
      <c r="C3064" t="s">
        <v>5526</v>
      </c>
      <c r="D3064" s="13">
        <f>_xll.EditDistance($C$3,C3064,2)</f>
        <v>10</v>
      </c>
      <c r="E3064" s="13"/>
    </row>
    <row r="3065" spans="2:5" x14ac:dyDescent="0.2">
      <c r="B3065" t="s">
        <v>5529</v>
      </c>
      <c r="C3065" t="s">
        <v>5530</v>
      </c>
      <c r="D3065" s="13">
        <f>_xll.EditDistance($C$3,C3065,2)</f>
        <v>10</v>
      </c>
      <c r="E3065" s="13"/>
    </row>
    <row r="3066" spans="2:5" x14ac:dyDescent="0.2">
      <c r="B3066" t="s">
        <v>5541</v>
      </c>
      <c r="C3066" t="s">
        <v>5542</v>
      </c>
      <c r="D3066" s="13">
        <f>_xll.EditDistance($C$3,C3066,2)</f>
        <v>10</v>
      </c>
      <c r="E3066" s="13"/>
    </row>
    <row r="3067" spans="2:5" x14ac:dyDescent="0.2">
      <c r="B3067" t="s">
        <v>5561</v>
      </c>
      <c r="C3067" t="s">
        <v>5562</v>
      </c>
      <c r="D3067" s="13">
        <f>_xll.EditDistance($C$3,C3067,2)</f>
        <v>10</v>
      </c>
      <c r="E3067" s="13"/>
    </row>
    <row r="3068" spans="2:5" x14ac:dyDescent="0.2">
      <c r="B3068" t="s">
        <v>5612</v>
      </c>
      <c r="C3068" t="s">
        <v>5613</v>
      </c>
      <c r="D3068" s="13">
        <f>_xll.EditDistance($C$3,C3068,2)</f>
        <v>10</v>
      </c>
      <c r="E3068" s="13"/>
    </row>
    <row r="3069" spans="2:5" x14ac:dyDescent="0.2">
      <c r="B3069" t="s">
        <v>5650</v>
      </c>
      <c r="C3069" t="s">
        <v>5651</v>
      </c>
      <c r="D3069" s="13">
        <f>_xll.EditDistance($C$3,C3069,2)</f>
        <v>10</v>
      </c>
      <c r="E3069" s="13"/>
    </row>
    <row r="3070" spans="2:5" x14ac:dyDescent="0.2">
      <c r="B3070" t="s">
        <v>5759</v>
      </c>
      <c r="C3070" t="s">
        <v>5760</v>
      </c>
      <c r="D3070" s="13">
        <f>_xll.EditDistance($C$3,C3070,2)</f>
        <v>10</v>
      </c>
      <c r="E3070" s="13"/>
    </row>
    <row r="3071" spans="2:5" x14ac:dyDescent="0.2">
      <c r="B3071" t="s">
        <v>5767</v>
      </c>
      <c r="C3071" t="s">
        <v>5768</v>
      </c>
      <c r="D3071" s="13">
        <f>_xll.EditDistance($C$3,C3071,2)</f>
        <v>10</v>
      </c>
      <c r="E3071" s="13"/>
    </row>
    <row r="3072" spans="2:5" x14ac:dyDescent="0.2">
      <c r="B3072" t="s">
        <v>5816</v>
      </c>
      <c r="C3072" t="s">
        <v>5817</v>
      </c>
      <c r="D3072" s="13">
        <f>_xll.EditDistance($C$3,C3072,2)</f>
        <v>10</v>
      </c>
      <c r="E3072" s="13"/>
    </row>
    <row r="3073" spans="2:5" x14ac:dyDescent="0.2">
      <c r="B3073" t="s">
        <v>5820</v>
      </c>
      <c r="C3073" t="s">
        <v>5821</v>
      </c>
      <c r="D3073" s="13">
        <f>_xll.EditDistance($C$3,C3073,2)</f>
        <v>10</v>
      </c>
      <c r="E3073" s="13"/>
    </row>
    <row r="3074" spans="2:5" x14ac:dyDescent="0.2">
      <c r="B3074" t="s">
        <v>5844</v>
      </c>
      <c r="C3074" t="s">
        <v>5845</v>
      </c>
      <c r="D3074" s="13">
        <f>_xll.EditDistance($C$3,C3074,2)</f>
        <v>10</v>
      </c>
      <c r="E3074" s="13"/>
    </row>
    <row r="3075" spans="2:5" x14ac:dyDescent="0.2">
      <c r="B3075" t="s">
        <v>5856</v>
      </c>
      <c r="C3075" t="s">
        <v>5857</v>
      </c>
      <c r="D3075" s="13">
        <f>_xll.EditDistance($C$3,C3075,2)</f>
        <v>10</v>
      </c>
      <c r="E3075" s="13"/>
    </row>
    <row r="3076" spans="2:5" x14ac:dyDescent="0.2">
      <c r="B3076" t="s">
        <v>5969</v>
      </c>
      <c r="C3076" t="s">
        <v>5970</v>
      </c>
      <c r="D3076" s="13">
        <f>_xll.EditDistance($C$3,C3076,2)</f>
        <v>10</v>
      </c>
      <c r="E3076" s="13"/>
    </row>
    <row r="3077" spans="2:5" x14ac:dyDescent="0.2">
      <c r="B3077" t="s">
        <v>6002</v>
      </c>
      <c r="C3077" t="s">
        <v>6003</v>
      </c>
      <c r="D3077" s="13">
        <f>_xll.EditDistance($C$3,C3077,2)</f>
        <v>10</v>
      </c>
      <c r="E3077" s="13"/>
    </row>
    <row r="3078" spans="2:5" x14ac:dyDescent="0.2">
      <c r="B3078" t="s">
        <v>6037</v>
      </c>
      <c r="C3078" t="s">
        <v>6038</v>
      </c>
      <c r="D3078" s="13">
        <f>_xll.EditDistance($C$3,C3078,2)</f>
        <v>10</v>
      </c>
      <c r="E3078" s="13"/>
    </row>
    <row r="3079" spans="2:5" x14ac:dyDescent="0.2">
      <c r="B3079" t="s">
        <v>6039</v>
      </c>
      <c r="C3079" t="s">
        <v>6040</v>
      </c>
      <c r="D3079" s="13">
        <f>_xll.EditDistance($C$3,C3079,2)</f>
        <v>10</v>
      </c>
      <c r="E3079" s="13"/>
    </row>
    <row r="3080" spans="2:5" x14ac:dyDescent="0.2">
      <c r="B3080" t="s">
        <v>6092</v>
      </c>
      <c r="C3080" t="s">
        <v>6095</v>
      </c>
      <c r="D3080" s="13">
        <f>_xll.EditDistance($C$3,C3080,2)</f>
        <v>10</v>
      </c>
      <c r="E3080" s="13"/>
    </row>
    <row r="3081" spans="2:5" x14ac:dyDescent="0.2">
      <c r="B3081" t="s">
        <v>6129</v>
      </c>
      <c r="C3081" t="s">
        <v>6130</v>
      </c>
      <c r="D3081" s="13">
        <f>_xll.EditDistance($C$3,C3081,2)</f>
        <v>10</v>
      </c>
      <c r="E3081" s="13"/>
    </row>
    <row r="3082" spans="2:5" x14ac:dyDescent="0.2">
      <c r="B3082" t="s">
        <v>6141</v>
      </c>
      <c r="C3082" t="s">
        <v>6142</v>
      </c>
      <c r="D3082" s="13">
        <f>_xll.EditDistance($C$3,C3082,2)</f>
        <v>10</v>
      </c>
      <c r="E3082" s="13"/>
    </row>
    <row r="3083" spans="2:5" x14ac:dyDescent="0.2">
      <c r="B3083" t="s">
        <v>6149</v>
      </c>
      <c r="C3083" t="s">
        <v>6150</v>
      </c>
      <c r="D3083" s="13">
        <f>_xll.EditDistance($C$3,C3083,2)</f>
        <v>10</v>
      </c>
      <c r="E3083" s="13"/>
    </row>
    <row r="3084" spans="2:5" x14ac:dyDescent="0.2">
      <c r="B3084" t="s">
        <v>6212</v>
      </c>
      <c r="C3084" t="s">
        <v>6213</v>
      </c>
      <c r="D3084" s="13">
        <f>_xll.EditDistance($C$3,C3084,2)</f>
        <v>20</v>
      </c>
      <c r="E3084" s="13"/>
    </row>
    <row r="3085" spans="2:5" x14ac:dyDescent="0.2">
      <c r="B3085" t="s">
        <v>6227</v>
      </c>
      <c r="C3085" t="s">
        <v>6228</v>
      </c>
      <c r="D3085" s="13">
        <f>_xll.EditDistance($C$3,C3085,2)</f>
        <v>10</v>
      </c>
      <c r="E3085" s="13"/>
    </row>
    <row r="3086" spans="2:5" x14ac:dyDescent="0.2">
      <c r="B3086" t="s">
        <v>6465</v>
      </c>
      <c r="C3086" t="s">
        <v>6466</v>
      </c>
      <c r="D3086" s="13">
        <f>_xll.EditDistance($C$3,C3086,2)</f>
        <v>10</v>
      </c>
      <c r="E3086" s="13"/>
    </row>
    <row r="3087" spans="2:5" x14ac:dyDescent="0.2">
      <c r="B3087" t="s">
        <v>6478</v>
      </c>
      <c r="C3087" t="s">
        <v>6479</v>
      </c>
      <c r="D3087" s="13">
        <f>_xll.EditDistance($C$3,C3087,2)</f>
        <v>10</v>
      </c>
      <c r="E3087" s="13"/>
    </row>
    <row r="3088" spans="2:5" x14ac:dyDescent="0.2">
      <c r="B3088" t="s">
        <v>6508</v>
      </c>
      <c r="C3088" t="s">
        <v>6509</v>
      </c>
      <c r="D3088" s="13">
        <f>_xll.EditDistance($C$3,C3088,2)</f>
        <v>10</v>
      </c>
      <c r="E3088" s="13"/>
    </row>
    <row r="3089" spans="2:5" x14ac:dyDescent="0.2">
      <c r="B3089" t="s">
        <v>6510</v>
      </c>
      <c r="C3089" t="s">
        <v>6511</v>
      </c>
      <c r="D3089" s="13">
        <f>_xll.EditDistance($C$3,C3089,2)</f>
        <v>10</v>
      </c>
      <c r="E3089" s="13"/>
    </row>
    <row r="3090" spans="2:5" x14ac:dyDescent="0.2">
      <c r="B3090" t="s">
        <v>6566</v>
      </c>
      <c r="C3090" t="s">
        <v>6567</v>
      </c>
      <c r="D3090" s="13">
        <f>_xll.EditDistance($C$3,C3090,2)</f>
        <v>10</v>
      </c>
      <c r="E3090" s="13"/>
    </row>
    <row r="3091" spans="2:5" x14ac:dyDescent="0.2">
      <c r="B3091" t="s">
        <v>6668</v>
      </c>
      <c r="C3091" t="s">
        <v>6669</v>
      </c>
      <c r="D3091" s="13">
        <f>_xll.EditDistance($C$3,C3091,2)</f>
        <v>10</v>
      </c>
      <c r="E3091" s="13"/>
    </row>
    <row r="3092" spans="2:5" x14ac:dyDescent="0.2">
      <c r="B3092" t="s">
        <v>6701</v>
      </c>
      <c r="C3092" t="s">
        <v>6702</v>
      </c>
      <c r="D3092" s="13">
        <f>_xll.EditDistance($C$3,C3092,2)</f>
        <v>10</v>
      </c>
      <c r="E3092" s="13"/>
    </row>
    <row r="3093" spans="2:5" x14ac:dyDescent="0.2">
      <c r="B3093" t="s">
        <v>6713</v>
      </c>
      <c r="C3093" t="s">
        <v>6714</v>
      </c>
      <c r="D3093" s="13">
        <f>_xll.EditDistance($C$3,C3093,2)</f>
        <v>10</v>
      </c>
      <c r="E3093" s="13"/>
    </row>
    <row r="3094" spans="2:5" x14ac:dyDescent="0.2">
      <c r="B3094" t="s">
        <v>6753</v>
      </c>
      <c r="C3094" t="s">
        <v>6754</v>
      </c>
      <c r="D3094" s="13">
        <f>_xll.EditDistance($C$3,C3094,2)</f>
        <v>10</v>
      </c>
      <c r="E3094" s="13"/>
    </row>
    <row r="3095" spans="2:5" x14ac:dyDescent="0.2">
      <c r="B3095" t="s">
        <v>6806</v>
      </c>
      <c r="C3095" t="s">
        <v>6807</v>
      </c>
      <c r="D3095" s="13">
        <f>_xll.EditDistance($C$3,C3095,2)</f>
        <v>10</v>
      </c>
      <c r="E3095" s="13"/>
    </row>
    <row r="3096" spans="2:5" x14ac:dyDescent="0.2">
      <c r="B3096" t="s">
        <v>6843</v>
      </c>
      <c r="C3096" t="s">
        <v>6844</v>
      </c>
      <c r="D3096" s="13">
        <f>_xll.EditDistance($C$3,C3096,2)</f>
        <v>20</v>
      </c>
      <c r="E3096" s="13"/>
    </row>
    <row r="3097" spans="2:5" x14ac:dyDescent="0.2">
      <c r="B3097" t="s">
        <v>6851</v>
      </c>
      <c r="C3097" t="s">
        <v>6852</v>
      </c>
      <c r="D3097" s="13">
        <f>_xll.EditDistance($C$3,C3097,2)</f>
        <v>10</v>
      </c>
      <c r="E3097" s="13"/>
    </row>
    <row r="3098" spans="2:5" x14ac:dyDescent="0.2">
      <c r="B3098" t="s">
        <v>6855</v>
      </c>
      <c r="C3098" t="s">
        <v>6856</v>
      </c>
      <c r="D3098" s="13">
        <f>_xll.EditDistance($C$3,C3098,2)</f>
        <v>10</v>
      </c>
      <c r="E3098" s="13"/>
    </row>
    <row r="3099" spans="2:5" x14ac:dyDescent="0.2">
      <c r="B3099" t="s">
        <v>6905</v>
      </c>
      <c r="C3099" t="s">
        <v>6906</v>
      </c>
      <c r="D3099" s="13">
        <f>_xll.EditDistance($C$3,C3099,2)</f>
        <v>10</v>
      </c>
      <c r="E3099" s="13"/>
    </row>
    <row r="3100" spans="2:5" x14ac:dyDescent="0.2">
      <c r="B3100" t="s">
        <v>6918</v>
      </c>
      <c r="C3100" t="s">
        <v>6919</v>
      </c>
      <c r="D3100" s="13">
        <f>_xll.EditDistance($C$3,C3100,2)</f>
        <v>10</v>
      </c>
      <c r="E3100" s="13"/>
    </row>
    <row r="3101" spans="2:5" x14ac:dyDescent="0.2">
      <c r="B3101" t="s">
        <v>6984</v>
      </c>
      <c r="C3101" t="s">
        <v>6985</v>
      </c>
      <c r="D3101" s="13">
        <f>_xll.EditDistance($C$3,C3101,2)</f>
        <v>10</v>
      </c>
      <c r="E3101" s="13"/>
    </row>
    <row r="3102" spans="2:5" x14ac:dyDescent="0.2">
      <c r="B3102" t="s">
        <v>7157</v>
      </c>
      <c r="C3102" t="s">
        <v>7158</v>
      </c>
      <c r="D3102" s="13">
        <f>_xll.EditDistance($C$3,C3102,2)</f>
        <v>10</v>
      </c>
      <c r="E3102" s="13"/>
    </row>
    <row r="3103" spans="2:5" x14ac:dyDescent="0.2">
      <c r="B3103" t="s">
        <v>7159</v>
      </c>
      <c r="C3103" t="s">
        <v>7160</v>
      </c>
      <c r="D3103" s="13">
        <f>_xll.EditDistance($C$3,C3103,2)</f>
        <v>10</v>
      </c>
      <c r="E3103" s="13"/>
    </row>
    <row r="3104" spans="2:5" x14ac:dyDescent="0.2">
      <c r="B3104" t="s">
        <v>7252</v>
      </c>
      <c r="C3104" t="s">
        <v>7253</v>
      </c>
      <c r="D3104" s="13">
        <f>_xll.EditDistance($C$3,C3104,2)</f>
        <v>10</v>
      </c>
      <c r="E3104" s="13"/>
    </row>
    <row r="3105" spans="2:5" x14ac:dyDescent="0.2">
      <c r="B3105" t="s">
        <v>7265</v>
      </c>
      <c r="C3105" t="s">
        <v>7266</v>
      </c>
      <c r="D3105" s="13">
        <f>_xll.EditDistance($C$3,C3105,2)</f>
        <v>10</v>
      </c>
      <c r="E3105" s="13"/>
    </row>
    <row r="3106" spans="2:5" x14ac:dyDescent="0.2">
      <c r="B3106" t="s">
        <v>7337</v>
      </c>
      <c r="C3106" t="s">
        <v>7338</v>
      </c>
      <c r="D3106" s="13">
        <f>_xll.EditDistance($C$3,C3106,2)</f>
        <v>10</v>
      </c>
      <c r="E3106" s="13"/>
    </row>
    <row r="3107" spans="2:5" x14ac:dyDescent="0.2">
      <c r="B3107" t="s">
        <v>7351</v>
      </c>
      <c r="C3107" t="s">
        <v>7352</v>
      </c>
      <c r="D3107" s="13">
        <f>_xll.EditDistance($C$3,C3107,2)</f>
        <v>10</v>
      </c>
      <c r="E3107" s="13"/>
    </row>
    <row r="3108" spans="2:5" x14ac:dyDescent="0.2">
      <c r="B3108" t="s">
        <v>7365</v>
      </c>
      <c r="C3108" t="s">
        <v>7366</v>
      </c>
      <c r="D3108" s="13">
        <f>_xll.EditDistance($C$3,C3108,2)</f>
        <v>10</v>
      </c>
      <c r="E3108" s="13"/>
    </row>
    <row r="3109" spans="2:5" x14ac:dyDescent="0.2">
      <c r="B3109" t="s">
        <v>7390</v>
      </c>
      <c r="C3109" t="s">
        <v>7391</v>
      </c>
      <c r="D3109" s="13">
        <f>_xll.EditDistance($C$3,C3109,2)</f>
        <v>10</v>
      </c>
      <c r="E3109" s="13"/>
    </row>
    <row r="3110" spans="2:5" x14ac:dyDescent="0.2">
      <c r="B3110" t="s">
        <v>7461</v>
      </c>
      <c r="C3110" t="s">
        <v>7462</v>
      </c>
      <c r="D3110" s="13">
        <f>_xll.EditDistance($C$3,C3110,2)</f>
        <v>20</v>
      </c>
      <c r="E3110" s="13"/>
    </row>
    <row r="3111" spans="2:5" x14ac:dyDescent="0.2">
      <c r="B3111" t="s">
        <v>7482</v>
      </c>
      <c r="C3111" t="s">
        <v>7483</v>
      </c>
      <c r="D3111" s="13">
        <f>_xll.EditDistance($C$3,C3111,2)</f>
        <v>10</v>
      </c>
      <c r="E3111" s="13"/>
    </row>
    <row r="3112" spans="2:5" x14ac:dyDescent="0.2">
      <c r="B3112" t="s">
        <v>7557</v>
      </c>
      <c r="C3112" t="s">
        <v>7558</v>
      </c>
      <c r="D3112" s="13">
        <f>_xll.EditDistance($C$3,C3112,2)</f>
        <v>10</v>
      </c>
      <c r="E3112" s="13"/>
    </row>
    <row r="3113" spans="2:5" x14ac:dyDescent="0.2">
      <c r="B3113" t="s">
        <v>7581</v>
      </c>
      <c r="C3113" t="s">
        <v>7582</v>
      </c>
      <c r="D3113" s="13">
        <f>_xll.EditDistance($C$3,C3113,2)</f>
        <v>30</v>
      </c>
      <c r="E3113" s="13"/>
    </row>
    <row r="3114" spans="2:5" x14ac:dyDescent="0.2">
      <c r="B3114" t="s">
        <v>7648</v>
      </c>
      <c r="C3114" t="s">
        <v>7649</v>
      </c>
      <c r="D3114" s="13">
        <f>_xll.EditDistance($C$3,C3114,2)</f>
        <v>10</v>
      </c>
      <c r="E3114" s="13"/>
    </row>
    <row r="3115" spans="2:5" x14ac:dyDescent="0.2">
      <c r="B3115" t="s">
        <v>7665</v>
      </c>
      <c r="C3115" t="s">
        <v>7666</v>
      </c>
      <c r="D3115" s="13">
        <f>_xll.EditDistance($C$3,C3115,2)</f>
        <v>10</v>
      </c>
      <c r="E3115" s="13"/>
    </row>
    <row r="3116" spans="2:5" x14ac:dyDescent="0.2">
      <c r="B3116" t="s">
        <v>7681</v>
      </c>
      <c r="C3116" t="s">
        <v>7682</v>
      </c>
      <c r="D3116" s="13">
        <f>_xll.EditDistance($C$3,C3116,2)</f>
        <v>10</v>
      </c>
      <c r="E3116" s="13"/>
    </row>
    <row r="3117" spans="2:5" x14ac:dyDescent="0.2">
      <c r="B3117" t="s">
        <v>7736</v>
      </c>
      <c r="C3117" t="s">
        <v>7737</v>
      </c>
      <c r="D3117" s="13">
        <f>_xll.EditDistance($C$3,C3117,2)</f>
        <v>10</v>
      </c>
      <c r="E3117" s="13"/>
    </row>
    <row r="3118" spans="2:5" x14ac:dyDescent="0.2">
      <c r="B3118" t="s">
        <v>7740</v>
      </c>
      <c r="C3118" t="s">
        <v>7741</v>
      </c>
      <c r="D3118" s="13">
        <f>_xll.EditDistance($C$3,C3118,2)</f>
        <v>10</v>
      </c>
      <c r="E3118" s="13"/>
    </row>
    <row r="3119" spans="2:5" x14ac:dyDescent="0.2">
      <c r="B3119" t="s">
        <v>7816</v>
      </c>
      <c r="C3119" t="s">
        <v>7817</v>
      </c>
      <c r="D3119" s="13">
        <f>_xll.EditDistance($C$3,C3119,2)</f>
        <v>10</v>
      </c>
      <c r="E3119" s="13"/>
    </row>
    <row r="3120" spans="2:5" x14ac:dyDescent="0.2">
      <c r="B3120" t="s">
        <v>7893</v>
      </c>
      <c r="C3120" t="s">
        <v>7894</v>
      </c>
      <c r="D3120" s="13">
        <f>_xll.EditDistance($C$3,C3120,2)</f>
        <v>10</v>
      </c>
      <c r="E3120" s="13"/>
    </row>
    <row r="3121" spans="2:5" x14ac:dyDescent="0.2">
      <c r="B3121" t="s">
        <v>7901</v>
      </c>
      <c r="C3121" t="s">
        <v>7902</v>
      </c>
      <c r="D3121" s="13">
        <f>_xll.EditDistance($C$3,C3121,2)</f>
        <v>10</v>
      </c>
      <c r="E3121" s="13"/>
    </row>
    <row r="3122" spans="2:5" x14ac:dyDescent="0.2">
      <c r="B3122" t="s">
        <v>7984</v>
      </c>
      <c r="C3122" t="s">
        <v>7985</v>
      </c>
      <c r="D3122" s="13">
        <f>_xll.EditDistance($C$3,C3122,2)</f>
        <v>10</v>
      </c>
      <c r="E3122" s="13"/>
    </row>
    <row r="3123" spans="2:5" x14ac:dyDescent="0.2">
      <c r="B3123" t="s">
        <v>8002</v>
      </c>
      <c r="C3123" t="s">
        <v>8003</v>
      </c>
      <c r="D3123" s="13">
        <f>_xll.EditDistance($C$3,C3123,2)</f>
        <v>10</v>
      </c>
      <c r="E3123" s="13"/>
    </row>
    <row r="3124" spans="2:5" x14ac:dyDescent="0.2">
      <c r="B3124" t="s">
        <v>8010</v>
      </c>
      <c r="C3124" t="s">
        <v>8011</v>
      </c>
      <c r="D3124" s="13">
        <f>_xll.EditDistance($C$3,C3124,2)</f>
        <v>10</v>
      </c>
      <c r="E3124" s="13"/>
    </row>
    <row r="3125" spans="2:5" x14ac:dyDescent="0.2">
      <c r="B3125" t="s">
        <v>8024</v>
      </c>
      <c r="C3125" t="s">
        <v>8025</v>
      </c>
      <c r="D3125" s="13">
        <f>_xll.EditDistance($C$3,C3125,2)</f>
        <v>10</v>
      </c>
      <c r="E3125" s="13"/>
    </row>
    <row r="3126" spans="2:5" x14ac:dyDescent="0.2">
      <c r="B3126" t="s">
        <v>8039</v>
      </c>
      <c r="C3126" t="s">
        <v>8041</v>
      </c>
      <c r="D3126" s="13">
        <f>_xll.EditDistance($C$3,C3126,2)</f>
        <v>10</v>
      </c>
      <c r="E3126" s="13"/>
    </row>
    <row r="3127" spans="2:5" x14ac:dyDescent="0.2">
      <c r="B3127" t="s">
        <v>8046</v>
      </c>
      <c r="C3127" t="s">
        <v>8047</v>
      </c>
      <c r="D3127" s="13">
        <f>_xll.EditDistance($C$3,C3127,2)</f>
        <v>10</v>
      </c>
      <c r="E3127" s="13"/>
    </row>
    <row r="3128" spans="2:5" x14ac:dyDescent="0.2">
      <c r="B3128" t="s">
        <v>8056</v>
      </c>
      <c r="C3128" t="s">
        <v>8057</v>
      </c>
      <c r="D3128" s="13">
        <f>_xll.EditDistance($C$3,C3128,2)</f>
        <v>10</v>
      </c>
      <c r="E3128" s="13"/>
    </row>
    <row r="3129" spans="2:5" x14ac:dyDescent="0.2">
      <c r="B3129" t="s">
        <v>8074</v>
      </c>
      <c r="C3129" t="s">
        <v>8075</v>
      </c>
      <c r="D3129" s="13">
        <f>_xll.EditDistance($C$3,C3129,2)</f>
        <v>10</v>
      </c>
      <c r="E3129" s="13"/>
    </row>
    <row r="3130" spans="2:5" x14ac:dyDescent="0.2">
      <c r="B3130" t="s">
        <v>8096</v>
      </c>
      <c r="C3130" t="s">
        <v>8098</v>
      </c>
      <c r="D3130" s="13">
        <f>_xll.EditDistance($C$3,C3130,2)</f>
        <v>10</v>
      </c>
      <c r="E3130" s="13"/>
    </row>
    <row r="3131" spans="2:5" x14ac:dyDescent="0.2">
      <c r="B3131" t="s">
        <v>8126</v>
      </c>
      <c r="C3131" t="s">
        <v>8127</v>
      </c>
      <c r="D3131" s="13">
        <f>_xll.EditDistance($C$3,C3131,2)</f>
        <v>10</v>
      </c>
      <c r="E3131" s="13"/>
    </row>
    <row r="3132" spans="2:5" x14ac:dyDescent="0.2">
      <c r="B3132" t="s">
        <v>8164</v>
      </c>
      <c r="C3132" t="s">
        <v>8165</v>
      </c>
      <c r="D3132" s="13">
        <f>_xll.EditDistance($C$3,C3132,2)</f>
        <v>10</v>
      </c>
      <c r="E3132" s="13"/>
    </row>
    <row r="3133" spans="2:5" x14ac:dyDescent="0.2">
      <c r="B3133" t="s">
        <v>8206</v>
      </c>
      <c r="C3133" t="s">
        <v>8207</v>
      </c>
      <c r="D3133" s="13">
        <f>_xll.EditDistance($C$3,C3133,2)</f>
        <v>30</v>
      </c>
      <c r="E3133" s="13"/>
    </row>
    <row r="3134" spans="2:5" x14ac:dyDescent="0.2">
      <c r="B3134" t="s">
        <v>8242</v>
      </c>
      <c r="C3134" t="s">
        <v>8243</v>
      </c>
      <c r="D3134" s="13">
        <f>_xll.EditDistance($C$3,C3134,2)</f>
        <v>10</v>
      </c>
      <c r="E3134" s="13"/>
    </row>
    <row r="3135" spans="2:5" x14ac:dyDescent="0.2">
      <c r="B3135" t="s">
        <v>8268</v>
      </c>
      <c r="C3135" t="s">
        <v>8269</v>
      </c>
      <c r="D3135" s="13">
        <f>_xll.EditDistance($C$3,C3135,2)</f>
        <v>10</v>
      </c>
      <c r="E3135" s="13"/>
    </row>
    <row r="3136" spans="2:5" x14ac:dyDescent="0.2">
      <c r="B3136" t="s">
        <v>8296</v>
      </c>
      <c r="C3136" t="s">
        <v>8297</v>
      </c>
      <c r="D3136" s="13">
        <f>_xll.EditDistance($C$3,C3136,2)</f>
        <v>10</v>
      </c>
      <c r="E3136" s="13"/>
    </row>
    <row r="3137" spans="2:5" x14ac:dyDescent="0.2">
      <c r="B3137" t="s">
        <v>8300</v>
      </c>
      <c r="C3137" t="s">
        <v>8301</v>
      </c>
      <c r="D3137" s="13">
        <f>_xll.EditDistance($C$3,C3137,2)</f>
        <v>10</v>
      </c>
      <c r="E3137" s="13"/>
    </row>
    <row r="3138" spans="2:5" x14ac:dyDescent="0.2">
      <c r="B3138" t="s">
        <v>8310</v>
      </c>
      <c r="C3138" t="s">
        <v>8311</v>
      </c>
      <c r="D3138" s="13">
        <f>_xll.EditDistance($C$3,C3138,2)</f>
        <v>10</v>
      </c>
      <c r="E3138" s="13"/>
    </row>
    <row r="3139" spans="2:5" x14ac:dyDescent="0.2">
      <c r="B3139" t="s">
        <v>8317</v>
      </c>
      <c r="C3139" t="s">
        <v>8318</v>
      </c>
      <c r="D3139" s="13">
        <f>_xll.EditDistance($C$3,C3139,2)</f>
        <v>10</v>
      </c>
      <c r="E3139" s="13"/>
    </row>
    <row r="3140" spans="2:5" x14ac:dyDescent="0.2">
      <c r="B3140" t="s">
        <v>8325</v>
      </c>
      <c r="C3140" t="s">
        <v>8326</v>
      </c>
      <c r="D3140" s="13">
        <f>_xll.EditDistance($C$3,C3140,2)</f>
        <v>10</v>
      </c>
      <c r="E3140" s="13"/>
    </row>
    <row r="3141" spans="2:5" x14ac:dyDescent="0.2">
      <c r="B3141" t="s">
        <v>8366</v>
      </c>
      <c r="C3141" t="s">
        <v>8368</v>
      </c>
      <c r="D3141" s="13">
        <f>_xll.EditDistance($C$3,C3141,2)</f>
        <v>10</v>
      </c>
      <c r="E3141" s="13"/>
    </row>
    <row r="3142" spans="2:5" x14ac:dyDescent="0.2">
      <c r="B3142" t="s">
        <v>8494</v>
      </c>
      <c r="C3142" t="s">
        <v>8495</v>
      </c>
      <c r="D3142" s="13">
        <f>_xll.EditDistance($C$3,C3142,2)</f>
        <v>10</v>
      </c>
      <c r="E3142" s="13"/>
    </row>
    <row r="3143" spans="2:5" x14ac:dyDescent="0.2">
      <c r="B3143" t="s">
        <v>8502</v>
      </c>
      <c r="C3143" t="s">
        <v>8503</v>
      </c>
      <c r="D3143" s="13">
        <f>_xll.EditDistance($C$3,C3143,2)</f>
        <v>10</v>
      </c>
      <c r="E3143" s="13"/>
    </row>
    <row r="3144" spans="2:5" x14ac:dyDescent="0.2">
      <c r="B3144" t="s">
        <v>8568</v>
      </c>
      <c r="C3144" t="s">
        <v>8569</v>
      </c>
      <c r="D3144" s="13">
        <f>_xll.EditDistance($C$3,C3144,2)</f>
        <v>10</v>
      </c>
      <c r="E3144" s="13"/>
    </row>
    <row r="3145" spans="2:5" x14ac:dyDescent="0.2">
      <c r="B3145" t="s">
        <v>8588</v>
      </c>
      <c r="C3145" t="s">
        <v>8589</v>
      </c>
      <c r="D3145" s="13">
        <f>_xll.EditDistance($C$3,C3145,2)</f>
        <v>10</v>
      </c>
      <c r="E3145" s="13"/>
    </row>
    <row r="3146" spans="2:5" x14ac:dyDescent="0.2">
      <c r="B3146" t="s">
        <v>8602</v>
      </c>
      <c r="C3146" t="s">
        <v>8603</v>
      </c>
      <c r="D3146" s="13">
        <f>_xll.EditDistance($C$3,C3146,2)</f>
        <v>10</v>
      </c>
      <c r="E3146" s="13"/>
    </row>
    <row r="3147" spans="2:5" x14ac:dyDescent="0.2">
      <c r="B3147" t="s">
        <v>8641</v>
      </c>
      <c r="C3147" t="s">
        <v>8642</v>
      </c>
      <c r="D3147" s="13">
        <f>_xll.EditDistance($C$3,C3147,2)</f>
        <v>10</v>
      </c>
      <c r="E3147" s="13"/>
    </row>
    <row r="3148" spans="2:5" x14ac:dyDescent="0.2">
      <c r="B3148" t="s">
        <v>8645</v>
      </c>
      <c r="C3148" t="s">
        <v>8646</v>
      </c>
      <c r="D3148" s="13">
        <f>_xll.EditDistance($C$3,C3148,2)</f>
        <v>10</v>
      </c>
      <c r="E3148" s="13"/>
    </row>
    <row r="3149" spans="2:5" x14ac:dyDescent="0.2">
      <c r="B3149" t="s">
        <v>8647</v>
      </c>
      <c r="C3149" t="s">
        <v>8648</v>
      </c>
      <c r="D3149" s="13">
        <f>_xll.EditDistance($C$3,C3149,2)</f>
        <v>10</v>
      </c>
      <c r="E3149" s="13"/>
    </row>
    <row r="3150" spans="2:5" x14ac:dyDescent="0.2">
      <c r="B3150" t="s">
        <v>526</v>
      </c>
      <c r="C3150" t="s">
        <v>527</v>
      </c>
      <c r="D3150" s="13">
        <f>_xll.EditDistance($C$3,C3150,2)</f>
        <v>10</v>
      </c>
      <c r="E3150" s="13"/>
    </row>
    <row r="3151" spans="2:5" x14ac:dyDescent="0.2">
      <c r="B3151" t="s">
        <v>706</v>
      </c>
      <c r="C3151" t="s">
        <v>707</v>
      </c>
      <c r="D3151" s="13">
        <f>_xll.EditDistance($C$3,C3151,2)</f>
        <v>10</v>
      </c>
      <c r="E3151" s="13"/>
    </row>
    <row r="3152" spans="2:5" x14ac:dyDescent="0.2">
      <c r="B3152" t="s">
        <v>725</v>
      </c>
      <c r="C3152" t="s">
        <v>726</v>
      </c>
      <c r="D3152" s="13">
        <f>_xll.EditDistance($C$3,C3152,2)</f>
        <v>10</v>
      </c>
      <c r="E3152" s="13"/>
    </row>
    <row r="3153" spans="2:5" x14ac:dyDescent="0.2">
      <c r="B3153" t="s">
        <v>1044</v>
      </c>
      <c r="C3153" t="s">
        <v>1045</v>
      </c>
      <c r="D3153" s="13">
        <f>_xll.EditDistance($C$3,C3153,2)</f>
        <v>10</v>
      </c>
      <c r="E3153" s="13"/>
    </row>
    <row r="3154" spans="2:5" x14ac:dyDescent="0.2">
      <c r="B3154" t="s">
        <v>1385</v>
      </c>
      <c r="C3154" t="s">
        <v>1386</v>
      </c>
      <c r="D3154" s="13">
        <f>_xll.EditDistance($C$3,C3154,2)</f>
        <v>10</v>
      </c>
      <c r="E3154" s="13"/>
    </row>
    <row r="3155" spans="2:5" x14ac:dyDescent="0.2">
      <c r="B3155" t="s">
        <v>1495</v>
      </c>
      <c r="C3155" t="s">
        <v>1496</v>
      </c>
      <c r="D3155" s="13">
        <f>_xll.EditDistance($C$3,C3155,2)</f>
        <v>20</v>
      </c>
      <c r="E3155" s="13"/>
    </row>
    <row r="3156" spans="2:5" x14ac:dyDescent="0.2">
      <c r="B3156" t="s">
        <v>1552</v>
      </c>
      <c r="C3156" t="s">
        <v>1553</v>
      </c>
      <c r="D3156" s="13">
        <f>_xll.EditDistance($C$3,C3156,2)</f>
        <v>20</v>
      </c>
      <c r="E3156" s="13"/>
    </row>
    <row r="3157" spans="2:5" x14ac:dyDescent="0.2">
      <c r="B3157" t="s">
        <v>1712</v>
      </c>
      <c r="C3157" t="s">
        <v>1713</v>
      </c>
      <c r="D3157" s="13">
        <f>_xll.EditDistance($C$3,C3157,2)</f>
        <v>10</v>
      </c>
      <c r="E3157" s="13"/>
    </row>
    <row r="3158" spans="2:5" x14ac:dyDescent="0.2">
      <c r="B3158" t="s">
        <v>1853</v>
      </c>
      <c r="C3158" t="s">
        <v>1854</v>
      </c>
      <c r="D3158" s="13">
        <f>_xll.EditDistance($C$3,C3158,2)</f>
        <v>10</v>
      </c>
      <c r="E3158" s="13"/>
    </row>
    <row r="3159" spans="2:5" x14ac:dyDescent="0.2">
      <c r="B3159" t="s">
        <v>2123</v>
      </c>
      <c r="C3159" t="s">
        <v>2124</v>
      </c>
      <c r="D3159" s="13">
        <f>_xll.EditDistance($C$3,C3159,2)</f>
        <v>10</v>
      </c>
      <c r="E3159" s="13"/>
    </row>
    <row r="3160" spans="2:5" x14ac:dyDescent="0.2">
      <c r="B3160" t="s">
        <v>2540</v>
      </c>
      <c r="C3160" t="s">
        <v>2541</v>
      </c>
      <c r="D3160" s="13">
        <f>_xll.EditDistance($C$3,C3160,2)</f>
        <v>10</v>
      </c>
      <c r="E3160" s="13"/>
    </row>
    <row r="3161" spans="2:5" x14ac:dyDescent="0.2">
      <c r="B3161" t="s">
        <v>2676</v>
      </c>
      <c r="C3161" t="s">
        <v>2677</v>
      </c>
      <c r="D3161" s="13">
        <f>_xll.EditDistance($C$3,C3161,2)</f>
        <v>10</v>
      </c>
      <c r="E3161" s="13"/>
    </row>
    <row r="3162" spans="2:5" x14ac:dyDescent="0.2">
      <c r="B3162" t="s">
        <v>2969</v>
      </c>
      <c r="C3162" t="s">
        <v>2970</v>
      </c>
      <c r="D3162" s="13">
        <f>_xll.EditDistance($C$3,C3162,2)</f>
        <v>10</v>
      </c>
      <c r="E3162" s="13"/>
    </row>
    <row r="3163" spans="2:5" x14ac:dyDescent="0.2">
      <c r="B3163" t="s">
        <v>3175</v>
      </c>
      <c r="C3163" t="s">
        <v>3176</v>
      </c>
      <c r="D3163" s="13">
        <f>_xll.EditDistance($C$3,C3163,2)</f>
        <v>10</v>
      </c>
      <c r="E3163" s="13"/>
    </row>
    <row r="3164" spans="2:5" x14ac:dyDescent="0.2">
      <c r="B3164" t="s">
        <v>3492</v>
      </c>
      <c r="C3164" t="s">
        <v>3493</v>
      </c>
      <c r="D3164" s="13">
        <f>_xll.EditDistance($C$3,C3164,2)</f>
        <v>10</v>
      </c>
      <c r="E3164" s="13"/>
    </row>
    <row r="3165" spans="2:5" x14ac:dyDescent="0.2">
      <c r="B3165" t="s">
        <v>3810</v>
      </c>
      <c r="C3165" t="s">
        <v>3811</v>
      </c>
      <c r="D3165" s="13">
        <f>_xll.EditDistance($C$3,C3165,2)</f>
        <v>10</v>
      </c>
      <c r="E3165" s="13"/>
    </row>
    <row r="3166" spans="2:5" x14ac:dyDescent="0.2">
      <c r="B3166" t="s">
        <v>4394</v>
      </c>
      <c r="C3166" t="s">
        <v>4395</v>
      </c>
      <c r="D3166" s="13">
        <f>_xll.EditDistance($C$3,C3166,2)</f>
        <v>10</v>
      </c>
      <c r="E3166" s="13"/>
    </row>
    <row r="3167" spans="2:5" x14ac:dyDescent="0.2">
      <c r="B3167" t="s">
        <v>4958</v>
      </c>
      <c r="C3167" t="s">
        <v>4959</v>
      </c>
      <c r="D3167" s="13">
        <f>_xll.EditDistance($C$3,C3167,2)</f>
        <v>10</v>
      </c>
      <c r="E3167" s="13"/>
    </row>
    <row r="3168" spans="2:5" x14ac:dyDescent="0.2">
      <c r="B3168" t="s">
        <v>5874</v>
      </c>
      <c r="C3168" t="s">
        <v>5875</v>
      </c>
      <c r="D3168" s="13">
        <f>_xll.EditDistance($C$3,C3168,2)</f>
        <v>20</v>
      </c>
      <c r="E3168" s="13"/>
    </row>
    <row r="3169" spans="2:5" x14ac:dyDescent="0.2">
      <c r="B3169" t="s">
        <v>5914</v>
      </c>
      <c r="C3169" t="s">
        <v>5915</v>
      </c>
      <c r="D3169" s="13">
        <f>_xll.EditDistance($C$3,C3169,2)</f>
        <v>10</v>
      </c>
      <c r="E3169" s="13"/>
    </row>
    <row r="3170" spans="2:5" x14ac:dyDescent="0.2">
      <c r="B3170" t="s">
        <v>6204</v>
      </c>
      <c r="C3170" t="s">
        <v>6205</v>
      </c>
      <c r="D3170" s="13">
        <f>_xll.EditDistance($C$3,C3170,2)</f>
        <v>10</v>
      </c>
      <c r="E3170" s="13"/>
    </row>
    <row r="3171" spans="2:5" x14ac:dyDescent="0.2">
      <c r="B3171" t="s">
        <v>7312</v>
      </c>
      <c r="C3171" t="s">
        <v>7314</v>
      </c>
      <c r="D3171" s="13">
        <f>_xll.EditDistance($C$3,C3171,2)</f>
        <v>10</v>
      </c>
      <c r="E3171" s="13"/>
    </row>
    <row r="3172" spans="2:5" x14ac:dyDescent="0.2">
      <c r="B3172" t="s">
        <v>7826</v>
      </c>
      <c r="C3172" t="s">
        <v>7827</v>
      </c>
      <c r="D3172" s="13">
        <f>_xll.EditDistance($C$3,C3172,2)</f>
        <v>10</v>
      </c>
      <c r="E3172" s="13"/>
    </row>
    <row r="3173" spans="2:5" x14ac:dyDescent="0.2">
      <c r="B3173" t="s">
        <v>8186</v>
      </c>
      <c r="C3173" t="s">
        <v>8187</v>
      </c>
      <c r="D3173" s="13">
        <f>_xll.EditDistance($C$3,C3173,2)</f>
        <v>10</v>
      </c>
      <c r="E3173" s="13"/>
    </row>
    <row r="3174" spans="2:5" x14ac:dyDescent="0.2">
      <c r="B3174" t="s">
        <v>8455</v>
      </c>
      <c r="C3174" t="s">
        <v>8456</v>
      </c>
      <c r="D3174" s="13">
        <f>_xll.EditDistance($C$3,C3174,2)</f>
        <v>10</v>
      </c>
      <c r="E3174" s="13"/>
    </row>
    <row r="3175" spans="2:5" x14ac:dyDescent="0.2">
      <c r="B3175" t="s">
        <v>8604</v>
      </c>
      <c r="C3175" t="s">
        <v>8606</v>
      </c>
      <c r="D3175" s="13">
        <f>_xll.EditDistance($C$3,C3175,2)</f>
        <v>30</v>
      </c>
      <c r="E3175" s="13"/>
    </row>
    <row r="3176" spans="2:5" x14ac:dyDescent="0.2">
      <c r="B3176" t="s">
        <v>335</v>
      </c>
      <c r="C3176" t="s">
        <v>336</v>
      </c>
      <c r="D3176" s="13">
        <f>_xll.EditDistance($C$3,C3176,2)</f>
        <v>20</v>
      </c>
      <c r="E3176" s="13"/>
    </row>
    <row r="3177" spans="2:5" x14ac:dyDescent="0.2">
      <c r="B3177" s="22" t="s">
        <v>545</v>
      </c>
      <c r="C3177" t="s">
        <v>547</v>
      </c>
      <c r="D3177" s="13">
        <f>_xll.EditDistance($C$3,C3177,2)</f>
        <v>30</v>
      </c>
      <c r="E3177" s="13"/>
    </row>
    <row r="3178" spans="2:5" x14ac:dyDescent="0.2">
      <c r="B3178" t="s">
        <v>1111</v>
      </c>
      <c r="C3178" t="s">
        <v>1112</v>
      </c>
      <c r="D3178" s="13">
        <f>_xll.EditDistance($C$3,C3178,2)</f>
        <v>10</v>
      </c>
      <c r="E3178" s="13"/>
    </row>
    <row r="3179" spans="2:5" x14ac:dyDescent="0.2">
      <c r="B3179" t="s">
        <v>2041</v>
      </c>
      <c r="C3179" t="s">
        <v>2042</v>
      </c>
      <c r="D3179" s="13">
        <f>_xll.EditDistance($C$3,C3179,2)</f>
        <v>10</v>
      </c>
      <c r="E3179" s="13"/>
    </row>
    <row r="3180" spans="2:5" x14ac:dyDescent="0.2">
      <c r="B3180" t="s">
        <v>2535</v>
      </c>
      <c r="C3180" t="s">
        <v>2536</v>
      </c>
      <c r="D3180" s="13">
        <f>_xll.EditDistance($C$3,C3180,2)</f>
        <v>20</v>
      </c>
      <c r="E3180" s="13"/>
    </row>
    <row r="3181" spans="2:5" x14ac:dyDescent="0.2">
      <c r="B3181" s="22" t="s">
        <v>2682</v>
      </c>
      <c r="C3181" t="s">
        <v>2683</v>
      </c>
      <c r="D3181" s="13">
        <f>_xll.EditDistance($C$3,C3181,2)</f>
        <v>10</v>
      </c>
      <c r="E3181" s="13"/>
    </row>
    <row r="3182" spans="2:5" x14ac:dyDescent="0.2">
      <c r="B3182" t="s">
        <v>2737</v>
      </c>
      <c r="C3182" t="s">
        <v>2738</v>
      </c>
      <c r="D3182" s="13">
        <f>_xll.EditDistance($C$3,C3182,2)</f>
        <v>10</v>
      </c>
      <c r="E3182" s="13"/>
    </row>
    <row r="3183" spans="2:5" x14ac:dyDescent="0.2">
      <c r="B3183" t="s">
        <v>3002</v>
      </c>
      <c r="C3183" t="s">
        <v>3003</v>
      </c>
      <c r="D3183" s="13">
        <f>_xll.EditDistance($C$3,C3183,2)</f>
        <v>20</v>
      </c>
      <c r="E3183" s="13"/>
    </row>
    <row r="3184" spans="2:5" x14ac:dyDescent="0.2">
      <c r="B3184" t="s">
        <v>3940</v>
      </c>
      <c r="C3184" t="s">
        <v>3941</v>
      </c>
      <c r="D3184" s="13">
        <f>_xll.EditDistance($C$3,C3184,2)</f>
        <v>10</v>
      </c>
      <c r="E3184" s="13"/>
    </row>
    <row r="3185" spans="2:5" x14ac:dyDescent="0.2">
      <c r="B3185" t="s">
        <v>4308</v>
      </c>
      <c r="C3185" t="s">
        <v>4310</v>
      </c>
      <c r="D3185" s="13">
        <f>_xll.EditDistance($C$3,C3185,2)</f>
        <v>30</v>
      </c>
      <c r="E3185" s="13"/>
    </row>
    <row r="3186" spans="2:5" x14ac:dyDescent="0.2">
      <c r="B3186" t="s">
        <v>4500</v>
      </c>
      <c r="C3186" t="s">
        <v>4501</v>
      </c>
      <c r="D3186" s="13">
        <f>_xll.EditDistance($C$3,C3186,2)</f>
        <v>20</v>
      </c>
      <c r="E3186" s="13"/>
    </row>
    <row r="3187" spans="2:5" x14ac:dyDescent="0.2">
      <c r="B3187" t="s">
        <v>5010</v>
      </c>
      <c r="C3187" t="s">
        <v>5011</v>
      </c>
      <c r="D3187" s="13">
        <f>_xll.EditDistance($C$3,C3187,2)</f>
        <v>10</v>
      </c>
      <c r="E3187" s="13"/>
    </row>
    <row r="3188" spans="2:5" x14ac:dyDescent="0.2">
      <c r="B3188" t="s">
        <v>5012</v>
      </c>
      <c r="C3188" t="s">
        <v>5013</v>
      </c>
      <c r="D3188" s="13">
        <f>_xll.EditDistance($C$3,C3188,2)</f>
        <v>10</v>
      </c>
      <c r="E3188" s="13"/>
    </row>
    <row r="3189" spans="2:5" x14ac:dyDescent="0.2">
      <c r="B3189" t="s">
        <v>5644</v>
      </c>
      <c r="C3189" t="s">
        <v>5645</v>
      </c>
      <c r="D3189" s="13">
        <f>_xll.EditDistance($C$3,C3189,2)</f>
        <v>20</v>
      </c>
      <c r="E3189" s="13"/>
    </row>
    <row r="3190" spans="2:5" x14ac:dyDescent="0.2">
      <c r="B3190" t="s">
        <v>6035</v>
      </c>
      <c r="C3190" t="s">
        <v>6036</v>
      </c>
      <c r="D3190" s="13">
        <f>_xll.EditDistance($C$3,C3190,2)</f>
        <v>10</v>
      </c>
      <c r="E3190" s="13"/>
    </row>
    <row r="3191" spans="2:5" x14ac:dyDescent="0.2">
      <c r="B3191" t="s">
        <v>6357</v>
      </c>
      <c r="C3191" t="s">
        <v>6358</v>
      </c>
      <c r="D3191" s="13">
        <f>_xll.EditDistance($C$3,C3191,2)</f>
        <v>20</v>
      </c>
      <c r="E3191" s="13"/>
    </row>
    <row r="3192" spans="2:5" x14ac:dyDescent="0.2">
      <c r="B3192" t="s">
        <v>6372</v>
      </c>
      <c r="C3192" t="s">
        <v>6373</v>
      </c>
      <c r="D3192" s="13">
        <f>_xll.EditDistance($C$3,C3192,2)</f>
        <v>10</v>
      </c>
      <c r="E3192" s="13"/>
    </row>
    <row r="3193" spans="2:5" x14ac:dyDescent="0.2">
      <c r="B3193" t="s">
        <v>6417</v>
      </c>
      <c r="C3193" t="s">
        <v>6418</v>
      </c>
      <c r="D3193" s="13">
        <f>_xll.EditDistance($C$3,C3193,2)</f>
        <v>20</v>
      </c>
      <c r="E3193" s="13"/>
    </row>
    <row r="3194" spans="2:5" x14ac:dyDescent="0.2">
      <c r="B3194" t="s">
        <v>6962</v>
      </c>
      <c r="C3194" t="s">
        <v>6963</v>
      </c>
      <c r="D3194" s="13">
        <f>_xll.EditDistance($C$3,C3194,2)</f>
        <v>10</v>
      </c>
      <c r="E3194" s="13"/>
    </row>
    <row r="3195" spans="2:5" x14ac:dyDescent="0.2">
      <c r="B3195" t="s">
        <v>7256</v>
      </c>
      <c r="C3195" t="s">
        <v>7257</v>
      </c>
      <c r="D3195" s="13">
        <f>_xll.EditDistance($C$3,C3195,2)</f>
        <v>20</v>
      </c>
      <c r="E3195" s="13"/>
    </row>
    <row r="3196" spans="2:5" x14ac:dyDescent="0.2">
      <c r="B3196" t="s">
        <v>7798</v>
      </c>
      <c r="C3196" t="s">
        <v>7799</v>
      </c>
      <c r="D3196" s="13">
        <f>_xll.EditDistance($C$3,C3196,2)</f>
        <v>10</v>
      </c>
      <c r="E3196" s="13"/>
    </row>
    <row r="3197" spans="2:5" x14ac:dyDescent="0.2">
      <c r="B3197" t="s">
        <v>7856</v>
      </c>
      <c r="C3197" t="s">
        <v>7857</v>
      </c>
      <c r="D3197" s="13">
        <f>_xll.EditDistance($C$3,C3197,2)</f>
        <v>10</v>
      </c>
      <c r="E3197" s="13"/>
    </row>
    <row r="3198" spans="2:5" x14ac:dyDescent="0.2">
      <c r="B3198" t="s">
        <v>7858</v>
      </c>
      <c r="C3198" t="s">
        <v>7859</v>
      </c>
      <c r="D3198" s="13">
        <f>_xll.EditDistance($C$3,C3198,2)</f>
        <v>10</v>
      </c>
      <c r="E3198" s="13"/>
    </row>
    <row r="3199" spans="2:5" x14ac:dyDescent="0.2">
      <c r="B3199" t="s">
        <v>8099</v>
      </c>
      <c r="C3199" t="s">
        <v>8100</v>
      </c>
      <c r="D3199" s="13">
        <f>_xll.EditDistance($C$3,C3199,2)</f>
        <v>10</v>
      </c>
      <c r="E3199" s="13"/>
    </row>
    <row r="3200" spans="2:5" x14ac:dyDescent="0.2">
      <c r="B3200" t="s">
        <v>1377</v>
      </c>
      <c r="C3200" t="s">
        <v>1378</v>
      </c>
      <c r="D3200" s="13">
        <f>_xll.EditDistance($C$3,C3200,2)</f>
        <v>10</v>
      </c>
      <c r="E3200" s="13"/>
    </row>
    <row r="3201" spans="2:5" x14ac:dyDescent="0.2">
      <c r="B3201" t="s">
        <v>1696</v>
      </c>
      <c r="C3201" t="s">
        <v>1697</v>
      </c>
      <c r="D3201" s="13">
        <f>_xll.EditDistance($C$3,C3201,2)</f>
        <v>10</v>
      </c>
      <c r="E3201" s="13"/>
    </row>
    <row r="3202" spans="2:5" x14ac:dyDescent="0.2">
      <c r="B3202" t="s">
        <v>1899</v>
      </c>
      <c r="C3202" t="s">
        <v>1900</v>
      </c>
      <c r="D3202" s="13">
        <f>_xll.EditDistance($C$3,C3202,2)</f>
        <v>10</v>
      </c>
      <c r="E3202" s="13"/>
    </row>
    <row r="3203" spans="2:5" x14ac:dyDescent="0.2">
      <c r="B3203" t="s">
        <v>4895</v>
      </c>
      <c r="C3203" t="s">
        <v>4896</v>
      </c>
      <c r="D3203" s="13">
        <f>_xll.EditDistance($C$3,C3203,2)</f>
        <v>10</v>
      </c>
      <c r="E3203" s="13"/>
    </row>
    <row r="3204" spans="2:5" x14ac:dyDescent="0.2">
      <c r="B3204" t="s">
        <v>5057</v>
      </c>
      <c r="C3204" t="s">
        <v>5058</v>
      </c>
      <c r="D3204" s="13">
        <f>_xll.EditDistance($C$3,C3204,2)</f>
        <v>10</v>
      </c>
      <c r="E3204" s="13"/>
    </row>
    <row r="3205" spans="2:5" x14ac:dyDescent="0.2">
      <c r="B3205" t="s">
        <v>5154</v>
      </c>
      <c r="C3205" t="s">
        <v>5155</v>
      </c>
      <c r="D3205" s="13">
        <f>_xll.EditDistance($C$3,C3205,2)</f>
        <v>10</v>
      </c>
      <c r="E3205" s="13"/>
    </row>
    <row r="3206" spans="2:5" x14ac:dyDescent="0.2">
      <c r="B3206" t="s">
        <v>5730</v>
      </c>
      <c r="C3206" t="s">
        <v>5731</v>
      </c>
      <c r="D3206" s="13">
        <f>_xll.EditDistance($C$3,C3206,2)</f>
        <v>10</v>
      </c>
      <c r="E3206" s="13"/>
    </row>
    <row r="3207" spans="2:5" x14ac:dyDescent="0.2">
      <c r="B3207" t="s">
        <v>6568</v>
      </c>
      <c r="C3207" t="s">
        <v>6569</v>
      </c>
      <c r="D3207" s="13">
        <f>_xll.EditDistance($C$3,C3207,2)</f>
        <v>10</v>
      </c>
      <c r="E3207" s="13"/>
    </row>
    <row r="3208" spans="2:5" x14ac:dyDescent="0.2">
      <c r="B3208" t="s">
        <v>7786</v>
      </c>
      <c r="C3208" t="s">
        <v>7787</v>
      </c>
      <c r="D3208" s="13">
        <f>_xll.EditDistance($C$3,C3208,2)</f>
        <v>10</v>
      </c>
      <c r="E3208" s="13"/>
    </row>
    <row r="3209" spans="2:5" x14ac:dyDescent="0.2">
      <c r="B3209" t="s">
        <v>8329</v>
      </c>
      <c r="C3209" t="s">
        <v>8330</v>
      </c>
      <c r="D3209" s="13">
        <f>_xll.EditDistance($C$3,C3209,2)</f>
        <v>10</v>
      </c>
      <c r="E3209" s="13"/>
    </row>
    <row r="3210" spans="2:5" x14ac:dyDescent="0.2">
      <c r="B3210" t="s">
        <v>514</v>
      </c>
      <c r="C3210" t="s">
        <v>515</v>
      </c>
      <c r="D3210" s="13">
        <f>_xll.EditDistance($C$3,C3210,2)</f>
        <v>10</v>
      </c>
      <c r="E3210" s="13"/>
    </row>
    <row r="3211" spans="2:5" x14ac:dyDescent="0.2">
      <c r="B3211" t="s">
        <v>2022</v>
      </c>
      <c r="C3211" t="s">
        <v>2023</v>
      </c>
      <c r="D3211" s="13">
        <f>_xll.EditDistance($C$3,C3211,2)</f>
        <v>10</v>
      </c>
      <c r="E3211" s="13"/>
    </row>
    <row r="3212" spans="2:5" x14ac:dyDescent="0.2">
      <c r="B3212" t="s">
        <v>2164</v>
      </c>
      <c r="C3212" t="s">
        <v>2165</v>
      </c>
      <c r="D3212" s="13">
        <f>_xll.EditDistance($C$3,C3212,2)</f>
        <v>20</v>
      </c>
      <c r="E3212" s="13"/>
    </row>
    <row r="3213" spans="2:5" x14ac:dyDescent="0.2">
      <c r="B3213" t="s">
        <v>3478</v>
      </c>
      <c r="C3213" t="s">
        <v>3481</v>
      </c>
      <c r="D3213" s="13">
        <f>_xll.EditDistance($C$3,C3213,2)</f>
        <v>20</v>
      </c>
      <c r="E3213" s="13"/>
    </row>
    <row r="3214" spans="2:5" x14ac:dyDescent="0.2">
      <c r="B3214" s="22" t="s">
        <v>3644</v>
      </c>
      <c r="C3214" t="s">
        <v>3645</v>
      </c>
      <c r="D3214" s="13">
        <f>_xll.EditDistance($C$3,C3214,2)</f>
        <v>10</v>
      </c>
      <c r="E3214" s="13"/>
    </row>
    <row r="3215" spans="2:5" x14ac:dyDescent="0.2">
      <c r="B3215" t="s">
        <v>3848</v>
      </c>
      <c r="C3215" t="s">
        <v>3849</v>
      </c>
      <c r="D3215" s="13">
        <f>_xll.EditDistance($C$3,C3215,2)</f>
        <v>10</v>
      </c>
      <c r="E3215" s="13"/>
    </row>
    <row r="3216" spans="2:5" x14ac:dyDescent="0.2">
      <c r="B3216" t="s">
        <v>4231</v>
      </c>
      <c r="C3216" t="s">
        <v>4232</v>
      </c>
      <c r="D3216" s="13">
        <f>_xll.EditDistance($C$3,C3216,2)</f>
        <v>10</v>
      </c>
      <c r="E3216" s="13"/>
    </row>
    <row r="3217" spans="2:5" x14ac:dyDescent="0.2">
      <c r="B3217" t="s">
        <v>6310</v>
      </c>
      <c r="C3217" t="s">
        <v>6311</v>
      </c>
      <c r="D3217" s="13">
        <f>_xll.EditDistance($C$3,C3217,2)</f>
        <v>10</v>
      </c>
      <c r="E3217" s="13"/>
    </row>
    <row r="3218" spans="2:5" x14ac:dyDescent="0.2">
      <c r="B3218" t="s">
        <v>6885</v>
      </c>
      <c r="C3218" t="s">
        <v>6886</v>
      </c>
      <c r="D3218" s="13">
        <f>_xll.EditDistance($C$3,C3218,2)</f>
        <v>10</v>
      </c>
      <c r="E3218" s="13"/>
    </row>
    <row r="3219" spans="2:5" x14ac:dyDescent="0.2">
      <c r="B3219" t="s">
        <v>287</v>
      </c>
      <c r="C3219" t="s">
        <v>288</v>
      </c>
      <c r="D3219" s="13">
        <f>_xll.EditDistance($C$3,C3219,2)</f>
        <v>20</v>
      </c>
      <c r="E3219" s="13"/>
    </row>
    <row r="3220" spans="2:5" x14ac:dyDescent="0.2">
      <c r="B3220" t="s">
        <v>779</v>
      </c>
      <c r="C3220" t="s">
        <v>780</v>
      </c>
      <c r="D3220" s="13">
        <f>_xll.EditDistance($C$3,C3220,2)</f>
        <v>10</v>
      </c>
      <c r="E3220" s="13"/>
    </row>
    <row r="3221" spans="2:5" x14ac:dyDescent="0.2">
      <c r="B3221" t="s">
        <v>863</v>
      </c>
      <c r="C3221" t="s">
        <v>864</v>
      </c>
      <c r="D3221" s="13">
        <f>_xll.EditDistance($C$3,C3221,2)</f>
        <v>10</v>
      </c>
      <c r="E3221" s="13"/>
    </row>
    <row r="3222" spans="2:5" x14ac:dyDescent="0.2">
      <c r="B3222" t="s">
        <v>1534</v>
      </c>
      <c r="C3222" t="s">
        <v>1535</v>
      </c>
      <c r="D3222" s="13">
        <f>_xll.EditDistance($C$3,C3222,2)</f>
        <v>10</v>
      </c>
      <c r="E3222" s="13"/>
    </row>
    <row r="3223" spans="2:5" x14ac:dyDescent="0.2">
      <c r="B3223" t="s">
        <v>1592</v>
      </c>
      <c r="C3223" t="s">
        <v>1593</v>
      </c>
      <c r="D3223" s="13">
        <f>_xll.EditDistance($C$3,C3223,2)</f>
        <v>10</v>
      </c>
      <c r="E3223" s="13"/>
    </row>
    <row r="3224" spans="2:5" x14ac:dyDescent="0.2">
      <c r="B3224" t="s">
        <v>2410</v>
      </c>
      <c r="C3224" t="s">
        <v>2411</v>
      </c>
      <c r="D3224" s="13">
        <f>_xll.EditDistance($C$3,C3224,2)</f>
        <v>30</v>
      </c>
      <c r="E3224" s="13"/>
    </row>
    <row r="3225" spans="2:5" x14ac:dyDescent="0.2">
      <c r="B3225" t="s">
        <v>3247</v>
      </c>
      <c r="C3225" t="s">
        <v>3248</v>
      </c>
      <c r="D3225" s="13">
        <f>_xll.EditDistance($C$3,C3225,2)</f>
        <v>10</v>
      </c>
      <c r="E3225" s="13"/>
    </row>
    <row r="3226" spans="2:5" x14ac:dyDescent="0.2">
      <c r="B3226" t="s">
        <v>3628</v>
      </c>
      <c r="C3226" t="s">
        <v>3629</v>
      </c>
      <c r="D3226" s="13">
        <f>_xll.EditDistance($C$3,C3226,2)</f>
        <v>10</v>
      </c>
      <c r="E3226" s="13"/>
    </row>
    <row r="3227" spans="2:5" x14ac:dyDescent="0.2">
      <c r="B3227" t="s">
        <v>3957</v>
      </c>
      <c r="C3227" t="s">
        <v>3958</v>
      </c>
      <c r="D3227" s="13">
        <f>_xll.EditDistance($C$3,C3227,2)</f>
        <v>10</v>
      </c>
      <c r="E3227" s="13"/>
    </row>
    <row r="3228" spans="2:5" x14ac:dyDescent="0.2">
      <c r="B3228" t="s">
        <v>3993</v>
      </c>
      <c r="C3228" t="s">
        <v>3994</v>
      </c>
      <c r="D3228" s="13">
        <f>_xll.EditDistance($C$3,C3228,2)</f>
        <v>20</v>
      </c>
      <c r="E3228" s="13"/>
    </row>
    <row r="3229" spans="2:5" x14ac:dyDescent="0.2">
      <c r="B3229" t="s">
        <v>6096</v>
      </c>
      <c r="C3229" t="s">
        <v>6097</v>
      </c>
      <c r="D3229" s="13">
        <f>_xll.EditDistance($C$3,C3229,2)</f>
        <v>20</v>
      </c>
      <c r="E3229" s="13"/>
    </row>
    <row r="3230" spans="2:5" x14ac:dyDescent="0.2">
      <c r="B3230" t="s">
        <v>6196</v>
      </c>
      <c r="C3230" t="s">
        <v>6197</v>
      </c>
      <c r="D3230" s="13">
        <f>_xll.EditDistance($C$3,C3230,2)</f>
        <v>10</v>
      </c>
      <c r="E3230" s="13"/>
    </row>
    <row r="3231" spans="2:5" x14ac:dyDescent="0.2">
      <c r="B3231" t="s">
        <v>8604</v>
      </c>
      <c r="C3231" t="s">
        <v>8605</v>
      </c>
      <c r="D3231" s="13">
        <f>_xll.EditDistance($C$3,C3231,2)</f>
        <v>30</v>
      </c>
      <c r="E3231" s="13"/>
    </row>
    <row r="3232" spans="2:5" x14ac:dyDescent="0.2">
      <c r="B3232" t="s">
        <v>8649</v>
      </c>
      <c r="C3232" t="s">
        <v>8650</v>
      </c>
      <c r="D3232" s="13">
        <f>_xll.EditDistance($C$3,C3232,2)</f>
        <v>10</v>
      </c>
      <c r="E3232" s="13"/>
    </row>
    <row r="3233" spans="2:5" x14ac:dyDescent="0.2">
      <c r="B3233" t="s">
        <v>141</v>
      </c>
      <c r="C3233" t="s">
        <v>142</v>
      </c>
      <c r="D3233" s="13">
        <f>_xll.EditDistance($C$3,C3233,2)</f>
        <v>10</v>
      </c>
      <c r="E3233" s="13"/>
    </row>
    <row r="3234" spans="2:5" x14ac:dyDescent="0.2">
      <c r="B3234" t="s">
        <v>173</v>
      </c>
      <c r="C3234" t="s">
        <v>174</v>
      </c>
      <c r="D3234" s="13">
        <f>_xll.EditDistance($C$3,C3234,2)</f>
        <v>10</v>
      </c>
      <c r="E3234" s="13"/>
    </row>
    <row r="3235" spans="2:5" x14ac:dyDescent="0.2">
      <c r="B3235" t="s">
        <v>249</v>
      </c>
      <c r="C3235" t="s">
        <v>250</v>
      </c>
      <c r="D3235" s="13">
        <f>_xll.EditDistance($C$3,C3235,2)</f>
        <v>20</v>
      </c>
      <c r="E3235" s="13"/>
    </row>
    <row r="3236" spans="2:5" x14ac:dyDescent="0.2">
      <c r="B3236" t="s">
        <v>319</v>
      </c>
      <c r="C3236" t="s">
        <v>320</v>
      </c>
      <c r="D3236" s="13">
        <f>_xll.EditDistance($C$3,C3236,2)</f>
        <v>10</v>
      </c>
      <c r="E3236" s="13"/>
    </row>
    <row r="3237" spans="2:5" x14ac:dyDescent="0.2">
      <c r="B3237" t="s">
        <v>683</v>
      </c>
      <c r="C3237" t="s">
        <v>684</v>
      </c>
      <c r="D3237" s="13">
        <f>_xll.EditDistance($C$3,C3237,2)</f>
        <v>20</v>
      </c>
      <c r="E3237" s="13"/>
    </row>
    <row r="3238" spans="2:5" x14ac:dyDescent="0.2">
      <c r="B3238" t="s">
        <v>964</v>
      </c>
      <c r="C3238" t="s">
        <v>965</v>
      </c>
      <c r="D3238" s="13">
        <f>_xll.EditDistance($C$3,C3238,2)</f>
        <v>10</v>
      </c>
      <c r="E3238" s="13"/>
    </row>
    <row r="3239" spans="2:5" x14ac:dyDescent="0.2">
      <c r="B3239" t="s">
        <v>976</v>
      </c>
      <c r="C3239" t="s">
        <v>977</v>
      </c>
      <c r="D3239" s="13">
        <f>_xll.EditDistance($C$3,C3239,2)</f>
        <v>10</v>
      </c>
      <c r="E3239" s="13"/>
    </row>
    <row r="3240" spans="2:5" x14ac:dyDescent="0.2">
      <c r="B3240" t="s">
        <v>1236</v>
      </c>
      <c r="C3240" t="s">
        <v>1237</v>
      </c>
      <c r="D3240" s="13">
        <f>_xll.EditDistance($C$3,C3240,2)</f>
        <v>10</v>
      </c>
      <c r="E3240" s="13"/>
    </row>
    <row r="3241" spans="2:5" x14ac:dyDescent="0.2">
      <c r="B3241" t="s">
        <v>1476</v>
      </c>
      <c r="C3241" t="s">
        <v>1477</v>
      </c>
      <c r="D3241" s="13">
        <f>_xll.EditDistance($C$3,C3241,2)</f>
        <v>10</v>
      </c>
      <c r="E3241" s="13"/>
    </row>
    <row r="3242" spans="2:5" x14ac:dyDescent="0.2">
      <c r="B3242" t="s">
        <v>1735</v>
      </c>
      <c r="C3242" t="s">
        <v>1736</v>
      </c>
      <c r="D3242" s="13">
        <f>_xll.EditDistance($C$3,C3242,2)</f>
        <v>10</v>
      </c>
      <c r="E3242" s="13"/>
    </row>
    <row r="3243" spans="2:5" x14ac:dyDescent="0.2">
      <c r="B3243" t="s">
        <v>1938</v>
      </c>
      <c r="C3243" t="s">
        <v>1939</v>
      </c>
      <c r="D3243" s="13">
        <f>_xll.EditDistance($C$3,C3243,2)</f>
        <v>10</v>
      </c>
      <c r="E3243" s="13"/>
    </row>
    <row r="3244" spans="2:5" x14ac:dyDescent="0.2">
      <c r="B3244" t="s">
        <v>2032</v>
      </c>
      <c r="C3244" t="s">
        <v>2033</v>
      </c>
      <c r="D3244" s="13">
        <f>_xll.EditDistance($C$3,C3244,2)</f>
        <v>10</v>
      </c>
      <c r="E3244" s="13"/>
    </row>
    <row r="3245" spans="2:5" x14ac:dyDescent="0.2">
      <c r="B3245" t="s">
        <v>2166</v>
      </c>
      <c r="C3245" t="s">
        <v>2167</v>
      </c>
      <c r="D3245" s="13">
        <f>_xll.EditDistance($C$3,C3245,2)</f>
        <v>10</v>
      </c>
      <c r="E3245" s="13"/>
    </row>
    <row r="3246" spans="2:5" x14ac:dyDescent="0.2">
      <c r="B3246" s="22" t="s">
        <v>2500</v>
      </c>
      <c r="C3246" t="s">
        <v>2501</v>
      </c>
      <c r="D3246" s="13">
        <f>_xll.EditDistance($C$3,C3246,2)</f>
        <v>10</v>
      </c>
      <c r="E3246" s="13"/>
    </row>
    <row r="3247" spans="2:5" x14ac:dyDescent="0.2">
      <c r="B3247" t="s">
        <v>2741</v>
      </c>
      <c r="C3247" t="s">
        <v>2742</v>
      </c>
      <c r="D3247" s="13">
        <f>_xll.EditDistance($C$3,C3247,2)</f>
        <v>10</v>
      </c>
      <c r="E3247" s="13"/>
    </row>
    <row r="3248" spans="2:5" x14ac:dyDescent="0.2">
      <c r="B3248" t="s">
        <v>2827</v>
      </c>
      <c r="C3248" t="s">
        <v>2828</v>
      </c>
      <c r="D3248" s="13">
        <f>_xll.EditDistance($C$3,C3248,2)</f>
        <v>20</v>
      </c>
      <c r="E3248" s="13"/>
    </row>
    <row r="3249" spans="2:5" x14ac:dyDescent="0.2">
      <c r="B3249" t="s">
        <v>3314</v>
      </c>
      <c r="C3249" t="s">
        <v>3315</v>
      </c>
      <c r="D3249" s="13">
        <f>_xll.EditDistance($C$3,C3249,2)</f>
        <v>10</v>
      </c>
      <c r="E3249" s="13"/>
    </row>
    <row r="3250" spans="2:5" x14ac:dyDescent="0.2">
      <c r="B3250" t="s">
        <v>3590</v>
      </c>
      <c r="C3250" t="s">
        <v>3591</v>
      </c>
      <c r="D3250" s="13">
        <f>_xll.EditDistance($C$3,C3250,2)</f>
        <v>10</v>
      </c>
      <c r="E3250" s="13"/>
    </row>
    <row r="3251" spans="2:5" x14ac:dyDescent="0.2">
      <c r="B3251" t="s">
        <v>3634</v>
      </c>
      <c r="C3251" t="s">
        <v>3635</v>
      </c>
      <c r="D3251" s="13">
        <f>_xll.EditDistance($C$3,C3251,2)</f>
        <v>20</v>
      </c>
      <c r="E3251" s="13"/>
    </row>
    <row r="3252" spans="2:5" x14ac:dyDescent="0.2">
      <c r="B3252" t="s">
        <v>3690</v>
      </c>
      <c r="C3252" t="s">
        <v>3691</v>
      </c>
      <c r="D3252" s="13">
        <f>_xll.EditDistance($C$3,C3252,2)</f>
        <v>20</v>
      </c>
      <c r="E3252" s="13"/>
    </row>
    <row r="3253" spans="2:5" x14ac:dyDescent="0.2">
      <c r="B3253" t="s">
        <v>4093</v>
      </c>
      <c r="C3253" t="s">
        <v>4094</v>
      </c>
      <c r="D3253" s="13">
        <f>_xll.EditDistance($C$3,C3253,2)</f>
        <v>30</v>
      </c>
      <c r="E3253" s="13"/>
    </row>
    <row r="3254" spans="2:5" x14ac:dyDescent="0.2">
      <c r="B3254" t="s">
        <v>5037</v>
      </c>
      <c r="C3254" t="s">
        <v>5038</v>
      </c>
      <c r="D3254" s="13">
        <f>_xll.EditDistance($C$3,C3254,2)</f>
        <v>10</v>
      </c>
      <c r="E3254" s="13"/>
    </row>
    <row r="3255" spans="2:5" x14ac:dyDescent="0.2">
      <c r="B3255" t="s">
        <v>5109</v>
      </c>
      <c r="C3255" t="s">
        <v>5110</v>
      </c>
      <c r="D3255" s="13">
        <f>_xll.EditDistance($C$3,C3255,2)</f>
        <v>10</v>
      </c>
      <c r="E3255" s="13"/>
    </row>
    <row r="3256" spans="2:5" x14ac:dyDescent="0.2">
      <c r="B3256" t="s">
        <v>5459</v>
      </c>
      <c r="C3256" t="s">
        <v>5460</v>
      </c>
      <c r="D3256" s="13">
        <f>_xll.EditDistance($C$3,C3256,2)</f>
        <v>10</v>
      </c>
      <c r="E3256" s="13"/>
    </row>
    <row r="3257" spans="2:5" x14ac:dyDescent="0.2">
      <c r="B3257" t="s">
        <v>5596</v>
      </c>
      <c r="C3257" t="s">
        <v>5597</v>
      </c>
      <c r="D3257" s="13">
        <f>_xll.EditDistance($C$3,C3257,2)</f>
        <v>10</v>
      </c>
      <c r="E3257" s="13"/>
    </row>
    <row r="3258" spans="2:5" x14ac:dyDescent="0.2">
      <c r="B3258" t="s">
        <v>5836</v>
      </c>
      <c r="C3258" t="s">
        <v>5837</v>
      </c>
      <c r="D3258" s="13">
        <f>_xll.EditDistance($C$3,C3258,2)</f>
        <v>10</v>
      </c>
      <c r="E3258" s="13"/>
    </row>
    <row r="3259" spans="2:5" x14ac:dyDescent="0.2">
      <c r="B3259" t="s">
        <v>5854</v>
      </c>
      <c r="C3259" t="s">
        <v>5855</v>
      </c>
      <c r="D3259" s="13">
        <f>_xll.EditDistance($C$3,C3259,2)</f>
        <v>10</v>
      </c>
      <c r="E3259" s="13"/>
    </row>
    <row r="3260" spans="2:5" x14ac:dyDescent="0.2">
      <c r="B3260" t="s">
        <v>6515</v>
      </c>
      <c r="C3260" t="s">
        <v>6516</v>
      </c>
      <c r="D3260" s="13">
        <f>_xll.EditDistance($C$3,C3260,2)</f>
        <v>10</v>
      </c>
      <c r="E3260" s="13"/>
    </row>
    <row r="3261" spans="2:5" x14ac:dyDescent="0.2">
      <c r="B3261" t="s">
        <v>6990</v>
      </c>
      <c r="C3261" t="s">
        <v>6991</v>
      </c>
      <c r="D3261" s="13">
        <f>_xll.EditDistance($C$3,C3261,2)</f>
        <v>20</v>
      </c>
      <c r="E3261" s="13"/>
    </row>
    <row r="3262" spans="2:5" x14ac:dyDescent="0.2">
      <c r="B3262" t="s">
        <v>7190</v>
      </c>
      <c r="C3262" t="s">
        <v>7191</v>
      </c>
      <c r="D3262" s="13">
        <f>_xll.EditDistance($C$3,C3262,2)</f>
        <v>10</v>
      </c>
      <c r="E3262" s="13"/>
    </row>
    <row r="3263" spans="2:5" x14ac:dyDescent="0.2">
      <c r="B3263" t="s">
        <v>8715</v>
      </c>
      <c r="C3263" t="s">
        <v>8716</v>
      </c>
      <c r="D3263" s="13">
        <f>_xll.EditDistance($C$3,C3263,2)</f>
        <v>10</v>
      </c>
      <c r="E3263" s="13"/>
    </row>
    <row r="3264" spans="2:5" x14ac:dyDescent="0.2">
      <c r="B3264" t="s">
        <v>1653</v>
      </c>
      <c r="C3264" t="s">
        <v>1654</v>
      </c>
      <c r="D3264" s="13">
        <f>_xll.EditDistance($C$3,C3264,2)</f>
        <v>10</v>
      </c>
      <c r="E3264" s="13"/>
    </row>
    <row r="3265" spans="2:5" x14ac:dyDescent="0.2">
      <c r="B3265" t="s">
        <v>2610</v>
      </c>
      <c r="C3265" t="s">
        <v>2611</v>
      </c>
      <c r="D3265" s="13">
        <f>_xll.EditDistance($C$3,C3265,2)</f>
        <v>10</v>
      </c>
      <c r="E3265" s="13"/>
    </row>
    <row r="3266" spans="2:5" x14ac:dyDescent="0.2">
      <c r="B3266" t="s">
        <v>3029</v>
      </c>
      <c r="C3266" t="s">
        <v>3030</v>
      </c>
      <c r="D3266" s="13">
        <f>_xll.EditDistance($C$3,C3266,2)</f>
        <v>10</v>
      </c>
      <c r="E3266" s="13"/>
    </row>
    <row r="3267" spans="2:5" x14ac:dyDescent="0.2">
      <c r="B3267" t="s">
        <v>3388</v>
      </c>
      <c r="C3267" t="s">
        <v>3389</v>
      </c>
      <c r="D3267" s="13">
        <f>_xll.EditDistance($C$3,C3267,2)</f>
        <v>10</v>
      </c>
      <c r="E3267" s="13"/>
    </row>
    <row r="3268" spans="2:5" x14ac:dyDescent="0.2">
      <c r="B3268" t="s">
        <v>3524</v>
      </c>
      <c r="C3268" t="s">
        <v>3525</v>
      </c>
      <c r="D3268" s="13">
        <f>_xll.EditDistance($C$3,C3268,2)</f>
        <v>20</v>
      </c>
      <c r="E3268" s="13"/>
    </row>
    <row r="3269" spans="2:5" x14ac:dyDescent="0.2">
      <c r="B3269" t="s">
        <v>3560</v>
      </c>
      <c r="C3269" t="s">
        <v>3561</v>
      </c>
      <c r="D3269" s="13">
        <f>_xll.EditDistance($C$3,C3269,2)</f>
        <v>10</v>
      </c>
      <c r="E3269" s="13"/>
    </row>
    <row r="3270" spans="2:5" x14ac:dyDescent="0.2">
      <c r="B3270" t="s">
        <v>3758</v>
      </c>
      <c r="C3270" t="s">
        <v>3759</v>
      </c>
      <c r="D3270" s="13">
        <f>_xll.EditDistance($C$3,C3270,2)</f>
        <v>20</v>
      </c>
      <c r="E3270" s="13"/>
    </row>
    <row r="3271" spans="2:5" x14ac:dyDescent="0.2">
      <c r="B3271" t="s">
        <v>3953</v>
      </c>
      <c r="C3271" t="s">
        <v>3954</v>
      </c>
      <c r="D3271" s="13">
        <f>_xll.EditDistance($C$3,C3271,2)</f>
        <v>10</v>
      </c>
      <c r="E3271" s="13"/>
    </row>
    <row r="3272" spans="2:5" x14ac:dyDescent="0.2">
      <c r="B3272" t="s">
        <v>4004</v>
      </c>
      <c r="C3272" t="s">
        <v>4005</v>
      </c>
      <c r="D3272" s="13">
        <f>_xll.EditDistance($C$3,C3272,2)</f>
        <v>20</v>
      </c>
      <c r="E3272" s="13"/>
    </row>
    <row r="3273" spans="2:5" x14ac:dyDescent="0.2">
      <c r="B3273" t="s">
        <v>4213</v>
      </c>
      <c r="C3273" t="s">
        <v>4214</v>
      </c>
      <c r="D3273" s="13">
        <f>_xll.EditDistance($C$3,C3273,2)</f>
        <v>10</v>
      </c>
      <c r="E3273" s="13"/>
    </row>
    <row r="3274" spans="2:5" x14ac:dyDescent="0.2">
      <c r="B3274" t="s">
        <v>4718</v>
      </c>
      <c r="C3274" t="s">
        <v>4719</v>
      </c>
      <c r="D3274" s="13">
        <f>_xll.EditDistance($C$3,C3274,2)</f>
        <v>10</v>
      </c>
      <c r="E3274" s="13"/>
    </row>
    <row r="3275" spans="2:5" x14ac:dyDescent="0.2">
      <c r="B3275" t="s">
        <v>5148</v>
      </c>
      <c r="C3275" t="s">
        <v>5149</v>
      </c>
      <c r="D3275" s="13">
        <f>_xll.EditDistance($C$3,C3275,2)</f>
        <v>10</v>
      </c>
      <c r="E3275" s="13"/>
    </row>
    <row r="3276" spans="2:5" x14ac:dyDescent="0.2">
      <c r="B3276" t="s">
        <v>5523</v>
      </c>
      <c r="C3276" t="s">
        <v>5524</v>
      </c>
      <c r="D3276" s="13">
        <f>_xll.EditDistance($C$3,C3276,2)</f>
        <v>10</v>
      </c>
      <c r="E3276" s="13"/>
    </row>
    <row r="3277" spans="2:5" x14ac:dyDescent="0.2">
      <c r="B3277" t="s">
        <v>5652</v>
      </c>
      <c r="C3277" t="s">
        <v>5653</v>
      </c>
      <c r="D3277" s="13">
        <f>_xll.EditDistance($C$3,C3277,2)</f>
        <v>30</v>
      </c>
      <c r="E3277" s="13"/>
    </row>
    <row r="3278" spans="2:5" x14ac:dyDescent="0.2">
      <c r="B3278" t="s">
        <v>6109</v>
      </c>
      <c r="C3278" t="s">
        <v>6111</v>
      </c>
      <c r="D3278" s="13">
        <f>_xll.EditDistance($C$3,C3278,2)</f>
        <v>10</v>
      </c>
      <c r="E3278" s="13"/>
    </row>
    <row r="3279" spans="2:5" x14ac:dyDescent="0.2">
      <c r="B3279" t="s">
        <v>6260</v>
      </c>
      <c r="C3279" t="s">
        <v>6261</v>
      </c>
      <c r="D3279" s="13">
        <f>_xll.EditDistance($C$3,C3279,2)</f>
        <v>20</v>
      </c>
      <c r="E3279" s="13"/>
    </row>
    <row r="3280" spans="2:5" x14ac:dyDescent="0.2">
      <c r="B3280" t="s">
        <v>6347</v>
      </c>
      <c r="C3280" t="s">
        <v>6350</v>
      </c>
      <c r="D3280" s="13">
        <f>_xll.EditDistance($C$3,C3280,2)</f>
        <v>20</v>
      </c>
      <c r="E3280" s="13"/>
    </row>
    <row r="3281" spans="2:5" x14ac:dyDescent="0.2">
      <c r="B3281" t="s">
        <v>6830</v>
      </c>
      <c r="C3281" t="s">
        <v>6831</v>
      </c>
      <c r="D3281" s="13">
        <f>_xll.EditDistance($C$3,C3281,2)</f>
        <v>10</v>
      </c>
      <c r="E3281" s="13"/>
    </row>
    <row r="3282" spans="2:5" x14ac:dyDescent="0.2">
      <c r="B3282" t="s">
        <v>7455</v>
      </c>
      <c r="C3282" t="s">
        <v>7456</v>
      </c>
      <c r="D3282" s="13">
        <f>_xll.EditDistance($C$3,C3282,2)</f>
        <v>10</v>
      </c>
      <c r="E3282" s="13"/>
    </row>
    <row r="3283" spans="2:5" x14ac:dyDescent="0.2">
      <c r="B3283" t="s">
        <v>7549</v>
      </c>
      <c r="C3283" t="s">
        <v>7550</v>
      </c>
      <c r="D3283" s="13">
        <f>_xll.EditDistance($C$3,C3283,2)</f>
        <v>10</v>
      </c>
      <c r="E3283" s="13"/>
    </row>
    <row r="3284" spans="2:5" x14ac:dyDescent="0.2">
      <c r="B3284" t="s">
        <v>343</v>
      </c>
      <c r="C3284" t="s">
        <v>344</v>
      </c>
      <c r="D3284" s="13">
        <f>_xll.EditDistance($C$3,C3284,2)</f>
        <v>10</v>
      </c>
      <c r="E3284" s="13"/>
    </row>
    <row r="3285" spans="2:5" x14ac:dyDescent="0.2">
      <c r="B3285" t="s">
        <v>1355</v>
      </c>
      <c r="C3285" t="s">
        <v>1356</v>
      </c>
      <c r="D3285" s="13">
        <f>_xll.EditDistance($C$3,C3285,2)</f>
        <v>10</v>
      </c>
      <c r="E3285" s="13"/>
    </row>
    <row r="3286" spans="2:5" x14ac:dyDescent="0.2">
      <c r="B3286" t="s">
        <v>1750</v>
      </c>
      <c r="C3286" t="s">
        <v>1751</v>
      </c>
      <c r="D3286" s="13">
        <f>_xll.EditDistance($C$3,C3286,2)</f>
        <v>20</v>
      </c>
      <c r="E3286" s="13"/>
    </row>
    <row r="3287" spans="2:5" x14ac:dyDescent="0.2">
      <c r="B3287" t="s">
        <v>2043</v>
      </c>
      <c r="C3287" t="s">
        <v>2044</v>
      </c>
      <c r="D3287" s="13">
        <f>_xll.EditDistance($C$3,C3287,2)</f>
        <v>10</v>
      </c>
      <c r="E3287" s="13"/>
    </row>
    <row r="3288" spans="2:5" x14ac:dyDescent="0.2">
      <c r="B3288" t="s">
        <v>2283</v>
      </c>
      <c r="C3288" t="s">
        <v>2284</v>
      </c>
      <c r="D3288" s="13">
        <f>_xll.EditDistance($C$3,C3288,2)</f>
        <v>20</v>
      </c>
      <c r="E3288" s="13"/>
    </row>
    <row r="3289" spans="2:5" x14ac:dyDescent="0.2">
      <c r="B3289" t="s">
        <v>2486</v>
      </c>
      <c r="C3289" t="s">
        <v>2487</v>
      </c>
      <c r="D3289" s="13">
        <f>_xll.EditDistance($C$3,C3289,2)</f>
        <v>10</v>
      </c>
      <c r="E3289" s="13"/>
    </row>
    <row r="3290" spans="2:5" x14ac:dyDescent="0.2">
      <c r="B3290" t="s">
        <v>2795</v>
      </c>
      <c r="C3290" t="s">
        <v>2796</v>
      </c>
      <c r="D3290" s="13">
        <f>_xll.EditDistance($C$3,C3290,2)</f>
        <v>30</v>
      </c>
      <c r="E3290" s="13"/>
    </row>
    <row r="3291" spans="2:5" x14ac:dyDescent="0.2">
      <c r="B3291" s="22" t="s">
        <v>2815</v>
      </c>
      <c r="C3291" t="s">
        <v>2816</v>
      </c>
      <c r="D3291" s="13">
        <f>_xll.EditDistance($C$3,C3291,2)</f>
        <v>10</v>
      </c>
      <c r="E3291" s="13"/>
    </row>
    <row r="3292" spans="2:5" x14ac:dyDescent="0.2">
      <c r="B3292" t="s">
        <v>3819</v>
      </c>
      <c r="C3292" t="s">
        <v>3820</v>
      </c>
      <c r="D3292" s="13">
        <f>_xll.EditDistance($C$3,C3292,2)</f>
        <v>20</v>
      </c>
      <c r="E3292" s="13"/>
    </row>
    <row r="3293" spans="2:5" x14ac:dyDescent="0.2">
      <c r="B3293" t="s">
        <v>3866</v>
      </c>
      <c r="C3293" t="s">
        <v>3867</v>
      </c>
      <c r="D3293" s="13">
        <f>_xll.EditDistance($C$3,C3293,2)</f>
        <v>20</v>
      </c>
      <c r="E3293" s="13"/>
    </row>
    <row r="3294" spans="2:5" x14ac:dyDescent="0.2">
      <c r="B3294" t="s">
        <v>4108</v>
      </c>
      <c r="C3294" t="s">
        <v>4109</v>
      </c>
      <c r="D3294" s="13">
        <f>_xll.EditDistance($C$3,C3294,2)</f>
        <v>10</v>
      </c>
      <c r="E3294" s="13"/>
    </row>
    <row r="3295" spans="2:5" x14ac:dyDescent="0.2">
      <c r="B3295" t="s">
        <v>4521</v>
      </c>
      <c r="C3295" t="s">
        <v>4522</v>
      </c>
      <c r="D3295" s="13">
        <f>_xll.EditDistance($C$3,C3295,2)</f>
        <v>60</v>
      </c>
      <c r="E3295" s="13"/>
    </row>
    <row r="3296" spans="2:5" x14ac:dyDescent="0.2">
      <c r="B3296" t="s">
        <v>5371</v>
      </c>
      <c r="C3296" t="s">
        <v>5372</v>
      </c>
      <c r="D3296" s="13">
        <f>_xll.EditDistance($C$3,C3296,2)</f>
        <v>10</v>
      </c>
      <c r="E3296" s="13"/>
    </row>
    <row r="3297" spans="2:5" x14ac:dyDescent="0.2">
      <c r="B3297" t="s">
        <v>5866</v>
      </c>
      <c r="C3297" t="s">
        <v>5867</v>
      </c>
      <c r="D3297" s="13">
        <f>_xll.EditDistance($C$3,C3297,2)</f>
        <v>20</v>
      </c>
      <c r="E3297" s="13"/>
    </row>
    <row r="3298" spans="2:5" x14ac:dyDescent="0.2">
      <c r="B3298" t="s">
        <v>6175</v>
      </c>
      <c r="C3298" t="s">
        <v>6176</v>
      </c>
      <c r="D3298" s="13">
        <f>_xll.EditDistance($C$3,C3298,2)</f>
        <v>10</v>
      </c>
      <c r="E3298" s="13"/>
    </row>
    <row r="3299" spans="2:5" x14ac:dyDescent="0.2">
      <c r="B3299" t="s">
        <v>6343</v>
      </c>
      <c r="C3299" t="s">
        <v>6344</v>
      </c>
      <c r="D3299" s="13">
        <f>_xll.EditDistance($C$3,C3299,2)</f>
        <v>20</v>
      </c>
      <c r="E3299" s="13"/>
    </row>
    <row r="3300" spans="2:5" x14ac:dyDescent="0.2">
      <c r="B3300" t="s">
        <v>6578</v>
      </c>
      <c r="C3300" t="s">
        <v>6579</v>
      </c>
      <c r="D3300" s="13">
        <f>_xll.EditDistance($C$3,C3300,2)</f>
        <v>10</v>
      </c>
      <c r="E3300" s="13"/>
    </row>
    <row r="3301" spans="2:5" x14ac:dyDescent="0.2">
      <c r="B3301" t="s">
        <v>7133</v>
      </c>
      <c r="C3301" t="s">
        <v>7134</v>
      </c>
      <c r="D3301" s="13">
        <f>_xll.EditDistance($C$3,C3301,2)</f>
        <v>20</v>
      </c>
      <c r="E3301" s="13"/>
    </row>
    <row r="3302" spans="2:5" x14ac:dyDescent="0.2">
      <c r="B3302" t="s">
        <v>7543</v>
      </c>
      <c r="C3302" t="s">
        <v>7544</v>
      </c>
      <c r="D3302" s="13">
        <f>_xll.EditDistance($C$3,C3302,2)</f>
        <v>20</v>
      </c>
      <c r="E3302" s="13"/>
    </row>
    <row r="3303" spans="2:5" x14ac:dyDescent="0.2">
      <c r="B3303" t="s">
        <v>7683</v>
      </c>
      <c r="C3303" t="s">
        <v>7684</v>
      </c>
      <c r="D3303" s="13">
        <f>_xll.EditDistance($C$3,C3303,2)</f>
        <v>20</v>
      </c>
      <c r="E3303" s="13"/>
    </row>
    <row r="3304" spans="2:5" x14ac:dyDescent="0.2">
      <c r="B3304" t="s">
        <v>8680</v>
      </c>
      <c r="C3304" t="s">
        <v>8681</v>
      </c>
      <c r="D3304" s="13">
        <f>_xll.EditDistance($C$3,C3304,2)</f>
        <v>10</v>
      </c>
      <c r="E3304" s="13"/>
    </row>
    <row r="3305" spans="2:5" x14ac:dyDescent="0.2">
      <c r="B3305" t="s">
        <v>292</v>
      </c>
      <c r="C3305" t="s">
        <v>293</v>
      </c>
      <c r="D3305" s="13">
        <f>_xll.EditDistance($C$3,C3305,2)</f>
        <v>30</v>
      </c>
      <c r="E3305" s="13"/>
    </row>
    <row r="3306" spans="2:5" x14ac:dyDescent="0.2">
      <c r="B3306" t="s">
        <v>299</v>
      </c>
      <c r="C3306" t="s">
        <v>300</v>
      </c>
      <c r="D3306" s="13">
        <f>_xll.EditDistance($C$3,C3306,2)</f>
        <v>10</v>
      </c>
      <c r="E3306" s="13"/>
    </row>
    <row r="3307" spans="2:5" x14ac:dyDescent="0.2">
      <c r="B3307" t="s">
        <v>313</v>
      </c>
      <c r="C3307" t="s">
        <v>314</v>
      </c>
      <c r="D3307" s="13">
        <f>_xll.EditDistance($C$3,C3307,2)</f>
        <v>10</v>
      </c>
      <c r="E3307" s="13"/>
    </row>
    <row r="3308" spans="2:5" x14ac:dyDescent="0.2">
      <c r="B3308" t="s">
        <v>315</v>
      </c>
      <c r="C3308" t="s">
        <v>316</v>
      </c>
      <c r="D3308" s="13">
        <f>_xll.EditDistance($C$3,C3308,2)</f>
        <v>10</v>
      </c>
      <c r="E3308" s="13"/>
    </row>
    <row r="3309" spans="2:5" x14ac:dyDescent="0.2">
      <c r="B3309" t="s">
        <v>341</v>
      </c>
      <c r="C3309" t="s">
        <v>342</v>
      </c>
      <c r="D3309" s="13">
        <f>_xll.EditDistance($C$3,C3309,2)</f>
        <v>10</v>
      </c>
      <c r="E3309" s="13"/>
    </row>
    <row r="3310" spans="2:5" x14ac:dyDescent="0.2">
      <c r="B3310" t="s">
        <v>404</v>
      </c>
      <c r="C3310" t="s">
        <v>405</v>
      </c>
      <c r="D3310" s="13">
        <f>_xll.EditDistance($C$3,C3310,2)</f>
        <v>10</v>
      </c>
      <c r="E3310" s="13"/>
    </row>
    <row r="3311" spans="2:5" x14ac:dyDescent="0.2">
      <c r="B3311" t="s">
        <v>470</v>
      </c>
      <c r="C3311" t="s">
        <v>471</v>
      </c>
      <c r="D3311" s="13">
        <f>_xll.EditDistance($C$3,C3311,2)</f>
        <v>10</v>
      </c>
      <c r="E3311" s="13"/>
    </row>
    <row r="3312" spans="2:5" x14ac:dyDescent="0.2">
      <c r="B3312" t="s">
        <v>589</v>
      </c>
      <c r="C3312" t="s">
        <v>590</v>
      </c>
      <c r="D3312" s="13">
        <f>_xll.EditDistance($C$3,C3312,2)</f>
        <v>10</v>
      </c>
      <c r="E3312" s="13"/>
    </row>
    <row r="3313" spans="2:5" x14ac:dyDescent="0.2">
      <c r="B3313" t="s">
        <v>640</v>
      </c>
      <c r="C3313" t="s">
        <v>641</v>
      </c>
      <c r="D3313" s="13">
        <f>_xll.EditDistance($C$3,C3313,2)</f>
        <v>54</v>
      </c>
      <c r="E3313" s="13"/>
    </row>
    <row r="3314" spans="2:5" x14ac:dyDescent="0.2">
      <c r="B3314" t="s">
        <v>649</v>
      </c>
      <c r="C3314" t="s">
        <v>651</v>
      </c>
      <c r="D3314" s="13">
        <f>_xll.EditDistance($C$3,C3314,2)</f>
        <v>10</v>
      </c>
      <c r="E3314" s="13"/>
    </row>
    <row r="3315" spans="2:5" x14ac:dyDescent="0.2">
      <c r="B3315" t="s">
        <v>689</v>
      </c>
      <c r="C3315" t="s">
        <v>690</v>
      </c>
      <c r="D3315" s="13">
        <f>_xll.EditDistance($C$3,C3315,2)</f>
        <v>10</v>
      </c>
      <c r="E3315" s="13"/>
    </row>
    <row r="3316" spans="2:5" x14ac:dyDescent="0.2">
      <c r="B3316" t="s">
        <v>750</v>
      </c>
      <c r="C3316" t="s">
        <v>751</v>
      </c>
      <c r="D3316" s="13">
        <f>_xll.EditDistance($C$3,C3316,2)</f>
        <v>10</v>
      </c>
      <c r="E3316" s="13"/>
    </row>
    <row r="3317" spans="2:5" x14ac:dyDescent="0.2">
      <c r="B3317" t="s">
        <v>814</v>
      </c>
      <c r="C3317" t="s">
        <v>815</v>
      </c>
      <c r="D3317" s="13">
        <f>_xll.EditDistance($C$3,C3317,2)</f>
        <v>10</v>
      </c>
      <c r="E3317" s="13"/>
    </row>
    <row r="3318" spans="2:5" x14ac:dyDescent="0.2">
      <c r="B3318" t="s">
        <v>1093</v>
      </c>
      <c r="C3318" t="s">
        <v>1094</v>
      </c>
      <c r="D3318" s="13">
        <f>_xll.EditDistance($C$3,C3318,2)</f>
        <v>10</v>
      </c>
      <c r="E3318" s="13"/>
    </row>
    <row r="3319" spans="2:5" x14ac:dyDescent="0.2">
      <c r="B3319" t="s">
        <v>1109</v>
      </c>
      <c r="C3319" t="s">
        <v>1110</v>
      </c>
      <c r="D3319" s="13">
        <f>_xll.EditDistance($C$3,C3319,2)</f>
        <v>10</v>
      </c>
      <c r="E3319" s="13"/>
    </row>
    <row r="3320" spans="2:5" x14ac:dyDescent="0.2">
      <c r="B3320" t="s">
        <v>1115</v>
      </c>
      <c r="C3320" t="s">
        <v>1116</v>
      </c>
      <c r="D3320" s="13">
        <f>_xll.EditDistance($C$3,C3320,2)</f>
        <v>10</v>
      </c>
      <c r="E3320" s="13"/>
    </row>
    <row r="3321" spans="2:5" x14ac:dyDescent="0.2">
      <c r="B3321" t="s">
        <v>1158</v>
      </c>
      <c r="C3321" t="s">
        <v>1159</v>
      </c>
      <c r="D3321" s="13">
        <f>_xll.EditDistance($C$3,C3321,2)</f>
        <v>10</v>
      </c>
      <c r="E3321" s="13"/>
    </row>
    <row r="3322" spans="2:5" x14ac:dyDescent="0.2">
      <c r="B3322" t="s">
        <v>1230</v>
      </c>
      <c r="C3322" t="s">
        <v>1232</v>
      </c>
      <c r="D3322" s="13">
        <f>_xll.EditDistance($C$3,C3322,2)</f>
        <v>10</v>
      </c>
      <c r="E3322" s="13"/>
    </row>
    <row r="3323" spans="2:5" x14ac:dyDescent="0.2">
      <c r="B3323" t="s">
        <v>1240</v>
      </c>
      <c r="C3323" t="s">
        <v>1241</v>
      </c>
      <c r="D3323" s="13">
        <f>_xll.EditDistance($C$3,C3323,2)</f>
        <v>10</v>
      </c>
      <c r="E3323" s="13"/>
    </row>
    <row r="3324" spans="2:5" x14ac:dyDescent="0.2">
      <c r="B3324" t="s">
        <v>1395</v>
      </c>
      <c r="C3324" t="s">
        <v>1396</v>
      </c>
      <c r="D3324" s="13">
        <f>_xll.EditDistance($C$3,C3324,2)</f>
        <v>10</v>
      </c>
      <c r="E3324" s="13"/>
    </row>
    <row r="3325" spans="2:5" x14ac:dyDescent="0.2">
      <c r="B3325" t="s">
        <v>1453</v>
      </c>
      <c r="C3325" t="s">
        <v>1454</v>
      </c>
      <c r="D3325" s="13">
        <f>_xll.EditDistance($C$3,C3325,2)</f>
        <v>10</v>
      </c>
      <c r="E3325" s="13"/>
    </row>
    <row r="3326" spans="2:5" x14ac:dyDescent="0.2">
      <c r="B3326" t="s">
        <v>1482</v>
      </c>
      <c r="C3326" t="s">
        <v>1483</v>
      </c>
      <c r="D3326" s="13">
        <f>_xll.EditDistance($C$3,C3326,2)</f>
        <v>10</v>
      </c>
      <c r="E3326" s="13"/>
    </row>
    <row r="3327" spans="2:5" x14ac:dyDescent="0.2">
      <c r="B3327" t="s">
        <v>1536</v>
      </c>
      <c r="C3327" t="s">
        <v>1537</v>
      </c>
      <c r="D3327" s="13">
        <f>_xll.EditDistance($C$3,C3327,2)</f>
        <v>10</v>
      </c>
      <c r="E3327" s="13"/>
    </row>
    <row r="3328" spans="2:5" x14ac:dyDescent="0.2">
      <c r="B3328" t="s">
        <v>1576</v>
      </c>
      <c r="C3328" t="s">
        <v>1577</v>
      </c>
      <c r="D3328" s="13">
        <f>_xll.EditDistance($C$3,C3328,2)</f>
        <v>10</v>
      </c>
      <c r="E3328" s="13"/>
    </row>
    <row r="3329" spans="2:5" x14ac:dyDescent="0.2">
      <c r="B3329" t="s">
        <v>1592</v>
      </c>
      <c r="C3329" t="s">
        <v>1594</v>
      </c>
      <c r="D3329" s="13">
        <f>_xll.EditDistance($C$3,C3329,2)</f>
        <v>10</v>
      </c>
      <c r="E3329" s="13"/>
    </row>
    <row r="3330" spans="2:5" x14ac:dyDescent="0.2">
      <c r="B3330" t="s">
        <v>1642</v>
      </c>
      <c r="C3330" t="s">
        <v>1643</v>
      </c>
      <c r="D3330" s="13">
        <f>_xll.EditDistance($C$3,C3330,2)</f>
        <v>10</v>
      </c>
      <c r="E3330" s="13"/>
    </row>
    <row r="3331" spans="2:5" x14ac:dyDescent="0.2">
      <c r="B3331" t="s">
        <v>1684</v>
      </c>
      <c r="C3331" t="s">
        <v>1686</v>
      </c>
      <c r="D3331" s="13">
        <f>_xll.EditDistance($C$3,C3331,2)</f>
        <v>10</v>
      </c>
      <c r="E3331" s="13"/>
    </row>
    <row r="3332" spans="2:5" x14ac:dyDescent="0.2">
      <c r="B3332" t="s">
        <v>1720</v>
      </c>
      <c r="C3332" t="s">
        <v>1721</v>
      </c>
      <c r="D3332" s="13">
        <f>_xll.EditDistance($C$3,C3332,2)</f>
        <v>10</v>
      </c>
      <c r="E3332" s="13"/>
    </row>
    <row r="3333" spans="2:5" x14ac:dyDescent="0.2">
      <c r="B3333" t="s">
        <v>1796</v>
      </c>
      <c r="C3333" t="s">
        <v>1797</v>
      </c>
      <c r="D3333" s="13">
        <f>_xll.EditDistance($C$3,C3333,2)</f>
        <v>20</v>
      </c>
      <c r="E3333" s="13"/>
    </row>
    <row r="3334" spans="2:5" x14ac:dyDescent="0.2">
      <c r="B3334" t="s">
        <v>1948</v>
      </c>
      <c r="C3334" t="s">
        <v>1949</v>
      </c>
      <c r="D3334" s="13">
        <f>_xll.EditDistance($C$3,C3334,2)</f>
        <v>10</v>
      </c>
      <c r="E3334" s="13"/>
    </row>
    <row r="3335" spans="2:5" x14ac:dyDescent="0.2">
      <c r="B3335" t="s">
        <v>1994</v>
      </c>
      <c r="C3335" t="s">
        <v>1995</v>
      </c>
      <c r="D3335" s="13">
        <f>_xll.EditDistance($C$3,C3335,2)</f>
        <v>10</v>
      </c>
      <c r="E3335" s="13"/>
    </row>
    <row r="3336" spans="2:5" x14ac:dyDescent="0.2">
      <c r="B3336" t="s">
        <v>2053</v>
      </c>
      <c r="C3336" t="s">
        <v>2054</v>
      </c>
      <c r="D3336" s="13">
        <f>_xll.EditDistance($C$3,C3336,2)</f>
        <v>20</v>
      </c>
      <c r="E3336" s="13"/>
    </row>
    <row r="3337" spans="2:5" x14ac:dyDescent="0.2">
      <c r="B3337" s="22" t="s">
        <v>2055</v>
      </c>
      <c r="C3337" t="s">
        <v>2056</v>
      </c>
      <c r="D3337" s="13">
        <f>_xll.EditDistance($C$3,C3337,2)</f>
        <v>10</v>
      </c>
      <c r="E3337" s="13"/>
    </row>
    <row r="3338" spans="2:5" x14ac:dyDescent="0.2">
      <c r="B3338" t="s">
        <v>2237</v>
      </c>
      <c r="C3338" t="s">
        <v>2238</v>
      </c>
      <c r="D3338" s="13">
        <f>_xll.EditDistance($C$3,C3338,2)</f>
        <v>10</v>
      </c>
      <c r="E3338" s="13"/>
    </row>
    <row r="3339" spans="2:5" x14ac:dyDescent="0.2">
      <c r="B3339" t="s">
        <v>2420</v>
      </c>
      <c r="C3339" t="s">
        <v>2421</v>
      </c>
      <c r="D3339" s="13">
        <f>_xll.EditDistance($C$3,C3339,2)</f>
        <v>10</v>
      </c>
      <c r="E3339" s="13"/>
    </row>
    <row r="3340" spans="2:5" x14ac:dyDescent="0.2">
      <c r="B3340" t="s">
        <v>2546</v>
      </c>
      <c r="C3340" t="s">
        <v>2547</v>
      </c>
      <c r="D3340" s="13">
        <f>_xll.EditDistance($C$3,C3340,2)</f>
        <v>10</v>
      </c>
      <c r="E3340" s="13"/>
    </row>
    <row r="3341" spans="2:5" x14ac:dyDescent="0.2">
      <c r="B3341" t="s">
        <v>2774</v>
      </c>
      <c r="C3341" t="s">
        <v>2775</v>
      </c>
      <c r="D3341" s="13">
        <f>_xll.EditDistance($C$3,C3341,2)</f>
        <v>10</v>
      </c>
      <c r="E3341" s="13"/>
    </row>
    <row r="3342" spans="2:5" x14ac:dyDescent="0.2">
      <c r="B3342" t="s">
        <v>2939</v>
      </c>
      <c r="C3342" t="s">
        <v>2940</v>
      </c>
      <c r="D3342" s="13">
        <f>_xll.EditDistance($C$3,C3342,2)</f>
        <v>10</v>
      </c>
      <c r="E3342" s="13"/>
    </row>
    <row r="3343" spans="2:5" x14ac:dyDescent="0.2">
      <c r="B3343" t="s">
        <v>2988</v>
      </c>
      <c r="C3343" t="s">
        <v>2989</v>
      </c>
      <c r="D3343" s="13">
        <f>_xll.EditDistance($C$3,C3343,2)</f>
        <v>10</v>
      </c>
      <c r="E3343" s="13"/>
    </row>
    <row r="3344" spans="2:5" x14ac:dyDescent="0.2">
      <c r="B3344" s="22" t="s">
        <v>3010</v>
      </c>
      <c r="C3344" t="s">
        <v>3011</v>
      </c>
      <c r="D3344" s="13">
        <f>_xll.EditDistance($C$3,C3344,2)</f>
        <v>10</v>
      </c>
      <c r="E3344" s="13"/>
    </row>
    <row r="3345" spans="2:5" x14ac:dyDescent="0.2">
      <c r="B3345" t="s">
        <v>3041</v>
      </c>
      <c r="C3345" t="s">
        <v>3042</v>
      </c>
      <c r="D3345" s="13">
        <f>_xll.EditDistance($C$3,C3345,2)</f>
        <v>10</v>
      </c>
      <c r="E3345" s="13"/>
    </row>
    <row r="3346" spans="2:5" x14ac:dyDescent="0.2">
      <c r="B3346" t="s">
        <v>3092</v>
      </c>
      <c r="C3346" t="s">
        <v>3093</v>
      </c>
      <c r="D3346" s="13">
        <f>_xll.EditDistance($C$3,C3346,2)</f>
        <v>10</v>
      </c>
      <c r="E3346" s="13"/>
    </row>
    <row r="3347" spans="2:5" x14ac:dyDescent="0.2">
      <c r="B3347" t="s">
        <v>3100</v>
      </c>
      <c r="C3347" t="s">
        <v>3101</v>
      </c>
      <c r="D3347" s="13">
        <f>_xll.EditDistance($C$3,C3347,2)</f>
        <v>10</v>
      </c>
      <c r="E3347" s="13"/>
    </row>
    <row r="3348" spans="2:5" x14ac:dyDescent="0.2">
      <c r="B3348" t="s">
        <v>3143</v>
      </c>
      <c r="C3348" t="s">
        <v>3144</v>
      </c>
      <c r="D3348" s="13">
        <f>_xll.EditDistance($C$3,C3348,2)</f>
        <v>10</v>
      </c>
      <c r="E3348" s="13"/>
    </row>
    <row r="3349" spans="2:5" x14ac:dyDescent="0.2">
      <c r="B3349" t="s">
        <v>3215</v>
      </c>
      <c r="C3349" t="s">
        <v>3216</v>
      </c>
      <c r="D3349" s="13">
        <f>_xll.EditDistance($C$3,C3349,2)</f>
        <v>10</v>
      </c>
      <c r="E3349" s="13"/>
    </row>
    <row r="3350" spans="2:5" x14ac:dyDescent="0.2">
      <c r="B3350" t="s">
        <v>3474</v>
      </c>
      <c r="C3350" t="s">
        <v>3475</v>
      </c>
      <c r="D3350" s="13">
        <f>_xll.EditDistance($C$3,C3350,2)</f>
        <v>10</v>
      </c>
      <c r="E3350" s="13"/>
    </row>
    <row r="3351" spans="2:5" x14ac:dyDescent="0.2">
      <c r="B3351" t="s">
        <v>3506</v>
      </c>
      <c r="C3351" t="s">
        <v>3507</v>
      </c>
      <c r="D3351" s="13">
        <f>_xll.EditDistance($C$3,C3351,2)</f>
        <v>10</v>
      </c>
      <c r="E3351" s="13"/>
    </row>
    <row r="3352" spans="2:5" x14ac:dyDescent="0.2">
      <c r="B3352" t="s">
        <v>3526</v>
      </c>
      <c r="C3352" t="s">
        <v>3527</v>
      </c>
      <c r="D3352" s="13">
        <f>_xll.EditDistance($C$3,C3352,2)</f>
        <v>10</v>
      </c>
      <c r="E3352" s="13"/>
    </row>
    <row r="3353" spans="2:5" x14ac:dyDescent="0.2">
      <c r="B3353" t="s">
        <v>3586</v>
      </c>
      <c r="C3353" t="s">
        <v>3587</v>
      </c>
      <c r="D3353" s="13">
        <f>_xll.EditDistance($C$3,C3353,2)</f>
        <v>10</v>
      </c>
      <c r="E3353" s="13"/>
    </row>
    <row r="3354" spans="2:5" x14ac:dyDescent="0.2">
      <c r="B3354" t="s">
        <v>3630</v>
      </c>
      <c r="C3354" t="s">
        <v>3631</v>
      </c>
      <c r="D3354" s="13">
        <f>_xll.EditDistance($C$3,C3354,2)</f>
        <v>10</v>
      </c>
      <c r="E3354" s="13"/>
    </row>
    <row r="3355" spans="2:5" x14ac:dyDescent="0.2">
      <c r="B3355" t="s">
        <v>3730</v>
      </c>
      <c r="C3355" t="s">
        <v>3731</v>
      </c>
      <c r="D3355" s="13">
        <f>_xll.EditDistance($C$3,C3355,2)</f>
        <v>10</v>
      </c>
      <c r="E3355" s="13"/>
    </row>
    <row r="3356" spans="2:5" x14ac:dyDescent="0.2">
      <c r="B3356" t="s">
        <v>3794</v>
      </c>
      <c r="C3356" t="s">
        <v>3795</v>
      </c>
      <c r="D3356" s="13">
        <f>_xll.EditDistance($C$3,C3356,2)</f>
        <v>20</v>
      </c>
      <c r="E3356" s="13"/>
    </row>
    <row r="3357" spans="2:5" x14ac:dyDescent="0.2">
      <c r="B3357" t="s">
        <v>3841</v>
      </c>
      <c r="C3357" t="s">
        <v>3842</v>
      </c>
      <c r="D3357" s="13">
        <f>_xll.EditDistance($C$3,C3357,2)</f>
        <v>10</v>
      </c>
      <c r="E3357" s="13"/>
    </row>
    <row r="3358" spans="2:5" x14ac:dyDescent="0.2">
      <c r="B3358" t="s">
        <v>3889</v>
      </c>
      <c r="C3358" t="s">
        <v>3890</v>
      </c>
      <c r="D3358" s="13">
        <f>_xll.EditDistance($C$3,C3358,2)</f>
        <v>10</v>
      </c>
      <c r="E3358" s="13"/>
    </row>
    <row r="3359" spans="2:5" x14ac:dyDescent="0.2">
      <c r="B3359" t="s">
        <v>3895</v>
      </c>
      <c r="C3359" t="s">
        <v>3896</v>
      </c>
      <c r="D3359" s="13">
        <f>_xll.EditDistance($C$3,C3359,2)</f>
        <v>20</v>
      </c>
      <c r="E3359" s="13"/>
    </row>
    <row r="3360" spans="2:5" x14ac:dyDescent="0.2">
      <c r="B3360" t="s">
        <v>3928</v>
      </c>
      <c r="C3360" t="s">
        <v>3929</v>
      </c>
      <c r="D3360" s="13">
        <f>_xll.EditDistance($C$3,C3360,2)</f>
        <v>10</v>
      </c>
      <c r="E3360" s="13"/>
    </row>
    <row r="3361" spans="2:5" x14ac:dyDescent="0.2">
      <c r="B3361" t="s">
        <v>3946</v>
      </c>
      <c r="C3361" t="s">
        <v>3947</v>
      </c>
      <c r="D3361" s="13">
        <f>_xll.EditDistance($C$3,C3361,2)</f>
        <v>10</v>
      </c>
      <c r="E3361" s="13"/>
    </row>
    <row r="3362" spans="2:5" x14ac:dyDescent="0.2">
      <c r="B3362" t="s">
        <v>4048</v>
      </c>
      <c r="C3362" t="s">
        <v>4049</v>
      </c>
      <c r="D3362" s="13">
        <f>_xll.EditDistance($C$3,C3362,2)</f>
        <v>20</v>
      </c>
      <c r="E3362" s="13"/>
    </row>
    <row r="3363" spans="2:5" x14ac:dyDescent="0.2">
      <c r="B3363" t="s">
        <v>4073</v>
      </c>
      <c r="C3363" t="s">
        <v>4074</v>
      </c>
      <c r="D3363" s="13">
        <f>_xll.EditDistance($C$3,C3363,2)</f>
        <v>10</v>
      </c>
      <c r="E3363" s="13"/>
    </row>
    <row r="3364" spans="2:5" x14ac:dyDescent="0.2">
      <c r="B3364" t="s">
        <v>4132</v>
      </c>
      <c r="C3364" t="s">
        <v>4133</v>
      </c>
      <c r="D3364" s="13">
        <f>_xll.EditDistance($C$3,C3364,2)</f>
        <v>10</v>
      </c>
      <c r="E3364" s="13"/>
    </row>
    <row r="3365" spans="2:5" x14ac:dyDescent="0.2">
      <c r="B3365" t="s">
        <v>4155</v>
      </c>
      <c r="C3365" t="s">
        <v>4156</v>
      </c>
      <c r="D3365" s="13">
        <f>_xll.EditDistance($C$3,C3365,2)</f>
        <v>10</v>
      </c>
      <c r="E3365" s="13"/>
    </row>
    <row r="3366" spans="2:5" x14ac:dyDescent="0.2">
      <c r="B3366" t="s">
        <v>4179</v>
      </c>
      <c r="C3366" t="s">
        <v>4180</v>
      </c>
      <c r="D3366" s="13">
        <f>_xll.EditDistance($C$3,C3366,2)</f>
        <v>10</v>
      </c>
      <c r="E3366" s="13"/>
    </row>
    <row r="3367" spans="2:5" x14ac:dyDescent="0.2">
      <c r="B3367" t="s">
        <v>4308</v>
      </c>
      <c r="C3367" t="s">
        <v>4309</v>
      </c>
      <c r="D3367" s="13">
        <f>_xll.EditDistance($C$3,C3367,2)</f>
        <v>30</v>
      </c>
      <c r="E3367" s="13"/>
    </row>
    <row r="3368" spans="2:5" x14ac:dyDescent="0.2">
      <c r="B3368" t="s">
        <v>4336</v>
      </c>
      <c r="C3368" t="s">
        <v>4337</v>
      </c>
      <c r="D3368" s="13">
        <f>_xll.EditDistance($C$3,C3368,2)</f>
        <v>10</v>
      </c>
      <c r="E3368" s="13"/>
    </row>
    <row r="3369" spans="2:5" x14ac:dyDescent="0.2">
      <c r="B3369" t="s">
        <v>4340</v>
      </c>
      <c r="C3369" t="s">
        <v>4341</v>
      </c>
      <c r="D3369" s="13">
        <f>_xll.EditDistance($C$3,C3369,2)</f>
        <v>10</v>
      </c>
      <c r="E3369" s="13"/>
    </row>
    <row r="3370" spans="2:5" x14ac:dyDescent="0.2">
      <c r="B3370" t="s">
        <v>4359</v>
      </c>
      <c r="C3370" t="s">
        <v>4360</v>
      </c>
      <c r="D3370" s="13">
        <f>_xll.EditDistance($C$3,C3370,2)</f>
        <v>10</v>
      </c>
      <c r="E3370" s="13"/>
    </row>
    <row r="3371" spans="2:5" x14ac:dyDescent="0.2">
      <c r="B3371" t="s">
        <v>4420</v>
      </c>
      <c r="C3371" t="s">
        <v>4423</v>
      </c>
      <c r="D3371" s="13">
        <f>_xll.EditDistance($C$3,C3371,2)</f>
        <v>10</v>
      </c>
      <c r="E3371" s="13"/>
    </row>
    <row r="3372" spans="2:5" x14ac:dyDescent="0.2">
      <c r="B3372" t="s">
        <v>4649</v>
      </c>
      <c r="C3372" t="s">
        <v>4650</v>
      </c>
      <c r="D3372" s="13">
        <f>_xll.EditDistance($C$3,C3372,2)</f>
        <v>10</v>
      </c>
      <c r="E3372" s="13"/>
    </row>
    <row r="3373" spans="2:5" x14ac:dyDescent="0.2">
      <c r="B3373" t="s">
        <v>4668</v>
      </c>
      <c r="C3373" t="s">
        <v>4669</v>
      </c>
      <c r="D3373" s="13">
        <f>_xll.EditDistance($C$3,C3373,2)</f>
        <v>10</v>
      </c>
      <c r="E3373" s="13"/>
    </row>
    <row r="3374" spans="2:5" x14ac:dyDescent="0.2">
      <c r="B3374" t="s">
        <v>4747</v>
      </c>
      <c r="C3374" t="s">
        <v>4748</v>
      </c>
      <c r="D3374" s="13">
        <f>_xll.EditDistance($C$3,C3374,2)</f>
        <v>10</v>
      </c>
      <c r="E3374" s="13"/>
    </row>
    <row r="3375" spans="2:5" x14ac:dyDescent="0.2">
      <c r="B3375" t="s">
        <v>4765</v>
      </c>
      <c r="C3375" t="s">
        <v>4766</v>
      </c>
      <c r="D3375" s="13">
        <f>_xll.EditDistance($C$3,C3375,2)</f>
        <v>10</v>
      </c>
      <c r="E3375" s="13"/>
    </row>
    <row r="3376" spans="2:5" x14ac:dyDescent="0.2">
      <c r="B3376" t="s">
        <v>4776</v>
      </c>
      <c r="C3376" t="s">
        <v>4777</v>
      </c>
      <c r="D3376" s="13">
        <f>_xll.EditDistance($C$3,C3376,2)</f>
        <v>10</v>
      </c>
      <c r="E3376" s="13"/>
    </row>
    <row r="3377" spans="2:5" x14ac:dyDescent="0.2">
      <c r="B3377" t="s">
        <v>4804</v>
      </c>
      <c r="C3377" t="s">
        <v>4805</v>
      </c>
      <c r="D3377" s="13">
        <f>_xll.EditDistance($C$3,C3377,2)</f>
        <v>10</v>
      </c>
      <c r="E3377" s="13"/>
    </row>
    <row r="3378" spans="2:5" x14ac:dyDescent="0.2">
      <c r="B3378" t="s">
        <v>4985</v>
      </c>
      <c r="C3378" t="s">
        <v>4986</v>
      </c>
      <c r="D3378" s="13">
        <f>_xll.EditDistance($C$3,C3378,2)</f>
        <v>20</v>
      </c>
      <c r="E3378" s="13"/>
    </row>
    <row r="3379" spans="2:5" x14ac:dyDescent="0.2">
      <c r="B3379" t="s">
        <v>4997</v>
      </c>
      <c r="C3379" t="s">
        <v>4998</v>
      </c>
      <c r="D3379" s="13">
        <f>_xll.EditDistance($C$3,C3379,2)</f>
        <v>10</v>
      </c>
      <c r="E3379" s="13"/>
    </row>
    <row r="3380" spans="2:5" x14ac:dyDescent="0.2">
      <c r="B3380" t="s">
        <v>5016</v>
      </c>
      <c r="C3380" t="s">
        <v>5017</v>
      </c>
      <c r="D3380" s="13">
        <f>_xll.EditDistance($C$3,C3380,2)</f>
        <v>10</v>
      </c>
      <c r="E3380" s="13"/>
    </row>
    <row r="3381" spans="2:5" x14ac:dyDescent="0.2">
      <c r="B3381" t="s">
        <v>5031</v>
      </c>
      <c r="C3381" t="s">
        <v>5032</v>
      </c>
      <c r="D3381" s="13">
        <f>_xll.EditDistance($C$3,C3381,2)</f>
        <v>10</v>
      </c>
      <c r="E3381" s="13"/>
    </row>
    <row r="3382" spans="2:5" x14ac:dyDescent="0.2">
      <c r="B3382" t="s">
        <v>5064</v>
      </c>
      <c r="C3382" t="s">
        <v>5065</v>
      </c>
      <c r="D3382" s="13">
        <f>_xll.EditDistance($C$3,C3382,2)</f>
        <v>10</v>
      </c>
      <c r="E3382" s="13"/>
    </row>
    <row r="3383" spans="2:5" x14ac:dyDescent="0.2">
      <c r="B3383" t="s">
        <v>5172</v>
      </c>
      <c r="C3383" t="s">
        <v>5173</v>
      </c>
      <c r="D3383" s="13">
        <f>_xll.EditDistance($C$3,C3383,2)</f>
        <v>10</v>
      </c>
      <c r="E3383" s="13"/>
    </row>
    <row r="3384" spans="2:5" x14ac:dyDescent="0.2">
      <c r="B3384" t="s">
        <v>5172</v>
      </c>
      <c r="C3384" t="s">
        <v>5174</v>
      </c>
      <c r="D3384" s="13">
        <f>_xll.EditDistance($C$3,C3384,2)</f>
        <v>20</v>
      </c>
      <c r="E3384" s="13"/>
    </row>
    <row r="3385" spans="2:5" x14ac:dyDescent="0.2">
      <c r="B3385" t="s">
        <v>5226</v>
      </c>
      <c r="C3385" t="s">
        <v>5227</v>
      </c>
      <c r="D3385" s="13">
        <f>_xll.EditDistance($C$3,C3385,2)</f>
        <v>20</v>
      </c>
      <c r="E3385" s="13"/>
    </row>
    <row r="3386" spans="2:5" x14ac:dyDescent="0.2">
      <c r="B3386" t="s">
        <v>5245</v>
      </c>
      <c r="C3386" t="s">
        <v>5246</v>
      </c>
      <c r="D3386" s="13">
        <f>_xll.EditDistance($C$3,C3386,2)</f>
        <v>10</v>
      </c>
      <c r="E3386" s="13"/>
    </row>
    <row r="3387" spans="2:5" x14ac:dyDescent="0.2">
      <c r="B3387" s="22" t="s">
        <v>5271</v>
      </c>
      <c r="C3387" t="s">
        <v>5272</v>
      </c>
      <c r="D3387" s="13">
        <f>_xll.EditDistance($C$3,C3387,2)</f>
        <v>10</v>
      </c>
      <c r="E3387" s="13"/>
    </row>
    <row r="3388" spans="2:5" x14ac:dyDescent="0.2">
      <c r="B3388" t="s">
        <v>5465</v>
      </c>
      <c r="C3388" t="s">
        <v>5466</v>
      </c>
      <c r="D3388" s="13">
        <f>_xll.EditDistance($C$3,C3388,2)</f>
        <v>10</v>
      </c>
      <c r="E3388" s="13"/>
    </row>
    <row r="3389" spans="2:5" x14ac:dyDescent="0.2">
      <c r="B3389" t="s">
        <v>5475</v>
      </c>
      <c r="C3389" t="s">
        <v>5476</v>
      </c>
      <c r="D3389" s="13">
        <f>_xll.EditDistance($C$3,C3389,2)</f>
        <v>60</v>
      </c>
      <c r="E3389" s="13"/>
    </row>
    <row r="3390" spans="2:5" x14ac:dyDescent="0.2">
      <c r="B3390" t="s">
        <v>5513</v>
      </c>
      <c r="C3390" t="s">
        <v>5514</v>
      </c>
      <c r="D3390" s="13">
        <f>_xll.EditDistance($C$3,C3390,2)</f>
        <v>10</v>
      </c>
      <c r="E3390" s="13"/>
    </row>
    <row r="3391" spans="2:5" x14ac:dyDescent="0.2">
      <c r="B3391" t="s">
        <v>5672</v>
      </c>
      <c r="C3391" t="s">
        <v>5673</v>
      </c>
      <c r="D3391" s="13">
        <f>_xll.EditDistance($C$3,C3391,2)</f>
        <v>10</v>
      </c>
      <c r="E3391" s="13"/>
    </row>
    <row r="3392" spans="2:5" x14ac:dyDescent="0.2">
      <c r="B3392" t="s">
        <v>5682</v>
      </c>
      <c r="C3392" t="s">
        <v>5683</v>
      </c>
      <c r="D3392" s="13">
        <f>_xll.EditDistance($C$3,C3392,2)</f>
        <v>10</v>
      </c>
      <c r="E3392" s="13"/>
    </row>
    <row r="3393" spans="2:5" x14ac:dyDescent="0.2">
      <c r="B3393" t="s">
        <v>5746</v>
      </c>
      <c r="C3393" t="s">
        <v>5747</v>
      </c>
      <c r="D3393" s="13">
        <f>_xll.EditDistance($C$3,C3393,2)</f>
        <v>10</v>
      </c>
      <c r="E3393" s="13"/>
    </row>
    <row r="3394" spans="2:5" x14ac:dyDescent="0.2">
      <c r="B3394" t="s">
        <v>5748</v>
      </c>
      <c r="C3394" t="s">
        <v>5749</v>
      </c>
      <c r="D3394" s="13">
        <f>_xll.EditDistance($C$3,C3394,2)</f>
        <v>10</v>
      </c>
      <c r="E3394" s="13"/>
    </row>
    <row r="3395" spans="2:5" x14ac:dyDescent="0.2">
      <c r="B3395" t="s">
        <v>5798</v>
      </c>
      <c r="C3395" t="s">
        <v>5799</v>
      </c>
      <c r="D3395" s="13">
        <f>_xll.EditDistance($C$3,C3395,2)</f>
        <v>10</v>
      </c>
      <c r="E3395" s="13"/>
    </row>
    <row r="3396" spans="2:5" x14ac:dyDescent="0.2">
      <c r="B3396" t="s">
        <v>5889</v>
      </c>
      <c r="C3396" t="s">
        <v>5890</v>
      </c>
      <c r="D3396" s="13">
        <f>_xll.EditDistance($C$3,C3396,2)</f>
        <v>10</v>
      </c>
      <c r="E3396" s="13"/>
    </row>
    <row r="3397" spans="2:5" x14ac:dyDescent="0.2">
      <c r="B3397" t="s">
        <v>5908</v>
      </c>
      <c r="C3397" t="s">
        <v>5909</v>
      </c>
      <c r="D3397" s="13">
        <f>_xll.EditDistance($C$3,C3397,2)</f>
        <v>20</v>
      </c>
      <c r="E3397" s="13"/>
    </row>
    <row r="3398" spans="2:5" x14ac:dyDescent="0.2">
      <c r="B3398" t="s">
        <v>5946</v>
      </c>
      <c r="C3398" t="s">
        <v>5947</v>
      </c>
      <c r="D3398" s="13">
        <f>_xll.EditDistance($C$3,C3398,2)</f>
        <v>10</v>
      </c>
      <c r="E3398" s="13"/>
    </row>
    <row r="3399" spans="2:5" x14ac:dyDescent="0.2">
      <c r="B3399" t="s">
        <v>6012</v>
      </c>
      <c r="C3399" t="s">
        <v>6013</v>
      </c>
      <c r="D3399" s="13">
        <f>_xll.EditDistance($C$3,C3399,2)</f>
        <v>10</v>
      </c>
      <c r="E3399" s="13"/>
    </row>
    <row r="3400" spans="2:5" x14ac:dyDescent="0.2">
      <c r="B3400" t="s">
        <v>6085</v>
      </c>
      <c r="C3400" t="s">
        <v>6086</v>
      </c>
      <c r="D3400" s="13">
        <f>_xll.EditDistance($C$3,C3400,2)</f>
        <v>10</v>
      </c>
      <c r="E3400" s="13"/>
    </row>
    <row r="3401" spans="2:5" x14ac:dyDescent="0.2">
      <c r="B3401" t="s">
        <v>6125</v>
      </c>
      <c r="C3401" t="s">
        <v>6126</v>
      </c>
      <c r="D3401" s="13">
        <f>_xll.EditDistance($C$3,C3401,2)</f>
        <v>10</v>
      </c>
      <c r="E3401" s="13"/>
    </row>
    <row r="3402" spans="2:5" x14ac:dyDescent="0.2">
      <c r="B3402" t="s">
        <v>6153</v>
      </c>
      <c r="C3402" t="s">
        <v>6154</v>
      </c>
      <c r="D3402" s="13">
        <f>_xll.EditDistance($C$3,C3402,2)</f>
        <v>10</v>
      </c>
      <c r="E3402" s="13"/>
    </row>
    <row r="3403" spans="2:5" x14ac:dyDescent="0.2">
      <c r="B3403" t="s">
        <v>6165</v>
      </c>
      <c r="C3403" t="s">
        <v>6166</v>
      </c>
      <c r="D3403" s="13">
        <f>_xll.EditDistance($C$3,C3403,2)</f>
        <v>10</v>
      </c>
      <c r="E3403" s="13"/>
    </row>
    <row r="3404" spans="2:5" x14ac:dyDescent="0.2">
      <c r="B3404" t="s">
        <v>6218</v>
      </c>
      <c r="C3404" t="s">
        <v>6220</v>
      </c>
      <c r="D3404" s="13">
        <f>_xll.EditDistance($C$3,C3404,2)</f>
        <v>10</v>
      </c>
      <c r="E3404" s="13"/>
    </row>
    <row r="3405" spans="2:5" x14ac:dyDescent="0.2">
      <c r="B3405" t="s">
        <v>6254</v>
      </c>
      <c r="C3405" t="s">
        <v>6255</v>
      </c>
      <c r="D3405" s="13">
        <f>_xll.EditDistance($C$3,C3405,2)</f>
        <v>10</v>
      </c>
      <c r="E3405" s="13"/>
    </row>
    <row r="3406" spans="2:5" x14ac:dyDescent="0.2">
      <c r="B3406" t="s">
        <v>6322</v>
      </c>
      <c r="C3406" t="s">
        <v>6323</v>
      </c>
      <c r="D3406" s="13">
        <f>_xll.EditDistance($C$3,C3406,2)</f>
        <v>10</v>
      </c>
      <c r="E3406" s="13"/>
    </row>
    <row r="3407" spans="2:5" x14ac:dyDescent="0.2">
      <c r="B3407" t="s">
        <v>6482</v>
      </c>
      <c r="C3407" t="s">
        <v>6483</v>
      </c>
      <c r="D3407" s="13">
        <f>_xll.EditDistance($C$3,C3407,2)</f>
        <v>10</v>
      </c>
      <c r="E3407" s="13"/>
    </row>
    <row r="3408" spans="2:5" x14ac:dyDescent="0.2">
      <c r="B3408" t="s">
        <v>6492</v>
      </c>
      <c r="C3408" t="s">
        <v>6493</v>
      </c>
      <c r="D3408" s="13">
        <f>_xll.EditDistance($C$3,C3408,2)</f>
        <v>10</v>
      </c>
      <c r="E3408" s="13"/>
    </row>
    <row r="3409" spans="2:5" x14ac:dyDescent="0.2">
      <c r="B3409" t="s">
        <v>6670</v>
      </c>
      <c r="C3409" t="s">
        <v>6671</v>
      </c>
      <c r="D3409" s="13">
        <f>_xll.EditDistance($C$3,C3409,2)</f>
        <v>10</v>
      </c>
      <c r="E3409" s="13"/>
    </row>
    <row r="3410" spans="2:5" x14ac:dyDescent="0.2">
      <c r="B3410" t="s">
        <v>6697</v>
      </c>
      <c r="C3410" t="s">
        <v>6698</v>
      </c>
      <c r="D3410" s="13">
        <f>_xll.EditDistance($C$3,C3410,2)</f>
        <v>20</v>
      </c>
      <c r="E3410" s="13"/>
    </row>
    <row r="3411" spans="2:5" x14ac:dyDescent="0.2">
      <c r="B3411" t="s">
        <v>6699</v>
      </c>
      <c r="C3411" t="s">
        <v>6700</v>
      </c>
      <c r="D3411" s="13">
        <f>_xll.EditDistance($C$3,C3411,2)</f>
        <v>10</v>
      </c>
      <c r="E3411" s="13"/>
    </row>
    <row r="3412" spans="2:5" x14ac:dyDescent="0.2">
      <c r="B3412" t="s">
        <v>6726</v>
      </c>
      <c r="C3412" t="s">
        <v>6727</v>
      </c>
      <c r="D3412" s="13">
        <f>_xll.EditDistance($C$3,C3412,2)</f>
        <v>10</v>
      </c>
      <c r="E3412" s="13"/>
    </row>
    <row r="3413" spans="2:5" x14ac:dyDescent="0.2">
      <c r="B3413" t="s">
        <v>6767</v>
      </c>
      <c r="C3413" t="s">
        <v>6768</v>
      </c>
      <c r="D3413" s="13">
        <f>_xll.EditDistance($C$3,C3413,2)</f>
        <v>10</v>
      </c>
      <c r="E3413" s="13"/>
    </row>
    <row r="3414" spans="2:5" x14ac:dyDescent="0.2">
      <c r="B3414" t="s">
        <v>6775</v>
      </c>
      <c r="C3414" t="s">
        <v>6776</v>
      </c>
      <c r="D3414" s="13">
        <f>_xll.EditDistance($C$3,C3414,2)</f>
        <v>10</v>
      </c>
      <c r="E3414" s="13"/>
    </row>
    <row r="3415" spans="2:5" x14ac:dyDescent="0.2">
      <c r="B3415" t="s">
        <v>7020</v>
      </c>
      <c r="C3415" t="s">
        <v>7021</v>
      </c>
      <c r="D3415" s="13">
        <f>_xll.EditDistance($C$3,C3415,2)</f>
        <v>10</v>
      </c>
      <c r="E3415" s="13"/>
    </row>
    <row r="3416" spans="2:5" x14ac:dyDescent="0.2">
      <c r="B3416" t="s">
        <v>7463</v>
      </c>
      <c r="C3416" t="s">
        <v>7464</v>
      </c>
      <c r="D3416" s="13">
        <f>_xll.EditDistance($C$3,C3416,2)</f>
        <v>10</v>
      </c>
      <c r="E3416" s="13"/>
    </row>
    <row r="3417" spans="2:5" x14ac:dyDescent="0.2">
      <c r="B3417" t="s">
        <v>7505</v>
      </c>
      <c r="C3417" t="s">
        <v>7506</v>
      </c>
      <c r="D3417" s="13">
        <f>_xll.EditDistance($C$3,C3417,2)</f>
        <v>10</v>
      </c>
      <c r="E3417" s="13"/>
    </row>
    <row r="3418" spans="2:5" x14ac:dyDescent="0.2">
      <c r="B3418" t="s">
        <v>7537</v>
      </c>
      <c r="C3418" t="s">
        <v>7538</v>
      </c>
      <c r="D3418" s="13">
        <f>_xll.EditDistance($C$3,C3418,2)</f>
        <v>10</v>
      </c>
      <c r="E3418" s="13"/>
    </row>
    <row r="3419" spans="2:5" x14ac:dyDescent="0.2">
      <c r="B3419" t="s">
        <v>7565</v>
      </c>
      <c r="C3419" t="s">
        <v>7566</v>
      </c>
      <c r="D3419" s="13">
        <f>_xll.EditDistance($C$3,C3419,2)</f>
        <v>10</v>
      </c>
      <c r="E3419" s="13"/>
    </row>
    <row r="3420" spans="2:5" x14ac:dyDescent="0.2">
      <c r="B3420" t="s">
        <v>7609</v>
      </c>
      <c r="C3420" t="s">
        <v>7610</v>
      </c>
      <c r="D3420" s="13">
        <f>_xll.EditDistance($C$3,C3420,2)</f>
        <v>10</v>
      </c>
      <c r="E3420" s="13"/>
    </row>
    <row r="3421" spans="2:5" x14ac:dyDescent="0.2">
      <c r="B3421" t="s">
        <v>7615</v>
      </c>
      <c r="C3421" t="s">
        <v>7616</v>
      </c>
      <c r="D3421" s="13">
        <f>_xll.EditDistance($C$3,C3421,2)</f>
        <v>20</v>
      </c>
      <c r="E3421" s="13"/>
    </row>
    <row r="3422" spans="2:5" x14ac:dyDescent="0.2">
      <c r="B3422" t="s">
        <v>7619</v>
      </c>
      <c r="C3422" t="s">
        <v>7620</v>
      </c>
      <c r="D3422" s="13">
        <f>_xll.EditDistance($C$3,C3422,2)</f>
        <v>10</v>
      </c>
      <c r="E3422" s="13"/>
    </row>
    <row r="3423" spans="2:5" x14ac:dyDescent="0.2">
      <c r="B3423" t="s">
        <v>7636</v>
      </c>
      <c r="C3423" t="s">
        <v>7637</v>
      </c>
      <c r="D3423" s="13">
        <f>_xll.EditDistance($C$3,C3423,2)</f>
        <v>10</v>
      </c>
      <c r="E3423" s="13"/>
    </row>
    <row r="3424" spans="2:5" x14ac:dyDescent="0.2">
      <c r="B3424" t="s">
        <v>7653</v>
      </c>
      <c r="C3424" t="s">
        <v>7654</v>
      </c>
      <c r="D3424" s="13">
        <f>_xll.EditDistance($C$3,C3424,2)</f>
        <v>10</v>
      </c>
      <c r="E3424" s="13"/>
    </row>
    <row r="3425" spans="2:5" x14ac:dyDescent="0.2">
      <c r="B3425" t="s">
        <v>7738</v>
      </c>
      <c r="C3425" t="s">
        <v>7739</v>
      </c>
      <c r="D3425" s="13">
        <f>_xll.EditDistance($C$3,C3425,2)</f>
        <v>10</v>
      </c>
      <c r="E3425" s="13"/>
    </row>
    <row r="3426" spans="2:5" x14ac:dyDescent="0.2">
      <c r="B3426" t="s">
        <v>7860</v>
      </c>
      <c r="C3426" t="s">
        <v>7861</v>
      </c>
      <c r="D3426" s="13">
        <f>_xll.EditDistance($C$3,C3426,2)</f>
        <v>10</v>
      </c>
      <c r="E3426" s="13"/>
    </row>
    <row r="3427" spans="2:5" x14ac:dyDescent="0.2">
      <c r="B3427" t="s">
        <v>7887</v>
      </c>
      <c r="C3427" t="s">
        <v>7888</v>
      </c>
      <c r="D3427" s="13">
        <f>_xll.EditDistance($C$3,C3427,2)</f>
        <v>10</v>
      </c>
      <c r="E3427" s="13"/>
    </row>
    <row r="3428" spans="2:5" x14ac:dyDescent="0.2">
      <c r="B3428" t="s">
        <v>7905</v>
      </c>
      <c r="C3428" t="s">
        <v>7906</v>
      </c>
      <c r="D3428" s="13">
        <f>_xll.EditDistance($C$3,C3428,2)</f>
        <v>10</v>
      </c>
      <c r="E3428" s="13"/>
    </row>
    <row r="3429" spans="2:5" x14ac:dyDescent="0.2">
      <c r="B3429" t="s">
        <v>7940</v>
      </c>
      <c r="C3429" t="s">
        <v>7941</v>
      </c>
      <c r="D3429" s="13">
        <f>_xll.EditDistance($C$3,C3429,2)</f>
        <v>10</v>
      </c>
      <c r="E3429" s="13"/>
    </row>
    <row r="3430" spans="2:5" x14ac:dyDescent="0.2">
      <c r="B3430" t="s">
        <v>8192</v>
      </c>
      <c r="C3430" t="s">
        <v>8193</v>
      </c>
      <c r="D3430" s="13">
        <f>_xll.EditDistance($C$3,C3430,2)</f>
        <v>10</v>
      </c>
      <c r="E3430" s="13"/>
    </row>
    <row r="3431" spans="2:5" x14ac:dyDescent="0.2">
      <c r="B3431" t="s">
        <v>8212</v>
      </c>
      <c r="C3431" t="s">
        <v>8213</v>
      </c>
      <c r="D3431" s="13">
        <f>_xll.EditDistance($C$3,C3431,2)</f>
        <v>20</v>
      </c>
      <c r="E3431" s="13"/>
    </row>
    <row r="3432" spans="2:5" x14ac:dyDescent="0.2">
      <c r="B3432" t="s">
        <v>8218</v>
      </c>
      <c r="C3432" t="s">
        <v>8219</v>
      </c>
      <c r="D3432" s="13">
        <f>_xll.EditDistance($C$3,C3432,2)</f>
        <v>10</v>
      </c>
      <c r="E3432" s="13"/>
    </row>
    <row r="3433" spans="2:5" x14ac:dyDescent="0.2">
      <c r="B3433" t="s">
        <v>8234</v>
      </c>
      <c r="C3433" t="s">
        <v>8235</v>
      </c>
      <c r="D3433" s="13">
        <f>_xll.EditDistance($C$3,C3433,2)</f>
        <v>10</v>
      </c>
      <c r="E3433" s="13"/>
    </row>
    <row r="3434" spans="2:5" x14ac:dyDescent="0.2">
      <c r="B3434" t="s">
        <v>8371</v>
      </c>
      <c r="C3434" t="s">
        <v>8372</v>
      </c>
      <c r="D3434" s="13">
        <f>_xll.EditDistance($C$3,C3434,2)</f>
        <v>30</v>
      </c>
      <c r="E3434" s="13"/>
    </row>
    <row r="3435" spans="2:5" x14ac:dyDescent="0.2">
      <c r="B3435" t="s">
        <v>8522</v>
      </c>
      <c r="C3435" t="s">
        <v>8523</v>
      </c>
      <c r="D3435" s="13">
        <f>_xll.EditDistance($C$3,C3435,2)</f>
        <v>10</v>
      </c>
      <c r="E3435" s="13"/>
    </row>
    <row r="3436" spans="2:5" x14ac:dyDescent="0.2">
      <c r="B3436" t="s">
        <v>8625</v>
      </c>
      <c r="C3436" t="s">
        <v>8626</v>
      </c>
      <c r="D3436" s="13">
        <f>_xll.EditDistance($C$3,C3436,2)</f>
        <v>10</v>
      </c>
      <c r="E3436" s="13"/>
    </row>
    <row r="3437" spans="2:5" x14ac:dyDescent="0.2">
      <c r="B3437" t="s">
        <v>8653</v>
      </c>
      <c r="C3437" t="s">
        <v>8654</v>
      </c>
      <c r="D3437" s="13">
        <f>_xll.EditDistance($C$3,C3437,2)</f>
        <v>10</v>
      </c>
      <c r="E3437" s="13"/>
    </row>
    <row r="3438" spans="2:5" x14ac:dyDescent="0.2">
      <c r="B3438" t="s">
        <v>8674</v>
      </c>
      <c r="C3438" t="s">
        <v>8675</v>
      </c>
      <c r="D3438" s="13">
        <f>_xll.EditDistance($C$3,C3438,2)</f>
        <v>54</v>
      </c>
      <c r="E3438" s="13"/>
    </row>
    <row r="3439" spans="2:5" x14ac:dyDescent="0.2">
      <c r="B3439" t="s">
        <v>8723</v>
      </c>
      <c r="C3439" t="s">
        <v>8724</v>
      </c>
      <c r="D3439" s="13">
        <f>_xll.EditDistance($C$3,C3439,2)</f>
        <v>10</v>
      </c>
      <c r="E3439" s="13"/>
    </row>
    <row r="3440" spans="2:5" x14ac:dyDescent="0.2">
      <c r="B3440" t="s">
        <v>1424</v>
      </c>
      <c r="C3440" t="s">
        <v>1425</v>
      </c>
      <c r="D3440" s="13">
        <f>_xll.EditDistance($C$3,C3440,2)</f>
        <v>10</v>
      </c>
      <c r="E3440" s="13"/>
    </row>
    <row r="3441" spans="2:5" x14ac:dyDescent="0.2">
      <c r="B3441" t="s">
        <v>1726</v>
      </c>
      <c r="C3441" t="s">
        <v>1727</v>
      </c>
      <c r="D3441" s="13">
        <f>_xll.EditDistance($C$3,C3441,2)</f>
        <v>10</v>
      </c>
      <c r="E3441" s="13"/>
    </row>
    <row r="3442" spans="2:5" x14ac:dyDescent="0.2">
      <c r="B3442" t="s">
        <v>1787</v>
      </c>
      <c r="C3442" t="s">
        <v>1788</v>
      </c>
      <c r="D3442" s="13">
        <f>_xll.EditDistance($C$3,C3442,2)</f>
        <v>10</v>
      </c>
      <c r="E3442" s="13"/>
    </row>
    <row r="3443" spans="2:5" x14ac:dyDescent="0.2">
      <c r="B3443" t="s">
        <v>2805</v>
      </c>
      <c r="C3443" t="s">
        <v>2806</v>
      </c>
      <c r="D3443" s="13">
        <f>_xll.EditDistance($C$3,C3443,2)</f>
        <v>10</v>
      </c>
      <c r="E3443" s="13"/>
    </row>
    <row r="3444" spans="2:5" x14ac:dyDescent="0.2">
      <c r="B3444" t="s">
        <v>2869</v>
      </c>
      <c r="C3444" t="s">
        <v>2870</v>
      </c>
      <c r="D3444" s="13">
        <f>_xll.EditDistance($C$3,C3444,2)</f>
        <v>10</v>
      </c>
      <c r="E3444" s="13"/>
    </row>
    <row r="3445" spans="2:5" x14ac:dyDescent="0.2">
      <c r="B3445" t="s">
        <v>2913</v>
      </c>
      <c r="C3445" t="s">
        <v>2914</v>
      </c>
      <c r="D3445" s="13">
        <f>_xll.EditDistance($C$3,C3445,2)</f>
        <v>10</v>
      </c>
      <c r="E3445" s="13"/>
    </row>
    <row r="3446" spans="2:5" x14ac:dyDescent="0.2">
      <c r="B3446" s="22" t="s">
        <v>3138</v>
      </c>
      <c r="C3446" t="s">
        <v>3139</v>
      </c>
      <c r="D3446" s="13">
        <f>_xll.EditDistance($C$3,C3446,2)</f>
        <v>10</v>
      </c>
      <c r="E3446" s="13"/>
    </row>
    <row r="3447" spans="2:5" x14ac:dyDescent="0.2">
      <c r="B3447" t="s">
        <v>3659</v>
      </c>
      <c r="C3447" t="s">
        <v>3660</v>
      </c>
      <c r="D3447" s="13">
        <f>_xll.EditDistance($C$3,C3447,2)</f>
        <v>10</v>
      </c>
      <c r="E3447" s="13"/>
    </row>
    <row r="3448" spans="2:5" x14ac:dyDescent="0.2">
      <c r="B3448" s="22" t="s">
        <v>3886</v>
      </c>
      <c r="C3448" t="s">
        <v>3887</v>
      </c>
      <c r="D3448" s="13">
        <f>_xll.EditDistance($C$3,C3448,2)</f>
        <v>10</v>
      </c>
      <c r="E3448" s="13"/>
    </row>
    <row r="3449" spans="2:5" x14ac:dyDescent="0.2">
      <c r="B3449" t="s">
        <v>4275</v>
      </c>
      <c r="C3449" t="s">
        <v>4276</v>
      </c>
      <c r="D3449" s="13">
        <f>_xll.EditDistance($C$3,C3449,2)</f>
        <v>10</v>
      </c>
      <c r="E3449" s="13"/>
    </row>
    <row r="3450" spans="2:5" x14ac:dyDescent="0.2">
      <c r="B3450" t="s">
        <v>5445</v>
      </c>
      <c r="C3450" t="s">
        <v>5446</v>
      </c>
      <c r="D3450" s="13">
        <f>_xll.EditDistance($C$3,C3450,2)</f>
        <v>10</v>
      </c>
      <c r="E3450" s="13"/>
    </row>
    <row r="3451" spans="2:5" x14ac:dyDescent="0.2">
      <c r="B3451" t="s">
        <v>5517</v>
      </c>
      <c r="C3451" t="s">
        <v>5518</v>
      </c>
      <c r="D3451" s="13">
        <f>_xll.EditDistance($C$3,C3451,2)</f>
        <v>20</v>
      </c>
      <c r="E3451" s="13"/>
    </row>
    <row r="3452" spans="2:5" x14ac:dyDescent="0.2">
      <c r="B3452" t="s">
        <v>5545</v>
      </c>
      <c r="C3452" t="s">
        <v>5546</v>
      </c>
      <c r="D3452" s="13">
        <f>_xll.EditDistance($C$3,C3452,2)</f>
        <v>10</v>
      </c>
      <c r="E3452" s="13"/>
    </row>
    <row r="3453" spans="2:5" x14ac:dyDescent="0.2">
      <c r="B3453" t="s">
        <v>5626</v>
      </c>
      <c r="C3453" t="s">
        <v>5627</v>
      </c>
      <c r="D3453" s="13">
        <f>_xll.EditDistance($C$3,C3453,2)</f>
        <v>10</v>
      </c>
      <c r="E3453" s="13"/>
    </row>
    <row r="3454" spans="2:5" x14ac:dyDescent="0.2">
      <c r="B3454" t="s">
        <v>6529</v>
      </c>
      <c r="C3454" t="s">
        <v>6530</v>
      </c>
      <c r="D3454" s="13">
        <f>_xll.EditDistance($C$3,C3454,2)</f>
        <v>10</v>
      </c>
      <c r="E3454" s="13"/>
    </row>
    <row r="3455" spans="2:5" x14ac:dyDescent="0.2">
      <c r="B3455" t="s">
        <v>7012</v>
      </c>
      <c r="C3455" t="s">
        <v>7013</v>
      </c>
      <c r="D3455" s="13">
        <f>_xll.EditDistance($C$3,C3455,2)</f>
        <v>10</v>
      </c>
      <c r="E3455" s="13"/>
    </row>
    <row r="3456" spans="2:5" x14ac:dyDescent="0.2">
      <c r="B3456" t="s">
        <v>7232</v>
      </c>
      <c r="C3456" t="s">
        <v>7233</v>
      </c>
      <c r="D3456" s="13">
        <f>_xll.EditDistance($C$3,C3456,2)</f>
        <v>10</v>
      </c>
      <c r="E3456" s="13"/>
    </row>
    <row r="3457" spans="2:5" x14ac:dyDescent="0.2">
      <c r="B3457" t="s">
        <v>7382</v>
      </c>
      <c r="C3457" t="s">
        <v>7383</v>
      </c>
      <c r="D3457" s="13">
        <f>_xll.EditDistance($C$3,C3457,2)</f>
        <v>10</v>
      </c>
      <c r="E3457" s="13"/>
    </row>
    <row r="3458" spans="2:5" x14ac:dyDescent="0.2">
      <c r="B3458" t="s">
        <v>7394</v>
      </c>
      <c r="C3458" t="s">
        <v>7395</v>
      </c>
      <c r="D3458" s="13">
        <f>_xll.EditDistance($C$3,C3458,2)</f>
        <v>20</v>
      </c>
      <c r="E3458" s="13"/>
    </row>
    <row r="3459" spans="2:5" x14ac:dyDescent="0.2">
      <c r="B3459" t="s">
        <v>7713</v>
      </c>
      <c r="C3459" t="s">
        <v>7714</v>
      </c>
      <c r="D3459" s="13">
        <f>_xll.EditDistance($C$3,C3459,2)</f>
        <v>20</v>
      </c>
      <c r="E3459" s="13"/>
    </row>
    <row r="3460" spans="2:5" x14ac:dyDescent="0.2">
      <c r="B3460" t="s">
        <v>7946</v>
      </c>
      <c r="C3460" t="s">
        <v>7947</v>
      </c>
      <c r="D3460" s="13">
        <f>_xll.EditDistance($C$3,C3460,2)</f>
        <v>10</v>
      </c>
      <c r="E3460" s="13"/>
    </row>
    <row r="3461" spans="2:5" x14ac:dyDescent="0.2">
      <c r="B3461" t="s">
        <v>8026</v>
      </c>
      <c r="C3461" t="s">
        <v>8027</v>
      </c>
      <c r="D3461" s="13">
        <f>_xll.EditDistance($C$3,C3461,2)</f>
        <v>20</v>
      </c>
      <c r="E3461" s="13"/>
    </row>
    <row r="3462" spans="2:5" x14ac:dyDescent="0.2">
      <c r="B3462" t="s">
        <v>8152</v>
      </c>
      <c r="C3462" t="s">
        <v>8153</v>
      </c>
      <c r="D3462" s="13">
        <f>_xll.EditDistance($C$3,C3462,2)</f>
        <v>10</v>
      </c>
      <c r="E3462" s="13"/>
    </row>
    <row r="3463" spans="2:5" x14ac:dyDescent="0.2">
      <c r="B3463" t="s">
        <v>8263</v>
      </c>
      <c r="C3463" t="s">
        <v>8264</v>
      </c>
      <c r="D3463" s="13">
        <f>_xll.EditDistance($C$3,C3463,2)</f>
        <v>10</v>
      </c>
      <c r="E3463" s="13"/>
    </row>
    <row r="3464" spans="2:5" x14ac:dyDescent="0.2">
      <c r="B3464" t="s">
        <v>928</v>
      </c>
      <c r="C3464" t="s">
        <v>929</v>
      </c>
      <c r="D3464" s="13">
        <f>_xll.EditDistance($C$3,C3464,2)</f>
        <v>10</v>
      </c>
      <c r="E3464" s="13"/>
    </row>
    <row r="3465" spans="2:5" x14ac:dyDescent="0.2">
      <c r="B3465" t="s">
        <v>2729</v>
      </c>
      <c r="C3465" t="s">
        <v>2730</v>
      </c>
      <c r="D3465" s="13">
        <f>_xll.EditDistance($C$3,C3465,2)</f>
        <v>10</v>
      </c>
      <c r="E3465" s="13"/>
    </row>
    <row r="3466" spans="2:5" x14ac:dyDescent="0.2">
      <c r="B3466" t="s">
        <v>4106</v>
      </c>
      <c r="C3466" t="s">
        <v>4107</v>
      </c>
      <c r="D3466" s="13">
        <f>_xll.EditDistance($C$3,C3466,2)</f>
        <v>10</v>
      </c>
      <c r="E3466" s="13"/>
    </row>
    <row r="3467" spans="2:5" x14ac:dyDescent="0.2">
      <c r="B3467" t="s">
        <v>4910</v>
      </c>
      <c r="C3467" t="s">
        <v>4911</v>
      </c>
      <c r="D3467" s="13">
        <f>_xll.EditDistance($C$3,C3467,2)</f>
        <v>10</v>
      </c>
      <c r="E3467" s="13"/>
    </row>
    <row r="3468" spans="2:5" x14ac:dyDescent="0.2">
      <c r="B3468" t="s">
        <v>5384</v>
      </c>
      <c r="C3468" t="s">
        <v>5385</v>
      </c>
      <c r="D3468" s="13">
        <f>_xll.EditDistance($C$3,C3468,2)</f>
        <v>10</v>
      </c>
      <c r="E3468" s="13"/>
    </row>
    <row r="3469" spans="2:5" x14ac:dyDescent="0.2">
      <c r="B3469" t="s">
        <v>6517</v>
      </c>
      <c r="C3469" t="s">
        <v>6518</v>
      </c>
      <c r="D3469" s="13">
        <f>_xll.EditDistance($C$3,C3469,2)</f>
        <v>10</v>
      </c>
      <c r="E3469" s="13"/>
    </row>
    <row r="3470" spans="2:5" x14ac:dyDescent="0.2">
      <c r="B3470" t="s">
        <v>6954</v>
      </c>
      <c r="C3470" t="s">
        <v>6955</v>
      </c>
      <c r="D3470" s="13">
        <f>_xll.EditDistance($C$3,C3470,2)</f>
        <v>10</v>
      </c>
      <c r="E3470" s="13"/>
    </row>
    <row r="3471" spans="2:5" x14ac:dyDescent="0.2">
      <c r="B3471" t="s">
        <v>7285</v>
      </c>
      <c r="C3471" t="s">
        <v>7286</v>
      </c>
      <c r="D3471" s="13">
        <f>_xll.EditDistance($C$3,C3471,2)</f>
        <v>10</v>
      </c>
      <c r="E3471" s="13"/>
    </row>
    <row r="3472" spans="2:5" x14ac:dyDescent="0.2">
      <c r="B3472" t="s">
        <v>7523</v>
      </c>
      <c r="C3472" t="s">
        <v>7524</v>
      </c>
      <c r="D3472" s="13">
        <f>_xll.EditDistance($C$3,C3472,2)</f>
        <v>10</v>
      </c>
      <c r="E3472" s="13"/>
    </row>
    <row r="3473" spans="2:5" x14ac:dyDescent="0.2">
      <c r="B3473" t="s">
        <v>8482</v>
      </c>
      <c r="C3473" t="s">
        <v>8483</v>
      </c>
      <c r="D3473" s="13">
        <f>_xll.EditDistance($C$3,C3473,2)</f>
        <v>10</v>
      </c>
      <c r="E3473" s="13"/>
    </row>
    <row r="3474" spans="2:5" x14ac:dyDescent="0.2">
      <c r="B3474" t="s">
        <v>1224</v>
      </c>
      <c r="C3474" t="s">
        <v>1225</v>
      </c>
      <c r="D3474" s="13">
        <f>_xll.EditDistance($C$3,C3474,2)</f>
        <v>10</v>
      </c>
      <c r="E3474" s="13"/>
    </row>
    <row r="3475" spans="2:5" x14ac:dyDescent="0.2">
      <c r="B3475" t="s">
        <v>1316</v>
      </c>
      <c r="C3475" t="s">
        <v>1317</v>
      </c>
      <c r="D3475" s="13">
        <f>_xll.EditDistance($C$3,C3475,2)</f>
        <v>10</v>
      </c>
      <c r="E3475" s="13"/>
    </row>
    <row r="3476" spans="2:5" x14ac:dyDescent="0.2">
      <c r="B3476" t="s">
        <v>1883</v>
      </c>
      <c r="C3476" t="s">
        <v>1884</v>
      </c>
      <c r="D3476" s="13">
        <f>_xll.EditDistance($C$3,C3476,2)</f>
        <v>10</v>
      </c>
      <c r="E3476" s="13"/>
    </row>
    <row r="3477" spans="2:5" x14ac:dyDescent="0.2">
      <c r="B3477" t="s">
        <v>3579</v>
      </c>
      <c r="C3477" t="s">
        <v>3580</v>
      </c>
      <c r="D3477" s="13">
        <f>_xll.EditDistance($C$3,C3477,2)</f>
        <v>10</v>
      </c>
      <c r="E3477" s="13"/>
    </row>
    <row r="3478" spans="2:5" x14ac:dyDescent="0.2">
      <c r="B3478" t="s">
        <v>3987</v>
      </c>
      <c r="C3478" t="s">
        <v>3988</v>
      </c>
      <c r="D3478" s="13">
        <f>_xll.EditDistance($C$3,C3478,2)</f>
        <v>20</v>
      </c>
      <c r="E3478" s="13"/>
    </row>
    <row r="3479" spans="2:5" x14ac:dyDescent="0.2">
      <c r="B3479" t="s">
        <v>5610</v>
      </c>
      <c r="C3479" t="s">
        <v>5611</v>
      </c>
      <c r="D3479" s="13">
        <f>_xll.EditDistance($C$3,C3479,2)</f>
        <v>10</v>
      </c>
      <c r="E3479" s="13"/>
    </row>
    <row r="3480" spans="2:5" x14ac:dyDescent="0.2">
      <c r="B3480" t="s">
        <v>8463</v>
      </c>
      <c r="C3480" t="s">
        <v>8464</v>
      </c>
      <c r="D3480" s="13">
        <f>_xll.EditDistance($C$3,C3480,2)</f>
        <v>10</v>
      </c>
      <c r="E3480" s="13"/>
    </row>
    <row r="3481" spans="2:5" x14ac:dyDescent="0.2">
      <c r="B3481" t="s">
        <v>4591</v>
      </c>
      <c r="C3481" t="s">
        <v>4592</v>
      </c>
      <c r="D3481" s="13">
        <f>_xll.EditDistance($C$3,C3481,2)</f>
        <v>10</v>
      </c>
      <c r="E3481" s="13"/>
    </row>
    <row r="3482" spans="2:5" x14ac:dyDescent="0.2">
      <c r="B3482" t="s">
        <v>4670</v>
      </c>
      <c r="C3482" t="s">
        <v>4671</v>
      </c>
      <c r="D3482" s="13">
        <f>_xll.EditDistance($C$3,C3482,2)</f>
        <v>10</v>
      </c>
      <c r="E3482" s="13"/>
    </row>
    <row r="3483" spans="2:5" x14ac:dyDescent="0.2">
      <c r="B3483" t="s">
        <v>5800</v>
      </c>
      <c r="C3483" t="s">
        <v>5801</v>
      </c>
      <c r="D3483" s="13">
        <f>_xll.EditDistance($C$3,C3483,2)</f>
        <v>10</v>
      </c>
      <c r="E3483" s="13"/>
    </row>
    <row r="3484" spans="2:5" x14ac:dyDescent="0.2">
      <c r="B3484" t="s">
        <v>2691</v>
      </c>
      <c r="C3484" t="s">
        <v>2692</v>
      </c>
      <c r="D3484" s="13">
        <f>_xll.EditDistance($C$3,C3484,2)</f>
        <v>10</v>
      </c>
      <c r="E3484" s="13"/>
    </row>
    <row r="3485" spans="2:5" x14ac:dyDescent="0.2">
      <c r="B3485" t="s">
        <v>7869</v>
      </c>
      <c r="C3485" t="s">
        <v>7870</v>
      </c>
      <c r="D3485" s="13">
        <f>_xll.EditDistance($C$3,C3485,2)</f>
        <v>10</v>
      </c>
      <c r="E3485" s="13"/>
    </row>
    <row r="3486" spans="2:5" x14ac:dyDescent="0.2">
      <c r="B3486" t="s">
        <v>350</v>
      </c>
      <c r="C3486" t="s">
        <v>351</v>
      </c>
      <c r="D3486" s="13">
        <f>_xll.EditDistance($C$3,C3486,2)</f>
        <v>20</v>
      </c>
      <c r="E3486" s="13"/>
    </row>
    <row r="3487" spans="2:5" x14ac:dyDescent="0.2">
      <c r="B3487" t="s">
        <v>1196</v>
      </c>
      <c r="C3487" t="s">
        <v>1197</v>
      </c>
      <c r="D3487" s="13">
        <f>_xll.EditDistance($C$3,C3487,2)</f>
        <v>30</v>
      </c>
      <c r="E3487" s="13"/>
    </row>
    <row r="3488" spans="2:5" x14ac:dyDescent="0.2">
      <c r="B3488" t="s">
        <v>3179</v>
      </c>
      <c r="C3488" t="s">
        <v>3180</v>
      </c>
      <c r="D3488" s="13">
        <f>_xll.EditDistance($C$3,C3488,2)</f>
        <v>20</v>
      </c>
      <c r="E3488" s="13"/>
    </row>
    <row r="3489" spans="2:5" x14ac:dyDescent="0.2">
      <c r="B3489" t="s">
        <v>4541</v>
      </c>
      <c r="C3489" t="s">
        <v>4543</v>
      </c>
      <c r="D3489" s="13">
        <f>_xll.EditDistance($C$3,C3489,2)</f>
        <v>20</v>
      </c>
      <c r="E3489" s="13"/>
    </row>
    <row r="3490" spans="2:5" x14ac:dyDescent="0.2">
      <c r="B3490" t="s">
        <v>5965</v>
      </c>
      <c r="C3490" t="s">
        <v>5966</v>
      </c>
      <c r="D3490" s="13">
        <f>_xll.EditDistance($C$3,C3490,2)</f>
        <v>10</v>
      </c>
      <c r="E3490" s="13"/>
    </row>
    <row r="3491" spans="2:5" x14ac:dyDescent="0.2">
      <c r="B3491" t="s">
        <v>6025</v>
      </c>
      <c r="C3491" t="s">
        <v>6026</v>
      </c>
      <c r="D3491" s="13">
        <f>_xll.EditDistance($C$3,C3491,2)</f>
        <v>10</v>
      </c>
      <c r="E3491" s="13"/>
    </row>
    <row r="3492" spans="2:5" x14ac:dyDescent="0.2">
      <c r="B3492" t="s">
        <v>6270</v>
      </c>
      <c r="C3492" t="s">
        <v>6271</v>
      </c>
      <c r="D3492" s="13">
        <f>_xll.EditDistance($C$3,C3492,2)</f>
        <v>20</v>
      </c>
      <c r="E3492" s="13"/>
    </row>
    <row r="3493" spans="2:5" x14ac:dyDescent="0.2">
      <c r="B3493" t="s">
        <v>6467</v>
      </c>
      <c r="C3493" t="s">
        <v>6468</v>
      </c>
      <c r="D3493" s="13">
        <f>_xll.EditDistance($C$3,C3493,2)</f>
        <v>20</v>
      </c>
      <c r="E3493" s="13"/>
    </row>
    <row r="3494" spans="2:5" x14ac:dyDescent="0.2">
      <c r="B3494" t="s">
        <v>6909</v>
      </c>
      <c r="C3494" t="s">
        <v>6910</v>
      </c>
      <c r="D3494" s="13">
        <f>_xll.EditDistance($C$3,C3494,2)</f>
        <v>20</v>
      </c>
      <c r="E3494" s="13"/>
    </row>
    <row r="3495" spans="2:5" x14ac:dyDescent="0.2">
      <c r="B3495" t="s">
        <v>7695</v>
      </c>
      <c r="C3495" t="s">
        <v>7696</v>
      </c>
      <c r="D3495" s="13">
        <f>_xll.EditDistance($C$3,C3495,2)</f>
        <v>20</v>
      </c>
      <c r="E3495" s="13"/>
    </row>
    <row r="3496" spans="2:5" x14ac:dyDescent="0.2">
      <c r="B3496" t="s">
        <v>536</v>
      </c>
      <c r="C3496" t="s">
        <v>537</v>
      </c>
      <c r="D3496" s="13">
        <f>_xll.EditDistance($C$3,C3496,2)</f>
        <v>10</v>
      </c>
      <c r="E3496" s="13"/>
    </row>
    <row r="3497" spans="2:5" x14ac:dyDescent="0.2">
      <c r="B3497" t="s">
        <v>674</v>
      </c>
      <c r="C3497" t="s">
        <v>675</v>
      </c>
      <c r="D3497" s="13">
        <f>_xll.EditDistance($C$3,C3497,2)</f>
        <v>10</v>
      </c>
      <c r="E3497" s="13"/>
    </row>
    <row r="3498" spans="2:5" x14ac:dyDescent="0.2">
      <c r="B3498" t="s">
        <v>1322</v>
      </c>
      <c r="C3498" t="s">
        <v>1323</v>
      </c>
      <c r="D3498" s="13">
        <f>_xll.EditDistance($C$3,C3498,2)</f>
        <v>10</v>
      </c>
      <c r="E3498" s="13"/>
    </row>
    <row r="3499" spans="2:5" x14ac:dyDescent="0.2">
      <c r="B3499" t="s">
        <v>1996</v>
      </c>
      <c r="C3499" t="s">
        <v>1997</v>
      </c>
      <c r="D3499" s="13">
        <f>_xll.EditDistance($C$3,C3499,2)</f>
        <v>10</v>
      </c>
      <c r="E3499" s="13"/>
    </row>
    <row r="3500" spans="2:5" x14ac:dyDescent="0.2">
      <c r="B3500" t="s">
        <v>2117</v>
      </c>
      <c r="C3500" t="s">
        <v>2118</v>
      </c>
      <c r="D3500" s="13">
        <f>_xll.EditDistance($C$3,C3500,2)</f>
        <v>20</v>
      </c>
      <c r="E3500" s="13"/>
    </row>
    <row r="3501" spans="2:5" x14ac:dyDescent="0.2">
      <c r="B3501" t="s">
        <v>2121</v>
      </c>
      <c r="C3501" t="s">
        <v>2122</v>
      </c>
      <c r="D3501" s="13">
        <f>_xll.EditDistance($C$3,C3501,2)</f>
        <v>10</v>
      </c>
      <c r="E3501" s="13"/>
    </row>
    <row r="3502" spans="2:5" x14ac:dyDescent="0.2">
      <c r="B3502" t="s">
        <v>2261</v>
      </c>
      <c r="C3502" t="s">
        <v>2262</v>
      </c>
      <c r="D3502" s="13">
        <f>_xll.EditDistance($C$3,C3502,2)</f>
        <v>10</v>
      </c>
      <c r="E3502" s="13"/>
    </row>
    <row r="3503" spans="2:5" x14ac:dyDescent="0.2">
      <c r="B3503" t="s">
        <v>2478</v>
      </c>
      <c r="C3503" t="s">
        <v>2479</v>
      </c>
      <c r="D3503" s="13">
        <f>_xll.EditDistance($C$3,C3503,2)</f>
        <v>20</v>
      </c>
      <c r="E3503" s="13"/>
    </row>
    <row r="3504" spans="2:5" x14ac:dyDescent="0.2">
      <c r="B3504" t="s">
        <v>4134</v>
      </c>
      <c r="C3504" t="s">
        <v>4135</v>
      </c>
      <c r="D3504" s="13">
        <f>_xll.EditDistance($C$3,C3504,2)</f>
        <v>10</v>
      </c>
      <c r="E3504" s="13"/>
    </row>
    <row r="3505" spans="2:5" x14ac:dyDescent="0.2">
      <c r="B3505" t="s">
        <v>5533</v>
      </c>
      <c r="C3505" t="s">
        <v>5534</v>
      </c>
      <c r="D3505" s="13">
        <f>_xll.EditDistance($C$3,C3505,2)</f>
        <v>10</v>
      </c>
      <c r="E3505" s="13"/>
    </row>
    <row r="3506" spans="2:5" x14ac:dyDescent="0.2">
      <c r="B3506" t="s">
        <v>7127</v>
      </c>
      <c r="C3506" t="s">
        <v>7128</v>
      </c>
      <c r="D3506" s="13">
        <f>_xll.EditDistance($C$3,C3506,2)</f>
        <v>20</v>
      </c>
      <c r="E3506" s="13"/>
    </row>
    <row r="3507" spans="2:5" x14ac:dyDescent="0.2">
      <c r="B3507" t="s">
        <v>7374</v>
      </c>
      <c r="C3507" t="s">
        <v>7375</v>
      </c>
      <c r="D3507" s="13">
        <f>_xll.EditDistance($C$3,C3507,2)</f>
        <v>10</v>
      </c>
      <c r="E3507" s="13"/>
    </row>
    <row r="3508" spans="2:5" x14ac:dyDescent="0.2">
      <c r="B3508" t="s">
        <v>8422</v>
      </c>
      <c r="C3508" t="s">
        <v>8424</v>
      </c>
      <c r="D3508" s="13">
        <f>_xll.EditDistance($C$3,C3508,2)</f>
        <v>20</v>
      </c>
      <c r="E3508" s="13"/>
    </row>
    <row r="3509" spans="2:5" x14ac:dyDescent="0.2">
      <c r="B3509" t="s">
        <v>1375</v>
      </c>
      <c r="C3509" t="s">
        <v>1376</v>
      </c>
      <c r="D3509" s="13">
        <f>_xll.EditDistance($C$3,C3509,2)</f>
        <v>10</v>
      </c>
      <c r="E3509" s="13"/>
    </row>
    <row r="3510" spans="2:5" x14ac:dyDescent="0.2">
      <c r="B3510" t="s">
        <v>1649</v>
      </c>
      <c r="C3510" t="s">
        <v>1650</v>
      </c>
      <c r="D3510" s="13">
        <f>_xll.EditDistance($C$3,C3510,2)</f>
        <v>10</v>
      </c>
      <c r="E3510" s="13"/>
    </row>
    <row r="3511" spans="2:5" x14ac:dyDescent="0.2">
      <c r="B3511" t="s">
        <v>2198</v>
      </c>
      <c r="C3511" t="s">
        <v>2199</v>
      </c>
      <c r="D3511" s="13">
        <f>_xll.EditDistance($C$3,C3511,2)</f>
        <v>20</v>
      </c>
      <c r="E3511" s="13"/>
    </row>
    <row r="3512" spans="2:5" x14ac:dyDescent="0.2">
      <c r="B3512" t="s">
        <v>3122</v>
      </c>
      <c r="C3512" t="s">
        <v>3123</v>
      </c>
      <c r="D3512" s="13">
        <f>_xll.EditDistance($C$3,C3512,2)</f>
        <v>10</v>
      </c>
      <c r="E3512" s="13"/>
    </row>
    <row r="3513" spans="2:5" x14ac:dyDescent="0.2">
      <c r="B3513" t="s">
        <v>3384</v>
      </c>
      <c r="C3513" t="s">
        <v>3385</v>
      </c>
      <c r="D3513" s="13">
        <f>_xll.EditDistance($C$3,C3513,2)</f>
        <v>10</v>
      </c>
      <c r="E3513" s="13"/>
    </row>
    <row r="3514" spans="2:5" x14ac:dyDescent="0.2">
      <c r="B3514" t="s">
        <v>3646</v>
      </c>
      <c r="C3514" t="s">
        <v>3647</v>
      </c>
      <c r="D3514" s="13">
        <f>_xll.EditDistance($C$3,C3514,2)</f>
        <v>10</v>
      </c>
      <c r="E3514" s="13"/>
    </row>
    <row r="3515" spans="2:5" x14ac:dyDescent="0.2">
      <c r="B3515" t="s">
        <v>3663</v>
      </c>
      <c r="C3515" t="s">
        <v>3664</v>
      </c>
      <c r="D3515" s="13">
        <f>_xll.EditDistance($C$3,C3515,2)</f>
        <v>10</v>
      </c>
      <c r="E3515" s="13"/>
    </row>
    <row r="3516" spans="2:5" x14ac:dyDescent="0.2">
      <c r="B3516" t="s">
        <v>3675</v>
      </c>
      <c r="C3516" t="s">
        <v>3676</v>
      </c>
      <c r="D3516" s="13">
        <f>_xll.EditDistance($C$3,C3516,2)</f>
        <v>20</v>
      </c>
      <c r="E3516" s="13"/>
    </row>
    <row r="3517" spans="2:5" x14ac:dyDescent="0.2">
      <c r="B3517" t="s">
        <v>5205</v>
      </c>
      <c r="C3517" t="s">
        <v>5206</v>
      </c>
      <c r="D3517" s="13">
        <f>_xll.EditDistance($C$3,C3517,2)</f>
        <v>20</v>
      </c>
      <c r="E3517" s="13"/>
    </row>
    <row r="3518" spans="2:5" x14ac:dyDescent="0.2">
      <c r="B3518" t="s">
        <v>5912</v>
      </c>
      <c r="C3518" t="s">
        <v>5913</v>
      </c>
      <c r="D3518" s="13">
        <f>_xll.EditDistance($C$3,C3518,2)</f>
        <v>10</v>
      </c>
      <c r="E3518" s="13"/>
    </row>
    <row r="3519" spans="2:5" x14ac:dyDescent="0.2">
      <c r="B3519" t="s">
        <v>6453</v>
      </c>
      <c r="C3519" t="s">
        <v>6454</v>
      </c>
      <c r="D3519" s="13">
        <f>_xll.EditDistance($C$3,C3519,2)</f>
        <v>20</v>
      </c>
      <c r="E3519" s="13"/>
    </row>
    <row r="3520" spans="2:5" x14ac:dyDescent="0.2">
      <c r="B3520" t="s">
        <v>6711</v>
      </c>
      <c r="C3520" t="s">
        <v>6712</v>
      </c>
      <c r="D3520" s="13">
        <f>_xll.EditDistance($C$3,C3520,2)</f>
        <v>10</v>
      </c>
      <c r="E3520" s="13"/>
    </row>
    <row r="3521" spans="2:5" x14ac:dyDescent="0.2">
      <c r="B3521" t="s">
        <v>8507</v>
      </c>
      <c r="C3521" t="s">
        <v>8508</v>
      </c>
      <c r="D3521" s="13">
        <f>_xll.EditDistance($C$3,C3521,2)</f>
        <v>10</v>
      </c>
      <c r="E3521" s="13"/>
    </row>
    <row r="3522" spans="2:5" x14ac:dyDescent="0.2">
      <c r="B3522" t="s">
        <v>8611</v>
      </c>
      <c r="C3522" t="s">
        <v>8612</v>
      </c>
      <c r="D3522" s="13">
        <f>_xll.EditDistance($C$3,C3522,2)</f>
        <v>20</v>
      </c>
      <c r="E3522" s="13"/>
    </row>
    <row r="3523" spans="2:5" x14ac:dyDescent="0.2">
      <c r="B3523" t="s">
        <v>137</v>
      </c>
      <c r="C3523" t="s">
        <v>138</v>
      </c>
      <c r="D3523" s="13">
        <f>_xll.EditDistance($C$3,C3523,2)</f>
        <v>10</v>
      </c>
      <c r="E3523" s="13"/>
    </row>
    <row r="3524" spans="2:5" x14ac:dyDescent="0.2">
      <c r="B3524" t="s">
        <v>190</v>
      </c>
      <c r="C3524" t="s">
        <v>191</v>
      </c>
      <c r="D3524" s="13">
        <f>_xll.EditDistance($C$3,C3524,2)</f>
        <v>10</v>
      </c>
      <c r="E3524" s="13"/>
    </row>
    <row r="3525" spans="2:5" x14ac:dyDescent="0.2">
      <c r="B3525" t="s">
        <v>220</v>
      </c>
      <c r="C3525" t="s">
        <v>221</v>
      </c>
      <c r="D3525" s="13">
        <f>_xll.EditDistance($C$3,C3525,2)</f>
        <v>10</v>
      </c>
      <c r="E3525" s="13"/>
    </row>
    <row r="3526" spans="2:5" x14ac:dyDescent="0.2">
      <c r="B3526" t="s">
        <v>222</v>
      </c>
      <c r="C3526" t="s">
        <v>223</v>
      </c>
      <c r="D3526" s="13">
        <f>_xll.EditDistance($C$3,C3526,2)</f>
        <v>10</v>
      </c>
      <c r="E3526" s="13"/>
    </row>
    <row r="3527" spans="2:5" x14ac:dyDescent="0.2">
      <c r="B3527" t="s">
        <v>228</v>
      </c>
      <c r="C3527" t="s">
        <v>229</v>
      </c>
      <c r="D3527" s="13">
        <f>_xll.EditDistance($C$3,C3527,2)</f>
        <v>10</v>
      </c>
      <c r="E3527" s="13"/>
    </row>
    <row r="3528" spans="2:5" x14ac:dyDescent="0.2">
      <c r="B3528" t="s">
        <v>245</v>
      </c>
      <c r="C3528" t="s">
        <v>246</v>
      </c>
      <c r="D3528" s="13">
        <f>_xll.EditDistance($C$3,C3528,2)</f>
        <v>10</v>
      </c>
      <c r="E3528" s="13"/>
    </row>
    <row r="3529" spans="2:5" x14ac:dyDescent="0.2">
      <c r="B3529" t="s">
        <v>456</v>
      </c>
      <c r="C3529" t="s">
        <v>457</v>
      </c>
      <c r="D3529" s="13">
        <f>_xll.EditDistance($C$3,C3529,2)</f>
        <v>20</v>
      </c>
      <c r="E3529" s="13"/>
    </row>
    <row r="3530" spans="2:5" x14ac:dyDescent="0.2">
      <c r="B3530" t="s">
        <v>532</v>
      </c>
      <c r="C3530" t="s">
        <v>533</v>
      </c>
      <c r="D3530" s="13">
        <f>_xll.EditDistance($C$3,C3530,2)</f>
        <v>10</v>
      </c>
      <c r="E3530" s="13"/>
    </row>
    <row r="3531" spans="2:5" x14ac:dyDescent="0.2">
      <c r="B3531" t="s">
        <v>611</v>
      </c>
      <c r="C3531" t="s">
        <v>612</v>
      </c>
      <c r="D3531" s="13">
        <f>_xll.EditDistance($C$3,C3531,2)</f>
        <v>10</v>
      </c>
      <c r="E3531" s="13"/>
    </row>
    <row r="3532" spans="2:5" x14ac:dyDescent="0.2">
      <c r="B3532" t="s">
        <v>658</v>
      </c>
      <c r="C3532" t="s">
        <v>659</v>
      </c>
      <c r="D3532" s="13">
        <f>_xll.EditDistance($C$3,C3532,2)</f>
        <v>10</v>
      </c>
      <c r="E3532" s="13"/>
    </row>
    <row r="3533" spans="2:5" x14ac:dyDescent="0.2">
      <c r="B3533" t="s">
        <v>714</v>
      </c>
      <c r="C3533" t="s">
        <v>715</v>
      </c>
      <c r="D3533" s="13">
        <f>_xll.EditDistance($C$3,C3533,2)</f>
        <v>20</v>
      </c>
      <c r="E3533" s="13"/>
    </row>
    <row r="3534" spans="2:5" x14ac:dyDescent="0.2">
      <c r="B3534" t="s">
        <v>736</v>
      </c>
      <c r="C3534" t="s">
        <v>737</v>
      </c>
      <c r="D3534" s="13">
        <f>_xll.EditDistance($C$3,C3534,2)</f>
        <v>10</v>
      </c>
      <c r="E3534" s="13"/>
    </row>
    <row r="3535" spans="2:5" x14ac:dyDescent="0.2">
      <c r="B3535" t="s">
        <v>740</v>
      </c>
      <c r="C3535" t="s">
        <v>741</v>
      </c>
      <c r="D3535" s="13">
        <f>_xll.EditDistance($C$3,C3535,2)</f>
        <v>20</v>
      </c>
      <c r="E3535" s="13"/>
    </row>
    <row r="3536" spans="2:5" x14ac:dyDescent="0.2">
      <c r="B3536" t="s">
        <v>802</v>
      </c>
      <c r="C3536" t="s">
        <v>803</v>
      </c>
      <c r="D3536" s="13">
        <f>_xll.EditDistance($C$3,C3536,2)</f>
        <v>10</v>
      </c>
      <c r="E3536" s="13"/>
    </row>
    <row r="3537" spans="2:5" x14ac:dyDescent="0.2">
      <c r="B3537" t="s">
        <v>824</v>
      </c>
      <c r="C3537" t="s">
        <v>825</v>
      </c>
      <c r="D3537" s="13">
        <f>_xll.EditDistance($C$3,C3537,2)</f>
        <v>10</v>
      </c>
      <c r="E3537" s="13"/>
    </row>
    <row r="3538" spans="2:5" x14ac:dyDescent="0.2">
      <c r="B3538" t="s">
        <v>840</v>
      </c>
      <c r="C3538" t="s">
        <v>841</v>
      </c>
      <c r="D3538" s="13">
        <f>_xll.EditDistance($C$3,C3538,2)</f>
        <v>10</v>
      </c>
      <c r="E3538" s="13"/>
    </row>
    <row r="3539" spans="2:5" x14ac:dyDescent="0.2">
      <c r="B3539" s="22" t="s">
        <v>865</v>
      </c>
      <c r="C3539" t="s">
        <v>866</v>
      </c>
      <c r="D3539" s="13">
        <f>_xll.EditDistance($C$3,C3539,2)</f>
        <v>10</v>
      </c>
      <c r="E3539" s="13"/>
    </row>
    <row r="3540" spans="2:5" x14ac:dyDescent="0.2">
      <c r="B3540" t="s">
        <v>944</v>
      </c>
      <c r="C3540" t="s">
        <v>945</v>
      </c>
      <c r="D3540" s="13">
        <f>_xll.EditDistance($C$3,C3540,2)</f>
        <v>10</v>
      </c>
      <c r="E3540" s="13"/>
    </row>
    <row r="3541" spans="2:5" x14ac:dyDescent="0.2">
      <c r="B3541" t="s">
        <v>998</v>
      </c>
      <c r="C3541" t="s">
        <v>999</v>
      </c>
      <c r="D3541" s="13">
        <f>_xll.EditDistance($C$3,C3541,2)</f>
        <v>10</v>
      </c>
      <c r="E3541" s="13"/>
    </row>
    <row r="3542" spans="2:5" x14ac:dyDescent="0.2">
      <c r="B3542" t="s">
        <v>1002</v>
      </c>
      <c r="C3542" t="s">
        <v>1003</v>
      </c>
      <c r="D3542" s="13">
        <f>_xll.EditDistance($C$3,C3542,2)</f>
        <v>10</v>
      </c>
      <c r="E3542" s="13"/>
    </row>
    <row r="3543" spans="2:5" x14ac:dyDescent="0.2">
      <c r="B3543" t="s">
        <v>1036</v>
      </c>
      <c r="C3543" t="s">
        <v>1037</v>
      </c>
      <c r="D3543" s="13">
        <f>_xll.EditDistance($C$3,C3543,2)</f>
        <v>10</v>
      </c>
      <c r="E3543" s="13"/>
    </row>
    <row r="3544" spans="2:5" x14ac:dyDescent="0.2">
      <c r="B3544" t="s">
        <v>1064</v>
      </c>
      <c r="C3544" t="s">
        <v>1065</v>
      </c>
      <c r="D3544" s="13">
        <f>_xll.EditDistance($C$3,C3544,2)</f>
        <v>10</v>
      </c>
      <c r="E3544" s="13"/>
    </row>
    <row r="3545" spans="2:5" x14ac:dyDescent="0.2">
      <c r="B3545" t="s">
        <v>1137</v>
      </c>
      <c r="C3545" t="s">
        <v>1138</v>
      </c>
      <c r="D3545" s="13">
        <f>_xll.EditDistance($C$3,C3545,2)</f>
        <v>10</v>
      </c>
      <c r="E3545" s="13"/>
    </row>
    <row r="3546" spans="2:5" x14ac:dyDescent="0.2">
      <c r="B3546" t="s">
        <v>1160</v>
      </c>
      <c r="C3546" t="s">
        <v>1161</v>
      </c>
      <c r="D3546" s="13">
        <f>_xll.EditDistance($C$3,C3546,2)</f>
        <v>10</v>
      </c>
      <c r="E3546" s="13"/>
    </row>
    <row r="3547" spans="2:5" x14ac:dyDescent="0.2">
      <c r="B3547" t="s">
        <v>1162</v>
      </c>
      <c r="C3547" t="s">
        <v>1163</v>
      </c>
      <c r="D3547" s="13">
        <f>_xll.EditDistance($C$3,C3547,2)</f>
        <v>10</v>
      </c>
      <c r="E3547" s="13"/>
    </row>
    <row r="3548" spans="2:5" x14ac:dyDescent="0.2">
      <c r="B3548" t="s">
        <v>1168</v>
      </c>
      <c r="C3548" t="s">
        <v>1169</v>
      </c>
      <c r="D3548" s="13">
        <f>_xll.EditDistance($C$3,C3548,2)</f>
        <v>10</v>
      </c>
      <c r="E3548" s="13"/>
    </row>
    <row r="3549" spans="2:5" x14ac:dyDescent="0.2">
      <c r="B3549" t="s">
        <v>1342</v>
      </c>
      <c r="C3549" t="s">
        <v>1343</v>
      </c>
      <c r="D3549" s="13">
        <f>_xll.EditDistance($C$3,C3549,2)</f>
        <v>10</v>
      </c>
      <c r="E3549" s="13"/>
    </row>
    <row r="3550" spans="2:5" x14ac:dyDescent="0.2">
      <c r="B3550" t="s">
        <v>1457</v>
      </c>
      <c r="C3550" t="s">
        <v>1458</v>
      </c>
      <c r="D3550" s="13">
        <f>_xll.EditDistance($C$3,C3550,2)</f>
        <v>10</v>
      </c>
      <c r="E3550" s="13"/>
    </row>
    <row r="3551" spans="2:5" x14ac:dyDescent="0.2">
      <c r="B3551" t="s">
        <v>1486</v>
      </c>
      <c r="C3551" t="s">
        <v>1487</v>
      </c>
      <c r="D3551" s="13">
        <f>_xll.EditDistance($C$3,C3551,2)</f>
        <v>10</v>
      </c>
      <c r="E3551" s="13"/>
    </row>
    <row r="3552" spans="2:5" x14ac:dyDescent="0.2">
      <c r="B3552" t="s">
        <v>1590</v>
      </c>
      <c r="C3552" t="s">
        <v>1591</v>
      </c>
      <c r="D3552" s="13">
        <f>_xll.EditDistance($C$3,C3552,2)</f>
        <v>10</v>
      </c>
      <c r="E3552" s="13"/>
    </row>
    <row r="3553" spans="2:5" x14ac:dyDescent="0.2">
      <c r="B3553" t="s">
        <v>1595</v>
      </c>
      <c r="C3553" t="s">
        <v>1596</v>
      </c>
      <c r="D3553" s="13">
        <f>_xll.EditDistance($C$3,C3553,2)</f>
        <v>20</v>
      </c>
      <c r="E3553" s="13"/>
    </row>
    <row r="3554" spans="2:5" x14ac:dyDescent="0.2">
      <c r="B3554" t="s">
        <v>1781</v>
      </c>
      <c r="C3554" t="s">
        <v>1782</v>
      </c>
      <c r="D3554" s="13">
        <f>_xll.EditDistance($C$3,C3554,2)</f>
        <v>10</v>
      </c>
      <c r="E3554" s="13"/>
    </row>
    <row r="3555" spans="2:5" x14ac:dyDescent="0.2">
      <c r="B3555" t="s">
        <v>1863</v>
      </c>
      <c r="C3555" t="s">
        <v>1864</v>
      </c>
      <c r="D3555" s="13">
        <f>_xll.EditDistance($C$3,C3555,2)</f>
        <v>10</v>
      </c>
      <c r="E3555" s="13"/>
    </row>
    <row r="3556" spans="2:5" x14ac:dyDescent="0.2">
      <c r="B3556" t="s">
        <v>1897</v>
      </c>
      <c r="C3556" t="s">
        <v>1898</v>
      </c>
      <c r="D3556" s="13">
        <f>_xll.EditDistance($C$3,C3556,2)</f>
        <v>10</v>
      </c>
      <c r="E3556" s="13"/>
    </row>
    <row r="3557" spans="2:5" x14ac:dyDescent="0.2">
      <c r="B3557" t="s">
        <v>1962</v>
      </c>
      <c r="C3557" t="s">
        <v>1963</v>
      </c>
      <c r="D3557" s="13">
        <f>_xll.EditDistance($C$3,C3557,2)</f>
        <v>10</v>
      </c>
      <c r="E3557" s="13"/>
    </row>
    <row r="3558" spans="2:5" x14ac:dyDescent="0.2">
      <c r="B3558" t="s">
        <v>2057</v>
      </c>
      <c r="C3558" t="s">
        <v>2058</v>
      </c>
      <c r="D3558" s="13">
        <f>_xll.EditDistance($C$3,C3558,2)</f>
        <v>18</v>
      </c>
      <c r="E3558" s="13"/>
    </row>
    <row r="3559" spans="2:5" x14ac:dyDescent="0.2">
      <c r="B3559" t="s">
        <v>2119</v>
      </c>
      <c r="C3559" t="s">
        <v>2120</v>
      </c>
      <c r="D3559" s="13">
        <f>_xll.EditDistance($C$3,C3559,2)</f>
        <v>10</v>
      </c>
      <c r="E3559" s="13"/>
    </row>
    <row r="3560" spans="2:5" x14ac:dyDescent="0.2">
      <c r="B3560" t="s">
        <v>2173</v>
      </c>
      <c r="C3560" t="s">
        <v>2174</v>
      </c>
      <c r="D3560" s="13">
        <f>_xll.EditDistance($C$3,C3560,2)</f>
        <v>10</v>
      </c>
      <c r="E3560" s="13"/>
    </row>
    <row r="3561" spans="2:5" x14ac:dyDescent="0.2">
      <c r="B3561" t="s">
        <v>2186</v>
      </c>
      <c r="C3561" t="s">
        <v>2187</v>
      </c>
      <c r="D3561" s="13">
        <f>_xll.EditDistance($C$3,C3561,2)</f>
        <v>10</v>
      </c>
      <c r="E3561" s="13"/>
    </row>
    <row r="3562" spans="2:5" x14ac:dyDescent="0.2">
      <c r="B3562" t="s">
        <v>2190</v>
      </c>
      <c r="C3562" t="s">
        <v>2191</v>
      </c>
      <c r="D3562" s="13">
        <f>_xll.EditDistance($C$3,C3562,2)</f>
        <v>10</v>
      </c>
      <c r="E3562" s="13"/>
    </row>
    <row r="3563" spans="2:5" x14ac:dyDescent="0.2">
      <c r="B3563" t="s">
        <v>2208</v>
      </c>
      <c r="C3563" t="s">
        <v>2210</v>
      </c>
      <c r="D3563" s="13">
        <f>_xll.EditDistance($C$3,C3563,2)</f>
        <v>10</v>
      </c>
      <c r="E3563" s="13"/>
    </row>
    <row r="3564" spans="2:5" x14ac:dyDescent="0.2">
      <c r="B3564" s="22" t="s">
        <v>2213</v>
      </c>
      <c r="C3564" t="s">
        <v>2214</v>
      </c>
      <c r="D3564" s="13">
        <f>_xll.EditDistance($C$3,C3564,2)</f>
        <v>10</v>
      </c>
      <c r="E3564" s="13"/>
    </row>
    <row r="3565" spans="2:5" x14ac:dyDescent="0.2">
      <c r="B3565" t="s">
        <v>2267</v>
      </c>
      <c r="C3565" t="s">
        <v>2268</v>
      </c>
      <c r="D3565" s="13">
        <f>_xll.EditDistance($C$3,C3565,2)</f>
        <v>10</v>
      </c>
      <c r="E3565" s="13"/>
    </row>
    <row r="3566" spans="2:5" x14ac:dyDescent="0.2">
      <c r="B3566" t="s">
        <v>2313</v>
      </c>
      <c r="C3566" t="s">
        <v>2314</v>
      </c>
      <c r="D3566" s="13">
        <f>_xll.EditDistance($C$3,C3566,2)</f>
        <v>30</v>
      </c>
      <c r="E3566" s="13"/>
    </row>
    <row r="3567" spans="2:5" x14ac:dyDescent="0.2">
      <c r="B3567" t="s">
        <v>2330</v>
      </c>
      <c r="C3567" t="s">
        <v>2331</v>
      </c>
      <c r="D3567" s="13">
        <f>_xll.EditDistance($C$3,C3567,2)</f>
        <v>10</v>
      </c>
      <c r="E3567" s="13"/>
    </row>
    <row r="3568" spans="2:5" x14ac:dyDescent="0.2">
      <c r="B3568" t="s">
        <v>2359</v>
      </c>
      <c r="C3568" t="s">
        <v>2360</v>
      </c>
      <c r="D3568" s="13">
        <f>_xll.EditDistance($C$3,C3568,2)</f>
        <v>10</v>
      </c>
      <c r="E3568" s="13"/>
    </row>
    <row r="3569" spans="2:5" x14ac:dyDescent="0.2">
      <c r="B3569" t="s">
        <v>2444</v>
      </c>
      <c r="C3569" t="s">
        <v>2445</v>
      </c>
      <c r="D3569" s="13">
        <f>_xll.EditDistance($C$3,C3569,2)</f>
        <v>10</v>
      </c>
      <c r="E3569" s="13"/>
    </row>
    <row r="3570" spans="2:5" x14ac:dyDescent="0.2">
      <c r="B3570" t="s">
        <v>2458</v>
      </c>
      <c r="C3570" t="s">
        <v>2459</v>
      </c>
      <c r="D3570" s="13">
        <f>_xll.EditDistance($C$3,C3570,2)</f>
        <v>30</v>
      </c>
      <c r="E3570" s="13"/>
    </row>
    <row r="3571" spans="2:5" x14ac:dyDescent="0.2">
      <c r="B3571" s="22" t="s">
        <v>2496</v>
      </c>
      <c r="C3571" t="s">
        <v>2498</v>
      </c>
      <c r="D3571" s="13">
        <f>_xll.EditDistance($C$3,C3571,2)</f>
        <v>10</v>
      </c>
      <c r="E3571" s="13"/>
    </row>
    <row r="3572" spans="2:5" x14ac:dyDescent="0.2">
      <c r="B3572" t="s">
        <v>2598</v>
      </c>
      <c r="C3572" t="s">
        <v>2599</v>
      </c>
      <c r="D3572" s="13">
        <f>_xll.EditDistance($C$3,C3572,2)</f>
        <v>10</v>
      </c>
      <c r="E3572" s="13"/>
    </row>
    <row r="3573" spans="2:5" x14ac:dyDescent="0.2">
      <c r="B3573" t="s">
        <v>2614</v>
      </c>
      <c r="C3573" t="s">
        <v>2615</v>
      </c>
      <c r="D3573" s="13">
        <f>_xll.EditDistance($C$3,C3573,2)</f>
        <v>20</v>
      </c>
      <c r="E3573" s="13"/>
    </row>
    <row r="3574" spans="2:5" x14ac:dyDescent="0.2">
      <c r="B3574" t="s">
        <v>2678</v>
      </c>
      <c r="C3574" t="s">
        <v>2679</v>
      </c>
      <c r="D3574" s="13">
        <f>_xll.EditDistance($C$3,C3574,2)</f>
        <v>10</v>
      </c>
      <c r="E3574" s="13"/>
    </row>
    <row r="3575" spans="2:5" x14ac:dyDescent="0.2">
      <c r="B3575" t="s">
        <v>2693</v>
      </c>
      <c r="C3575" t="s">
        <v>2694</v>
      </c>
      <c r="D3575" s="13">
        <f>_xll.EditDistance($C$3,C3575,2)</f>
        <v>10</v>
      </c>
      <c r="E3575" s="13"/>
    </row>
    <row r="3576" spans="2:5" x14ac:dyDescent="0.2">
      <c r="B3576" t="s">
        <v>2695</v>
      </c>
      <c r="C3576" t="s">
        <v>2696</v>
      </c>
      <c r="D3576" s="13">
        <f>_xll.EditDistance($C$3,C3576,2)</f>
        <v>10</v>
      </c>
      <c r="E3576" s="13"/>
    </row>
    <row r="3577" spans="2:5" x14ac:dyDescent="0.2">
      <c r="B3577" t="s">
        <v>2750</v>
      </c>
      <c r="C3577" t="s">
        <v>2751</v>
      </c>
      <c r="D3577" s="13">
        <f>_xll.EditDistance($C$3,C3577,2)</f>
        <v>10</v>
      </c>
      <c r="E3577" s="13"/>
    </row>
    <row r="3578" spans="2:5" x14ac:dyDescent="0.2">
      <c r="B3578" t="s">
        <v>2859</v>
      </c>
      <c r="C3578" t="s">
        <v>2860</v>
      </c>
      <c r="D3578" s="13">
        <f>_xll.EditDistance($C$3,C3578,2)</f>
        <v>10</v>
      </c>
      <c r="E3578" s="13"/>
    </row>
    <row r="3579" spans="2:5" x14ac:dyDescent="0.2">
      <c r="B3579" t="s">
        <v>2953</v>
      </c>
      <c r="C3579" t="s">
        <v>2954</v>
      </c>
      <c r="D3579" s="13">
        <f>_xll.EditDistance($C$3,C3579,2)</f>
        <v>10</v>
      </c>
      <c r="E3579" s="13"/>
    </row>
    <row r="3580" spans="2:5" x14ac:dyDescent="0.2">
      <c r="B3580" t="s">
        <v>2965</v>
      </c>
      <c r="C3580" t="s">
        <v>2966</v>
      </c>
      <c r="D3580" s="13">
        <f>_xll.EditDistance($C$3,C3580,2)</f>
        <v>10</v>
      </c>
      <c r="E3580" s="13"/>
    </row>
    <row r="3581" spans="2:5" x14ac:dyDescent="0.2">
      <c r="B3581" t="s">
        <v>3015</v>
      </c>
      <c r="C3581" t="s">
        <v>3016</v>
      </c>
      <c r="D3581" s="13">
        <f>_xll.EditDistance($C$3,C3581,2)</f>
        <v>10</v>
      </c>
      <c r="E3581" s="13"/>
    </row>
    <row r="3582" spans="2:5" x14ac:dyDescent="0.2">
      <c r="B3582" t="s">
        <v>3044</v>
      </c>
      <c r="C3582" t="s">
        <v>3045</v>
      </c>
      <c r="D3582" s="13">
        <f>_xll.EditDistance($C$3,C3582,2)</f>
        <v>10</v>
      </c>
      <c r="E3582" s="13"/>
    </row>
    <row r="3583" spans="2:5" x14ac:dyDescent="0.2">
      <c r="B3583" t="s">
        <v>3153</v>
      </c>
      <c r="C3583" t="s">
        <v>3154</v>
      </c>
      <c r="D3583" s="13">
        <f>_xll.EditDistance($C$3,C3583,2)</f>
        <v>10</v>
      </c>
      <c r="E3583" s="13"/>
    </row>
    <row r="3584" spans="2:5" x14ac:dyDescent="0.2">
      <c r="B3584" t="s">
        <v>3185</v>
      </c>
      <c r="C3584" t="s">
        <v>3186</v>
      </c>
      <c r="D3584" s="13">
        <f>_xll.EditDistance($C$3,C3584,2)</f>
        <v>10</v>
      </c>
      <c r="E3584" s="13"/>
    </row>
    <row r="3585" spans="2:5" x14ac:dyDescent="0.2">
      <c r="B3585" t="s">
        <v>3199</v>
      </c>
      <c r="C3585" t="s">
        <v>3200</v>
      </c>
      <c r="D3585" s="13">
        <f>_xll.EditDistance($C$3,C3585,2)</f>
        <v>10</v>
      </c>
      <c r="E3585" s="13"/>
    </row>
    <row r="3586" spans="2:5" x14ac:dyDescent="0.2">
      <c r="B3586" t="s">
        <v>3235</v>
      </c>
      <c r="C3586" t="s">
        <v>3236</v>
      </c>
      <c r="D3586" s="13">
        <f>_xll.EditDistance($C$3,C3586,2)</f>
        <v>20</v>
      </c>
      <c r="E3586" s="13"/>
    </row>
    <row r="3587" spans="2:5" x14ac:dyDescent="0.2">
      <c r="B3587" t="s">
        <v>3271</v>
      </c>
      <c r="C3587" t="s">
        <v>3272</v>
      </c>
      <c r="D3587" s="13">
        <f>_xll.EditDistance($C$3,C3587,2)</f>
        <v>10</v>
      </c>
      <c r="E3587" s="13"/>
    </row>
    <row r="3588" spans="2:5" x14ac:dyDescent="0.2">
      <c r="B3588" t="s">
        <v>3330</v>
      </c>
      <c r="C3588" t="s">
        <v>3331</v>
      </c>
      <c r="D3588" s="13">
        <f>_xll.EditDistance($C$3,C3588,2)</f>
        <v>10</v>
      </c>
      <c r="E3588" s="13"/>
    </row>
    <row r="3589" spans="2:5" x14ac:dyDescent="0.2">
      <c r="B3589" s="22" t="s">
        <v>3357</v>
      </c>
      <c r="C3589" t="s">
        <v>3358</v>
      </c>
      <c r="D3589" s="13">
        <f>_xll.EditDistance($C$3,C3589,2)</f>
        <v>10</v>
      </c>
      <c r="E3589" s="13"/>
    </row>
    <row r="3590" spans="2:5" x14ac:dyDescent="0.2">
      <c r="B3590" s="22" t="s">
        <v>3357</v>
      </c>
      <c r="C3590" t="s">
        <v>3359</v>
      </c>
      <c r="D3590" s="13">
        <f>_xll.EditDistance($C$3,C3590,2)</f>
        <v>10</v>
      </c>
      <c r="E3590" s="13"/>
    </row>
    <row r="3591" spans="2:5" x14ac:dyDescent="0.2">
      <c r="B3591" t="s">
        <v>3436</v>
      </c>
      <c r="C3591" t="s">
        <v>3437</v>
      </c>
      <c r="D3591" s="13">
        <f>_xll.EditDistance($C$3,C3591,2)</f>
        <v>10</v>
      </c>
      <c r="E3591" s="13"/>
    </row>
    <row r="3592" spans="2:5" x14ac:dyDescent="0.2">
      <c r="B3592" t="s">
        <v>3542</v>
      </c>
      <c r="C3592" t="s">
        <v>3543</v>
      </c>
      <c r="D3592" s="13">
        <f>_xll.EditDistance($C$3,C3592,2)</f>
        <v>10</v>
      </c>
      <c r="E3592" s="13"/>
    </row>
    <row r="3593" spans="2:5" x14ac:dyDescent="0.2">
      <c r="B3593" t="s">
        <v>3682</v>
      </c>
      <c r="C3593" t="s">
        <v>3683</v>
      </c>
      <c r="D3593" s="13">
        <f>_xll.EditDistance($C$3,C3593,2)</f>
        <v>18</v>
      </c>
      <c r="E3593" s="13"/>
    </row>
    <row r="3594" spans="2:5" x14ac:dyDescent="0.2">
      <c r="B3594" t="s">
        <v>3712</v>
      </c>
      <c r="C3594" t="s">
        <v>3713</v>
      </c>
      <c r="D3594" s="13">
        <f>_xll.EditDistance($C$3,C3594,2)</f>
        <v>10</v>
      </c>
      <c r="E3594" s="13"/>
    </row>
    <row r="3595" spans="2:5" x14ac:dyDescent="0.2">
      <c r="B3595" t="s">
        <v>3812</v>
      </c>
      <c r="C3595" t="s">
        <v>3813</v>
      </c>
      <c r="D3595" s="13">
        <f>_xll.EditDistance($C$3,C3595,2)</f>
        <v>10</v>
      </c>
      <c r="E3595" s="13"/>
    </row>
    <row r="3596" spans="2:5" x14ac:dyDescent="0.2">
      <c r="B3596" t="s">
        <v>3844</v>
      </c>
      <c r="C3596" t="s">
        <v>3845</v>
      </c>
      <c r="D3596" s="13">
        <f>_xll.EditDistance($C$3,C3596,2)</f>
        <v>10</v>
      </c>
      <c r="E3596" s="13"/>
    </row>
    <row r="3597" spans="2:5" x14ac:dyDescent="0.2">
      <c r="B3597" t="s">
        <v>3920</v>
      </c>
      <c r="C3597" t="s">
        <v>3921</v>
      </c>
      <c r="D3597" s="13">
        <f>_xll.EditDistance($C$3,C3597,2)</f>
        <v>10</v>
      </c>
      <c r="E3597" s="13"/>
    </row>
    <row r="3598" spans="2:5" x14ac:dyDescent="0.2">
      <c r="B3598" t="s">
        <v>3951</v>
      </c>
      <c r="C3598" t="s">
        <v>3952</v>
      </c>
      <c r="D3598" s="13">
        <f>_xll.EditDistance($C$3,C3598,2)</f>
        <v>10</v>
      </c>
      <c r="E3598" s="13"/>
    </row>
    <row r="3599" spans="2:5" x14ac:dyDescent="0.2">
      <c r="B3599" t="s">
        <v>3983</v>
      </c>
      <c r="C3599" t="s">
        <v>3984</v>
      </c>
      <c r="D3599" s="13">
        <f>_xll.EditDistance($C$3,C3599,2)</f>
        <v>10</v>
      </c>
      <c r="E3599" s="13"/>
    </row>
    <row r="3600" spans="2:5" x14ac:dyDescent="0.2">
      <c r="B3600" t="s">
        <v>4026</v>
      </c>
      <c r="C3600" t="s">
        <v>4027</v>
      </c>
      <c r="D3600" s="13">
        <f>_xll.EditDistance($C$3,C3600,2)</f>
        <v>10</v>
      </c>
      <c r="E3600" s="13"/>
    </row>
    <row r="3601" spans="2:5" x14ac:dyDescent="0.2">
      <c r="B3601" t="s">
        <v>4114</v>
      </c>
      <c r="C3601" t="s">
        <v>4115</v>
      </c>
      <c r="D3601" s="13">
        <f>_xll.EditDistance($C$3,C3601,2)</f>
        <v>10</v>
      </c>
      <c r="E3601" s="13"/>
    </row>
    <row r="3602" spans="2:5" x14ac:dyDescent="0.2">
      <c r="B3602" t="s">
        <v>4189</v>
      </c>
      <c r="C3602" t="s">
        <v>4190</v>
      </c>
      <c r="D3602" s="13">
        <f>_xll.EditDistance($C$3,C3602,2)</f>
        <v>10</v>
      </c>
      <c r="E3602" s="13"/>
    </row>
    <row r="3603" spans="2:5" x14ac:dyDescent="0.2">
      <c r="B3603" t="s">
        <v>4233</v>
      </c>
      <c r="C3603" t="s">
        <v>4234</v>
      </c>
      <c r="D3603" s="13">
        <f>_xll.EditDistance($C$3,C3603,2)</f>
        <v>10</v>
      </c>
      <c r="E3603" s="13"/>
    </row>
    <row r="3604" spans="2:5" x14ac:dyDescent="0.2">
      <c r="B3604" t="s">
        <v>4277</v>
      </c>
      <c r="C3604" t="s">
        <v>4278</v>
      </c>
      <c r="D3604" s="13">
        <f>_xll.EditDistance($C$3,C3604,2)</f>
        <v>10</v>
      </c>
      <c r="E3604" s="13"/>
    </row>
    <row r="3605" spans="2:5" x14ac:dyDescent="0.2">
      <c r="B3605" t="s">
        <v>4328</v>
      </c>
      <c r="C3605" t="s">
        <v>4329</v>
      </c>
      <c r="D3605" s="13">
        <f>_xll.EditDistance($C$3,C3605,2)</f>
        <v>20</v>
      </c>
      <c r="E3605" s="13"/>
    </row>
    <row r="3606" spans="2:5" x14ac:dyDescent="0.2">
      <c r="B3606" t="s">
        <v>4334</v>
      </c>
      <c r="C3606" t="s">
        <v>4335</v>
      </c>
      <c r="D3606" s="13">
        <f>_xll.EditDistance($C$3,C3606,2)</f>
        <v>10</v>
      </c>
      <c r="E3606" s="13"/>
    </row>
    <row r="3607" spans="2:5" x14ac:dyDescent="0.2">
      <c r="B3607" t="s">
        <v>4363</v>
      </c>
      <c r="C3607" t="s">
        <v>4364</v>
      </c>
      <c r="D3607" s="13">
        <f>_xll.EditDistance($C$3,C3607,2)</f>
        <v>10</v>
      </c>
      <c r="E3607" s="13"/>
    </row>
    <row r="3608" spans="2:5" x14ac:dyDescent="0.2">
      <c r="B3608" t="s">
        <v>4435</v>
      </c>
      <c r="C3608" t="s">
        <v>4436</v>
      </c>
      <c r="D3608" s="13">
        <f>_xll.EditDistance($C$3,C3608,2)</f>
        <v>10</v>
      </c>
      <c r="E3608" s="13"/>
    </row>
    <row r="3609" spans="2:5" x14ac:dyDescent="0.2">
      <c r="B3609" t="s">
        <v>4533</v>
      </c>
      <c r="C3609" t="s">
        <v>4534</v>
      </c>
      <c r="D3609" s="13">
        <f>_xll.EditDistance($C$3,C3609,2)</f>
        <v>10</v>
      </c>
      <c r="E3609" s="13"/>
    </row>
    <row r="3610" spans="2:5" x14ac:dyDescent="0.2">
      <c r="B3610" t="s">
        <v>4581</v>
      </c>
      <c r="C3610" t="s">
        <v>4582</v>
      </c>
      <c r="D3610" s="13">
        <f>_xll.EditDistance($C$3,C3610,2)</f>
        <v>10</v>
      </c>
      <c r="E3610" s="13"/>
    </row>
    <row r="3611" spans="2:5" x14ac:dyDescent="0.2">
      <c r="B3611" t="s">
        <v>4629</v>
      </c>
      <c r="C3611" t="s">
        <v>4630</v>
      </c>
      <c r="D3611" s="13">
        <f>_xll.EditDistance($C$3,C3611,2)</f>
        <v>10</v>
      </c>
      <c r="E3611" s="13"/>
    </row>
    <row r="3612" spans="2:5" x14ac:dyDescent="0.2">
      <c r="B3612" t="s">
        <v>4658</v>
      </c>
      <c r="C3612" t="s">
        <v>4659</v>
      </c>
      <c r="D3612" s="13">
        <f>_xll.EditDistance($C$3,C3612,2)</f>
        <v>10</v>
      </c>
      <c r="E3612" s="13"/>
    </row>
    <row r="3613" spans="2:5" x14ac:dyDescent="0.2">
      <c r="B3613" t="s">
        <v>4744</v>
      </c>
      <c r="C3613" t="s">
        <v>4745</v>
      </c>
      <c r="D3613" s="13">
        <f>_xll.EditDistance($C$3,C3613,2)</f>
        <v>10</v>
      </c>
      <c r="E3613" s="13"/>
    </row>
    <row r="3614" spans="2:5" x14ac:dyDescent="0.2">
      <c r="B3614" t="s">
        <v>4780</v>
      </c>
      <c r="C3614" t="s">
        <v>4782</v>
      </c>
      <c r="D3614" s="13">
        <f>_xll.EditDistance($C$3,C3614,2)</f>
        <v>10</v>
      </c>
      <c r="E3614" s="13"/>
    </row>
    <row r="3615" spans="2:5" x14ac:dyDescent="0.2">
      <c r="B3615" t="s">
        <v>4853</v>
      </c>
      <c r="C3615" t="s">
        <v>4854</v>
      </c>
      <c r="D3615" s="13">
        <f>_xll.EditDistance($C$3,C3615,2)</f>
        <v>18</v>
      </c>
      <c r="E3615" s="13"/>
    </row>
    <row r="3616" spans="2:5" x14ac:dyDescent="0.2">
      <c r="B3616" t="s">
        <v>4873</v>
      </c>
      <c r="C3616" t="s">
        <v>4874</v>
      </c>
      <c r="D3616" s="13">
        <f>_xll.EditDistance($C$3,C3616,2)</f>
        <v>10</v>
      </c>
      <c r="E3616" s="13"/>
    </row>
    <row r="3617" spans="2:5" x14ac:dyDescent="0.2">
      <c r="B3617" t="s">
        <v>4914</v>
      </c>
      <c r="C3617" t="s">
        <v>4915</v>
      </c>
      <c r="D3617" s="13">
        <f>_xll.EditDistance($C$3,C3617,2)</f>
        <v>10</v>
      </c>
      <c r="E3617" s="13"/>
    </row>
    <row r="3618" spans="2:5" x14ac:dyDescent="0.2">
      <c r="B3618" t="s">
        <v>4916</v>
      </c>
      <c r="C3618" t="s">
        <v>4918</v>
      </c>
      <c r="D3618" s="13">
        <f>_xll.EditDistance($C$3,C3618,2)</f>
        <v>10</v>
      </c>
      <c r="E3618" s="13"/>
    </row>
    <row r="3619" spans="2:5" x14ac:dyDescent="0.2">
      <c r="B3619" t="s">
        <v>4940</v>
      </c>
      <c r="C3619" t="s">
        <v>4942</v>
      </c>
      <c r="D3619" s="13">
        <f>_xll.EditDistance($C$3,C3619,2)</f>
        <v>18</v>
      </c>
      <c r="E3619" s="13"/>
    </row>
    <row r="3620" spans="2:5" x14ac:dyDescent="0.2">
      <c r="B3620" t="s">
        <v>4948</v>
      </c>
      <c r="C3620" t="s">
        <v>4949</v>
      </c>
      <c r="D3620" s="13">
        <f>_xll.EditDistance($C$3,C3620,2)</f>
        <v>10</v>
      </c>
      <c r="E3620" s="13"/>
    </row>
    <row r="3621" spans="2:5" x14ac:dyDescent="0.2">
      <c r="B3621" t="s">
        <v>4956</v>
      </c>
      <c r="C3621" t="s">
        <v>4957</v>
      </c>
      <c r="D3621" s="13">
        <f>_xll.EditDistance($C$3,C3621,2)</f>
        <v>10</v>
      </c>
      <c r="E3621" s="13"/>
    </row>
    <row r="3622" spans="2:5" x14ac:dyDescent="0.2">
      <c r="B3622" t="s">
        <v>5027</v>
      </c>
      <c r="C3622" t="s">
        <v>5028</v>
      </c>
      <c r="D3622" s="13">
        <f>_xll.EditDistance($C$3,C3622,2)</f>
        <v>18</v>
      </c>
      <c r="E3622" s="13"/>
    </row>
    <row r="3623" spans="2:5" x14ac:dyDescent="0.2">
      <c r="B3623" t="s">
        <v>5152</v>
      </c>
      <c r="C3623" t="s">
        <v>5153</v>
      </c>
      <c r="D3623" s="13">
        <f>_xll.EditDistance($C$3,C3623,2)</f>
        <v>18</v>
      </c>
      <c r="E3623" s="13"/>
    </row>
    <row r="3624" spans="2:5" x14ac:dyDescent="0.2">
      <c r="B3624" t="s">
        <v>5214</v>
      </c>
      <c r="C3624" t="s">
        <v>5215</v>
      </c>
      <c r="D3624" s="13">
        <f>_xll.EditDistance($C$3,C3624,2)</f>
        <v>10</v>
      </c>
      <c r="E3624" s="13"/>
    </row>
    <row r="3625" spans="2:5" x14ac:dyDescent="0.2">
      <c r="B3625" t="s">
        <v>5222</v>
      </c>
      <c r="C3625" t="s">
        <v>5223</v>
      </c>
      <c r="D3625" s="13">
        <f>_xll.EditDistance($C$3,C3625,2)</f>
        <v>10</v>
      </c>
      <c r="E3625" s="13"/>
    </row>
    <row r="3626" spans="2:5" x14ac:dyDescent="0.2">
      <c r="B3626" t="s">
        <v>5361</v>
      </c>
      <c r="C3626" t="s">
        <v>5362</v>
      </c>
      <c r="D3626" s="13">
        <f>_xll.EditDistance($C$3,C3626,2)</f>
        <v>10</v>
      </c>
      <c r="E3626" s="13"/>
    </row>
    <row r="3627" spans="2:5" x14ac:dyDescent="0.2">
      <c r="B3627" t="s">
        <v>5382</v>
      </c>
      <c r="C3627" t="s">
        <v>5383</v>
      </c>
      <c r="D3627" s="13">
        <f>_xll.EditDistance($C$3,C3627,2)</f>
        <v>20</v>
      </c>
      <c r="E3627" s="13"/>
    </row>
    <row r="3628" spans="2:5" x14ac:dyDescent="0.2">
      <c r="B3628" t="s">
        <v>5390</v>
      </c>
      <c r="C3628" t="s">
        <v>5391</v>
      </c>
      <c r="D3628" s="13">
        <f>_xll.EditDistance($C$3,C3628,2)</f>
        <v>10</v>
      </c>
      <c r="E3628" s="13"/>
    </row>
    <row r="3629" spans="2:5" x14ac:dyDescent="0.2">
      <c r="B3629" t="s">
        <v>5435</v>
      </c>
      <c r="C3629" t="s">
        <v>5436</v>
      </c>
      <c r="D3629" s="13">
        <f>_xll.EditDistance($C$3,C3629,2)</f>
        <v>20</v>
      </c>
      <c r="E3629" s="13"/>
    </row>
    <row r="3630" spans="2:5" x14ac:dyDescent="0.2">
      <c r="B3630" t="s">
        <v>5515</v>
      </c>
      <c r="C3630" t="s">
        <v>5516</v>
      </c>
      <c r="D3630" s="13">
        <f>_xll.EditDistance($C$3,C3630,2)</f>
        <v>10</v>
      </c>
      <c r="E3630" s="13"/>
    </row>
    <row r="3631" spans="2:5" x14ac:dyDescent="0.2">
      <c r="B3631" t="s">
        <v>5608</v>
      </c>
      <c r="C3631" t="s">
        <v>5609</v>
      </c>
      <c r="D3631" s="13">
        <f>_xll.EditDistance($C$3,C3631,2)</f>
        <v>10</v>
      </c>
      <c r="E3631" s="13"/>
    </row>
    <row r="3632" spans="2:5" x14ac:dyDescent="0.2">
      <c r="B3632" t="s">
        <v>5660</v>
      </c>
      <c r="C3632" t="s">
        <v>5661</v>
      </c>
      <c r="D3632" s="13">
        <f>_xll.EditDistance($C$3,C3632,2)</f>
        <v>10</v>
      </c>
      <c r="E3632" s="13"/>
    </row>
    <row r="3633" spans="2:5" x14ac:dyDescent="0.2">
      <c r="B3633" t="s">
        <v>5686</v>
      </c>
      <c r="C3633" t="s">
        <v>5687</v>
      </c>
      <c r="D3633" s="13">
        <f>_xll.EditDistance($C$3,C3633,2)</f>
        <v>10</v>
      </c>
      <c r="E3633" s="13"/>
    </row>
    <row r="3634" spans="2:5" x14ac:dyDescent="0.2">
      <c r="B3634" t="s">
        <v>5700</v>
      </c>
      <c r="C3634" t="s">
        <v>5701</v>
      </c>
      <c r="D3634" s="13">
        <f>_xll.EditDistance($C$3,C3634,2)</f>
        <v>20</v>
      </c>
      <c r="E3634" s="13"/>
    </row>
    <row r="3635" spans="2:5" x14ac:dyDescent="0.2">
      <c r="B3635" t="s">
        <v>5810</v>
      </c>
      <c r="C3635" t="s">
        <v>5811</v>
      </c>
      <c r="D3635" s="13">
        <f>_xll.EditDistance($C$3,C3635,2)</f>
        <v>10</v>
      </c>
      <c r="E3635" s="13"/>
    </row>
    <row r="3636" spans="2:5" x14ac:dyDescent="0.2">
      <c r="B3636" t="s">
        <v>5818</v>
      </c>
      <c r="C3636" t="s">
        <v>5819</v>
      </c>
      <c r="D3636" s="13">
        <f>_xll.EditDistance($C$3,C3636,2)</f>
        <v>10</v>
      </c>
      <c r="E3636" s="13"/>
    </row>
    <row r="3637" spans="2:5" x14ac:dyDescent="0.2">
      <c r="B3637" t="s">
        <v>5848</v>
      </c>
      <c r="C3637" t="s">
        <v>5849</v>
      </c>
      <c r="D3637" s="13">
        <f>_xll.EditDistance($C$3,C3637,2)</f>
        <v>10</v>
      </c>
      <c r="E3637" s="13"/>
    </row>
    <row r="3638" spans="2:5" x14ac:dyDescent="0.2">
      <c r="B3638" t="s">
        <v>5925</v>
      </c>
      <c r="C3638" t="s">
        <v>5926</v>
      </c>
      <c r="D3638" s="13">
        <f>_xll.EditDistance($C$3,C3638,2)</f>
        <v>10</v>
      </c>
      <c r="E3638" s="13"/>
    </row>
    <row r="3639" spans="2:5" x14ac:dyDescent="0.2">
      <c r="B3639" t="s">
        <v>6031</v>
      </c>
      <c r="C3639" t="s">
        <v>6032</v>
      </c>
      <c r="D3639" s="13">
        <f>_xll.EditDistance($C$3,C3639,2)</f>
        <v>10</v>
      </c>
      <c r="E3639" s="13"/>
    </row>
    <row r="3640" spans="2:5" x14ac:dyDescent="0.2">
      <c r="B3640" t="s">
        <v>6045</v>
      </c>
      <c r="C3640" t="s">
        <v>6046</v>
      </c>
      <c r="D3640" s="13">
        <f>_xll.EditDistance($C$3,C3640,2)</f>
        <v>10</v>
      </c>
      <c r="E3640" s="13"/>
    </row>
    <row r="3641" spans="2:5" x14ac:dyDescent="0.2">
      <c r="B3641" t="s">
        <v>6077</v>
      </c>
      <c r="C3641" t="s">
        <v>6078</v>
      </c>
      <c r="D3641" s="13">
        <f>_xll.EditDistance($C$3,C3641,2)</f>
        <v>10</v>
      </c>
      <c r="E3641" s="13"/>
    </row>
    <row r="3642" spans="2:5" x14ac:dyDescent="0.2">
      <c r="B3642" t="s">
        <v>6123</v>
      </c>
      <c r="C3642" t="s">
        <v>6124</v>
      </c>
      <c r="D3642" s="13">
        <f>_xll.EditDistance($C$3,C3642,2)</f>
        <v>10</v>
      </c>
      <c r="E3642" s="13"/>
    </row>
    <row r="3643" spans="2:5" x14ac:dyDescent="0.2">
      <c r="B3643" t="s">
        <v>6188</v>
      </c>
      <c r="C3643" t="s">
        <v>6189</v>
      </c>
      <c r="D3643" s="13">
        <f>_xll.EditDistance($C$3,C3643,2)</f>
        <v>10</v>
      </c>
      <c r="E3643" s="13"/>
    </row>
    <row r="3644" spans="2:5" x14ac:dyDescent="0.2">
      <c r="B3644" t="s">
        <v>6289</v>
      </c>
      <c r="C3644" t="s">
        <v>6290</v>
      </c>
      <c r="D3644" s="13">
        <f>_xll.EditDistance($C$3,C3644,2)</f>
        <v>10</v>
      </c>
      <c r="E3644" s="13"/>
    </row>
    <row r="3645" spans="2:5" x14ac:dyDescent="0.2">
      <c r="B3645" t="s">
        <v>6332</v>
      </c>
      <c r="C3645" t="s">
        <v>6333</v>
      </c>
      <c r="D3645" s="13">
        <f>_xll.EditDistance($C$3,C3645,2)</f>
        <v>10</v>
      </c>
      <c r="E3645" s="13"/>
    </row>
    <row r="3646" spans="2:5" x14ac:dyDescent="0.2">
      <c r="B3646" t="s">
        <v>6378</v>
      </c>
      <c r="C3646" t="s">
        <v>6379</v>
      </c>
      <c r="D3646" s="13">
        <f>_xll.EditDistance($C$3,C3646,2)</f>
        <v>10</v>
      </c>
      <c r="E3646" s="13"/>
    </row>
    <row r="3647" spans="2:5" x14ac:dyDescent="0.2">
      <c r="B3647" t="s">
        <v>6384</v>
      </c>
      <c r="C3647" t="s">
        <v>6385</v>
      </c>
      <c r="D3647" s="13">
        <f>_xll.EditDistance($C$3,C3647,2)</f>
        <v>10</v>
      </c>
      <c r="E3647" s="13"/>
    </row>
    <row r="3648" spans="2:5" x14ac:dyDescent="0.2">
      <c r="B3648" t="s">
        <v>6407</v>
      </c>
      <c r="C3648" t="s">
        <v>6408</v>
      </c>
      <c r="D3648" s="13">
        <f>_xll.EditDistance($C$3,C3648,2)</f>
        <v>10</v>
      </c>
      <c r="E3648" s="13"/>
    </row>
    <row r="3649" spans="2:5" x14ac:dyDescent="0.2">
      <c r="B3649" t="s">
        <v>6432</v>
      </c>
      <c r="C3649" t="s">
        <v>6433</v>
      </c>
      <c r="D3649" s="13">
        <f>_xll.EditDistance($C$3,C3649,2)</f>
        <v>20</v>
      </c>
      <c r="E3649" s="13"/>
    </row>
    <row r="3650" spans="2:5" x14ac:dyDescent="0.2">
      <c r="B3650" t="s">
        <v>6703</v>
      </c>
      <c r="C3650" t="s">
        <v>6704</v>
      </c>
      <c r="D3650" s="13">
        <f>_xll.EditDistance($C$3,C3650,2)</f>
        <v>10</v>
      </c>
      <c r="E3650" s="13"/>
    </row>
    <row r="3651" spans="2:5" x14ac:dyDescent="0.2">
      <c r="B3651" t="s">
        <v>6847</v>
      </c>
      <c r="C3651" t="s">
        <v>6848</v>
      </c>
      <c r="D3651" s="13">
        <f>_xll.EditDistance($C$3,C3651,2)</f>
        <v>10</v>
      </c>
      <c r="E3651" s="13"/>
    </row>
    <row r="3652" spans="2:5" x14ac:dyDescent="0.2">
      <c r="B3652" t="s">
        <v>6922</v>
      </c>
      <c r="C3652" t="s">
        <v>6923</v>
      </c>
      <c r="D3652" s="13">
        <f>_xll.EditDistance($C$3,C3652,2)</f>
        <v>10</v>
      </c>
      <c r="E3652" s="13"/>
    </row>
    <row r="3653" spans="2:5" x14ac:dyDescent="0.2">
      <c r="B3653" t="s">
        <v>7008</v>
      </c>
      <c r="C3653" t="s">
        <v>7009</v>
      </c>
      <c r="D3653" s="13">
        <f>_xll.EditDistance($C$3,C3653,2)</f>
        <v>10</v>
      </c>
      <c r="E3653" s="13"/>
    </row>
    <row r="3654" spans="2:5" x14ac:dyDescent="0.2">
      <c r="B3654" t="s">
        <v>7050</v>
      </c>
      <c r="C3654" t="s">
        <v>7051</v>
      </c>
      <c r="D3654" s="13">
        <f>_xll.EditDistance($C$3,C3654,2)</f>
        <v>10</v>
      </c>
      <c r="E3654" s="13"/>
    </row>
    <row r="3655" spans="2:5" x14ac:dyDescent="0.2">
      <c r="B3655" t="s">
        <v>7071</v>
      </c>
      <c r="C3655" t="s">
        <v>7072</v>
      </c>
      <c r="D3655" s="13">
        <f>_xll.EditDistance($C$3,C3655,2)</f>
        <v>10</v>
      </c>
      <c r="E3655" s="13"/>
    </row>
    <row r="3656" spans="2:5" x14ac:dyDescent="0.2">
      <c r="B3656" t="s">
        <v>7119</v>
      </c>
      <c r="C3656" t="s">
        <v>7120</v>
      </c>
      <c r="D3656" s="13">
        <f>_xll.EditDistance($C$3,C3656,2)</f>
        <v>20</v>
      </c>
      <c r="E3656" s="13"/>
    </row>
    <row r="3657" spans="2:5" x14ac:dyDescent="0.2">
      <c r="B3657" t="s">
        <v>7121</v>
      </c>
      <c r="C3657" t="s">
        <v>7122</v>
      </c>
      <c r="D3657" s="13">
        <f>_xll.EditDistance($C$3,C3657,2)</f>
        <v>10</v>
      </c>
      <c r="E3657" s="13"/>
    </row>
    <row r="3658" spans="2:5" x14ac:dyDescent="0.2">
      <c r="B3658" t="s">
        <v>7155</v>
      </c>
      <c r="C3658" t="s">
        <v>7156</v>
      </c>
      <c r="D3658" s="13">
        <f>_xll.EditDistance($C$3,C3658,2)</f>
        <v>30</v>
      </c>
      <c r="E3658" s="13"/>
    </row>
    <row r="3659" spans="2:5" x14ac:dyDescent="0.2">
      <c r="B3659" t="s">
        <v>7166</v>
      </c>
      <c r="C3659" t="s">
        <v>7167</v>
      </c>
      <c r="D3659" s="13">
        <f>_xll.EditDistance($C$3,C3659,2)</f>
        <v>10</v>
      </c>
      <c r="E3659" s="13"/>
    </row>
    <row r="3660" spans="2:5" x14ac:dyDescent="0.2">
      <c r="B3660" t="s">
        <v>7197</v>
      </c>
      <c r="C3660" t="s">
        <v>7198</v>
      </c>
      <c r="D3660" s="13">
        <f>_xll.EditDistance($C$3,C3660,2)</f>
        <v>10</v>
      </c>
      <c r="E3660" s="13"/>
    </row>
    <row r="3661" spans="2:5" x14ac:dyDescent="0.2">
      <c r="B3661" t="s">
        <v>7226</v>
      </c>
      <c r="C3661" t="s">
        <v>7227</v>
      </c>
      <c r="D3661" s="13">
        <f>_xll.EditDistance($C$3,C3661,2)</f>
        <v>18</v>
      </c>
      <c r="E3661" s="13"/>
    </row>
    <row r="3662" spans="2:5" x14ac:dyDescent="0.2">
      <c r="B3662" t="s">
        <v>7269</v>
      </c>
      <c r="C3662" t="s">
        <v>7270</v>
      </c>
      <c r="D3662" s="13">
        <f>_xll.EditDistance($C$3,C3662,2)</f>
        <v>10</v>
      </c>
      <c r="E3662" s="13"/>
    </row>
    <row r="3663" spans="2:5" x14ac:dyDescent="0.2">
      <c r="B3663" t="s">
        <v>7275</v>
      </c>
      <c r="C3663" t="s">
        <v>7276</v>
      </c>
      <c r="D3663" s="13">
        <f>_xll.EditDistance($C$3,C3663,2)</f>
        <v>10</v>
      </c>
      <c r="E3663" s="13"/>
    </row>
    <row r="3664" spans="2:5" x14ac:dyDescent="0.2">
      <c r="B3664" t="s">
        <v>7283</v>
      </c>
      <c r="C3664" t="s">
        <v>7284</v>
      </c>
      <c r="D3664" s="13">
        <f>_xll.EditDistance($C$3,C3664,2)</f>
        <v>10</v>
      </c>
      <c r="E3664" s="13"/>
    </row>
    <row r="3665" spans="2:5" x14ac:dyDescent="0.2">
      <c r="B3665" t="s">
        <v>7346</v>
      </c>
      <c r="C3665" t="s">
        <v>7347</v>
      </c>
      <c r="D3665" s="13">
        <f>_xll.EditDistance($C$3,C3665,2)</f>
        <v>10</v>
      </c>
      <c r="E3665" s="13"/>
    </row>
    <row r="3666" spans="2:5" x14ac:dyDescent="0.2">
      <c r="B3666" t="s">
        <v>7353</v>
      </c>
      <c r="C3666" t="s">
        <v>7354</v>
      </c>
      <c r="D3666" s="13">
        <f>_xll.EditDistance($C$3,C3666,2)</f>
        <v>10</v>
      </c>
      <c r="E3666" s="13"/>
    </row>
    <row r="3667" spans="2:5" x14ac:dyDescent="0.2">
      <c r="B3667" t="s">
        <v>7519</v>
      </c>
      <c r="C3667" t="s">
        <v>7520</v>
      </c>
      <c r="D3667" s="13">
        <f>_xll.EditDistance($C$3,C3667,2)</f>
        <v>18</v>
      </c>
      <c r="E3667" s="13"/>
    </row>
    <row r="3668" spans="2:5" x14ac:dyDescent="0.2">
      <c r="B3668" t="s">
        <v>7525</v>
      </c>
      <c r="C3668" t="s">
        <v>7526</v>
      </c>
      <c r="D3668" s="13">
        <f>_xll.EditDistance($C$3,C3668,2)</f>
        <v>10</v>
      </c>
      <c r="E3668" s="13"/>
    </row>
    <row r="3669" spans="2:5" x14ac:dyDescent="0.2">
      <c r="B3669" t="s">
        <v>7527</v>
      </c>
      <c r="C3669" t="s">
        <v>7528</v>
      </c>
      <c r="D3669" s="13">
        <f>_xll.EditDistance($C$3,C3669,2)</f>
        <v>10</v>
      </c>
      <c r="E3669" s="13"/>
    </row>
    <row r="3670" spans="2:5" x14ac:dyDescent="0.2">
      <c r="B3670" t="s">
        <v>7611</v>
      </c>
      <c r="C3670" t="s">
        <v>7612</v>
      </c>
      <c r="D3670" s="13">
        <f>_xll.EditDistance($C$3,C3670,2)</f>
        <v>10</v>
      </c>
      <c r="E3670" s="13"/>
    </row>
    <row r="3671" spans="2:5" x14ac:dyDescent="0.2">
      <c r="B3671" t="s">
        <v>7644</v>
      </c>
      <c r="C3671" t="s">
        <v>7645</v>
      </c>
      <c r="D3671" s="13">
        <f>_xll.EditDistance($C$3,C3671,2)</f>
        <v>10</v>
      </c>
      <c r="E3671" s="13"/>
    </row>
    <row r="3672" spans="2:5" x14ac:dyDescent="0.2">
      <c r="B3672" t="s">
        <v>7764</v>
      </c>
      <c r="C3672" t="s">
        <v>7765</v>
      </c>
      <c r="D3672" s="13">
        <f>_xll.EditDistance($C$3,C3672,2)</f>
        <v>10</v>
      </c>
      <c r="E3672" s="13"/>
    </row>
    <row r="3673" spans="2:5" x14ac:dyDescent="0.2">
      <c r="B3673" t="s">
        <v>7875</v>
      </c>
      <c r="C3673" t="s">
        <v>7876</v>
      </c>
      <c r="D3673" s="13">
        <f>_xll.EditDistance($C$3,C3673,2)</f>
        <v>10</v>
      </c>
      <c r="E3673" s="13"/>
    </row>
    <row r="3674" spans="2:5" x14ac:dyDescent="0.2">
      <c r="B3674" t="s">
        <v>7954</v>
      </c>
      <c r="C3674" t="s">
        <v>7955</v>
      </c>
      <c r="D3674" s="13">
        <f>_xll.EditDistance($C$3,C3674,2)</f>
        <v>10</v>
      </c>
      <c r="E3674" s="13"/>
    </row>
    <row r="3675" spans="2:5" x14ac:dyDescent="0.2">
      <c r="B3675" t="s">
        <v>7992</v>
      </c>
      <c r="C3675" t="s">
        <v>7993</v>
      </c>
      <c r="D3675" s="13">
        <f>_xll.EditDistance($C$3,C3675,2)</f>
        <v>10</v>
      </c>
      <c r="E3675" s="13"/>
    </row>
    <row r="3676" spans="2:5" x14ac:dyDescent="0.2">
      <c r="B3676" t="s">
        <v>8078</v>
      </c>
      <c r="C3676" t="s">
        <v>8079</v>
      </c>
      <c r="D3676" s="13">
        <f>_xll.EditDistance($C$3,C3676,2)</f>
        <v>10</v>
      </c>
      <c r="E3676" s="13"/>
    </row>
    <row r="3677" spans="2:5" x14ac:dyDescent="0.2">
      <c r="B3677" t="s">
        <v>8096</v>
      </c>
      <c r="C3677" t="s">
        <v>8097</v>
      </c>
      <c r="D3677" s="13">
        <f>_xll.EditDistance($C$3,C3677,2)</f>
        <v>10</v>
      </c>
      <c r="E3677" s="13"/>
    </row>
    <row r="3678" spans="2:5" x14ac:dyDescent="0.2">
      <c r="B3678" t="s">
        <v>8182</v>
      </c>
      <c r="C3678" t="s">
        <v>8183</v>
      </c>
      <c r="D3678" s="13">
        <f>_xll.EditDistance($C$3,C3678,2)</f>
        <v>10</v>
      </c>
      <c r="E3678" s="13"/>
    </row>
    <row r="3679" spans="2:5" x14ac:dyDescent="0.2">
      <c r="B3679" t="s">
        <v>8188</v>
      </c>
      <c r="C3679" t="s">
        <v>8189</v>
      </c>
      <c r="D3679" s="13">
        <f>_xll.EditDistance($C$3,C3679,2)</f>
        <v>10</v>
      </c>
      <c r="E3679" s="13"/>
    </row>
    <row r="3680" spans="2:5" x14ac:dyDescent="0.2">
      <c r="B3680" t="s">
        <v>8250</v>
      </c>
      <c r="C3680" t="s">
        <v>8251</v>
      </c>
      <c r="D3680" s="13">
        <f>_xll.EditDistance($C$3,C3680,2)</f>
        <v>10</v>
      </c>
      <c r="E3680" s="13"/>
    </row>
    <row r="3681" spans="2:5" x14ac:dyDescent="0.2">
      <c r="B3681" t="s">
        <v>8270</v>
      </c>
      <c r="C3681" t="s">
        <v>8271</v>
      </c>
      <c r="D3681" s="13">
        <f>_xll.EditDistance($C$3,C3681,2)</f>
        <v>18</v>
      </c>
      <c r="E3681" s="13"/>
    </row>
    <row r="3682" spans="2:5" x14ac:dyDescent="0.2">
      <c r="B3682" t="s">
        <v>8284</v>
      </c>
      <c r="C3682" t="s">
        <v>8285</v>
      </c>
      <c r="D3682" s="13">
        <f>_xll.EditDistance($C$3,C3682,2)</f>
        <v>10</v>
      </c>
      <c r="E3682" s="13"/>
    </row>
    <row r="3683" spans="2:5" x14ac:dyDescent="0.2">
      <c r="B3683" t="s">
        <v>8351</v>
      </c>
      <c r="C3683" t="s">
        <v>8352</v>
      </c>
      <c r="D3683" s="13">
        <f>_xll.EditDistance($C$3,C3683,2)</f>
        <v>10</v>
      </c>
      <c r="E3683" s="13"/>
    </row>
    <row r="3684" spans="2:5" x14ac:dyDescent="0.2">
      <c r="B3684" t="s">
        <v>8378</v>
      </c>
      <c r="C3684" t="s">
        <v>8379</v>
      </c>
      <c r="D3684" s="13">
        <f>_xll.EditDistance($C$3,C3684,2)</f>
        <v>10</v>
      </c>
      <c r="E3684" s="13"/>
    </row>
    <row r="3685" spans="2:5" x14ac:dyDescent="0.2">
      <c r="B3685" t="s">
        <v>8380</v>
      </c>
      <c r="C3685" t="s">
        <v>8381</v>
      </c>
      <c r="D3685" s="13">
        <f>_xll.EditDistance($C$3,C3685,2)</f>
        <v>10</v>
      </c>
      <c r="E3685" s="13"/>
    </row>
    <row r="3686" spans="2:5" x14ac:dyDescent="0.2">
      <c r="B3686" t="s">
        <v>8382</v>
      </c>
      <c r="C3686" t="s">
        <v>8383</v>
      </c>
      <c r="D3686" s="13">
        <f>_xll.EditDistance($C$3,C3686,2)</f>
        <v>10</v>
      </c>
      <c r="E3686" s="13"/>
    </row>
    <row r="3687" spans="2:5" x14ac:dyDescent="0.2">
      <c r="B3687" t="s">
        <v>8392</v>
      </c>
      <c r="C3687" t="s">
        <v>8393</v>
      </c>
      <c r="D3687" s="13">
        <f>_xll.EditDistance($C$3,C3687,2)</f>
        <v>10</v>
      </c>
      <c r="E3687" s="13"/>
    </row>
    <row r="3688" spans="2:5" x14ac:dyDescent="0.2">
      <c r="B3688" t="s">
        <v>8394</v>
      </c>
      <c r="C3688" t="s">
        <v>8395</v>
      </c>
      <c r="D3688" s="13">
        <f>_xll.EditDistance($C$3,C3688,2)</f>
        <v>10</v>
      </c>
      <c r="E3688" s="13"/>
    </row>
    <row r="3689" spans="2:5" x14ac:dyDescent="0.2">
      <c r="B3689" t="s">
        <v>8459</v>
      </c>
      <c r="C3689" t="s">
        <v>8460</v>
      </c>
      <c r="D3689" s="13">
        <f>_xll.EditDistance($C$3,C3689,2)</f>
        <v>10</v>
      </c>
      <c r="E3689" s="13"/>
    </row>
    <row r="3690" spans="2:5" x14ac:dyDescent="0.2">
      <c r="B3690" t="s">
        <v>8511</v>
      </c>
      <c r="C3690" t="s">
        <v>8512</v>
      </c>
      <c r="D3690" s="13">
        <f>_xll.EditDistance($C$3,C3690,2)</f>
        <v>20</v>
      </c>
      <c r="E3690" s="13"/>
    </row>
    <row r="3691" spans="2:5" x14ac:dyDescent="0.2">
      <c r="B3691" t="s">
        <v>8513</v>
      </c>
      <c r="C3691" t="s">
        <v>8514</v>
      </c>
      <c r="D3691" s="13">
        <f>_xll.EditDistance($C$3,C3691,2)</f>
        <v>10</v>
      </c>
      <c r="E3691" s="13"/>
    </row>
    <row r="3692" spans="2:5" x14ac:dyDescent="0.2">
      <c r="B3692" t="s">
        <v>8557</v>
      </c>
      <c r="C3692" t="s">
        <v>8558</v>
      </c>
      <c r="D3692" s="13">
        <f>_xll.EditDistance($C$3,C3692,2)</f>
        <v>10</v>
      </c>
      <c r="E3692" s="13"/>
    </row>
    <row r="3693" spans="2:5" x14ac:dyDescent="0.2">
      <c r="B3693" t="s">
        <v>8590</v>
      </c>
      <c r="C3693" t="s">
        <v>8591</v>
      </c>
      <c r="D3693" s="13">
        <f>_xll.EditDistance($C$3,C3693,2)</f>
        <v>10</v>
      </c>
      <c r="E3693" s="13"/>
    </row>
    <row r="3694" spans="2:5" x14ac:dyDescent="0.2">
      <c r="B3694" t="s">
        <v>8688</v>
      </c>
      <c r="C3694" t="s">
        <v>8689</v>
      </c>
      <c r="D3694" s="13">
        <f>_xll.EditDistance($C$3,C3694,2)</f>
        <v>10</v>
      </c>
      <c r="E3694" s="13"/>
    </row>
    <row r="3695" spans="2:5" x14ac:dyDescent="0.2">
      <c r="B3695" t="s">
        <v>687</v>
      </c>
      <c r="C3695" t="s">
        <v>688</v>
      </c>
      <c r="D3695" s="13">
        <f>_xll.EditDistance($C$3,C3695,2)</f>
        <v>10</v>
      </c>
      <c r="E3695" s="13"/>
    </row>
    <row r="3696" spans="2:5" x14ac:dyDescent="0.2">
      <c r="B3696" t="s">
        <v>1014</v>
      </c>
      <c r="C3696" t="s">
        <v>1015</v>
      </c>
      <c r="D3696" s="13">
        <f>_xll.EditDistance($C$3,C3696,2)</f>
        <v>10</v>
      </c>
      <c r="E3696" s="13"/>
    </row>
    <row r="3697" spans="2:5" x14ac:dyDescent="0.2">
      <c r="B3697" t="s">
        <v>1714</v>
      </c>
      <c r="C3697" t="s">
        <v>1715</v>
      </c>
      <c r="D3697" s="13">
        <f>_xll.EditDistance($C$3,C3697,2)</f>
        <v>10</v>
      </c>
      <c r="E3697" s="13"/>
    </row>
    <row r="3698" spans="2:5" x14ac:dyDescent="0.2">
      <c r="B3698" t="s">
        <v>2699</v>
      </c>
      <c r="C3698" t="s">
        <v>2700</v>
      </c>
      <c r="D3698" s="13">
        <f>_xll.EditDistance($C$3,C3698,2)</f>
        <v>10</v>
      </c>
      <c r="E3698" s="13"/>
    </row>
    <row r="3699" spans="2:5" x14ac:dyDescent="0.2">
      <c r="B3699" t="s">
        <v>4655</v>
      </c>
      <c r="C3699" t="s">
        <v>4656</v>
      </c>
      <c r="D3699" s="13">
        <f>_xll.EditDistance($C$3,C3699,2)</f>
        <v>10</v>
      </c>
      <c r="E3699" s="13"/>
    </row>
    <row r="3700" spans="2:5" x14ac:dyDescent="0.2">
      <c r="B3700" t="s">
        <v>4919</v>
      </c>
      <c r="C3700" t="s">
        <v>4921</v>
      </c>
      <c r="D3700" s="13">
        <f>_xll.EditDistance($C$3,C3700,2)</f>
        <v>10</v>
      </c>
      <c r="E3700" s="13"/>
    </row>
    <row r="3701" spans="2:5" x14ac:dyDescent="0.2">
      <c r="B3701" t="s">
        <v>8282</v>
      </c>
      <c r="C3701" t="s">
        <v>8283</v>
      </c>
      <c r="D3701" s="13">
        <f>_xll.EditDistance($C$3,C3701,2)</f>
        <v>10</v>
      </c>
      <c r="E3701" s="13"/>
    </row>
    <row r="3702" spans="2:5" x14ac:dyDescent="0.2">
      <c r="B3702" t="s">
        <v>8684</v>
      </c>
      <c r="C3702" t="s">
        <v>8685</v>
      </c>
      <c r="D3702" s="13">
        <f>_xll.EditDistance($C$3,C3702,2)</f>
        <v>10</v>
      </c>
      <c r="E3702" s="13"/>
    </row>
    <row r="3703" spans="2:5" x14ac:dyDescent="0.2">
      <c r="B3703" t="s">
        <v>2387</v>
      </c>
      <c r="C3703" t="s">
        <v>2389</v>
      </c>
      <c r="D3703" s="13">
        <f>_xll.EditDistance($C$3,C3703,2)</f>
        <v>10</v>
      </c>
      <c r="E3703" s="13"/>
    </row>
    <row r="3704" spans="2:5" x14ac:dyDescent="0.2">
      <c r="B3704" t="s">
        <v>2656</v>
      </c>
      <c r="C3704" t="s">
        <v>2657</v>
      </c>
      <c r="D3704" s="13">
        <f>_xll.EditDistance($C$3,C3704,2)</f>
        <v>20</v>
      </c>
      <c r="E3704" s="13"/>
    </row>
    <row r="3705" spans="2:5" x14ac:dyDescent="0.2">
      <c r="B3705" t="s">
        <v>2656</v>
      </c>
      <c r="C3705" t="s">
        <v>2658</v>
      </c>
      <c r="D3705" s="13">
        <f>_xll.EditDistance($C$3,C3705,2)</f>
        <v>20</v>
      </c>
      <c r="E3705" s="13"/>
    </row>
    <row r="3706" spans="2:5" x14ac:dyDescent="0.2">
      <c r="B3706" t="s">
        <v>2717</v>
      </c>
      <c r="C3706" t="s">
        <v>2718</v>
      </c>
      <c r="D3706" s="13">
        <f>_xll.EditDistance($C$3,C3706,2)</f>
        <v>10</v>
      </c>
      <c r="E3706" s="13"/>
    </row>
    <row r="3707" spans="2:5" x14ac:dyDescent="0.2">
      <c r="B3707" t="s">
        <v>2949</v>
      </c>
      <c r="C3707" t="s">
        <v>2951</v>
      </c>
      <c r="D3707" s="13">
        <f>_xll.EditDistance($C$3,C3707,2)</f>
        <v>30</v>
      </c>
      <c r="E3707" s="13"/>
    </row>
    <row r="3708" spans="2:5" x14ac:dyDescent="0.2">
      <c r="B3708" t="s">
        <v>2986</v>
      </c>
      <c r="C3708" t="s">
        <v>2987</v>
      </c>
      <c r="D3708" s="13">
        <f>_xll.EditDistance($C$3,C3708,2)</f>
        <v>20</v>
      </c>
      <c r="E3708" s="13"/>
    </row>
    <row r="3709" spans="2:5" x14ac:dyDescent="0.2">
      <c r="B3709" t="s">
        <v>4101</v>
      </c>
      <c r="C3709" t="s">
        <v>4102</v>
      </c>
      <c r="D3709" s="13">
        <f>_xll.EditDistance($C$3,C3709,2)</f>
        <v>10</v>
      </c>
      <c r="E3709" s="13"/>
    </row>
    <row r="3710" spans="2:5" x14ac:dyDescent="0.2">
      <c r="B3710" t="s">
        <v>4118</v>
      </c>
      <c r="C3710" t="s">
        <v>4119</v>
      </c>
      <c r="D3710" s="13">
        <f>_xll.EditDistance($C$3,C3710,2)</f>
        <v>30</v>
      </c>
      <c r="E3710" s="13"/>
    </row>
    <row r="3711" spans="2:5" x14ac:dyDescent="0.2">
      <c r="B3711" t="s">
        <v>4830</v>
      </c>
      <c r="C3711" t="s">
        <v>4831</v>
      </c>
      <c r="D3711" s="13">
        <f>_xll.EditDistance($C$3,C3711,2)</f>
        <v>10</v>
      </c>
      <c r="E3711" s="13"/>
    </row>
    <row r="3712" spans="2:5" x14ac:dyDescent="0.2">
      <c r="B3712" t="s">
        <v>5638</v>
      </c>
      <c r="C3712" t="s">
        <v>5639</v>
      </c>
      <c r="D3712" s="13">
        <f>_xll.EditDistance($C$3,C3712,2)</f>
        <v>10</v>
      </c>
      <c r="E3712" s="13"/>
    </row>
    <row r="3713" spans="2:5" x14ac:dyDescent="0.2">
      <c r="B3713" t="s">
        <v>5678</v>
      </c>
      <c r="C3713" t="s">
        <v>5679</v>
      </c>
      <c r="D3713" s="13">
        <f>_xll.EditDistance($C$3,C3713,2)</f>
        <v>10</v>
      </c>
      <c r="E3713" s="13"/>
    </row>
    <row r="3714" spans="2:5" x14ac:dyDescent="0.2">
      <c r="B3714" t="s">
        <v>7600</v>
      </c>
      <c r="C3714" t="s">
        <v>7601</v>
      </c>
      <c r="D3714" s="13">
        <f>_xll.EditDistance($C$3,C3714,2)</f>
        <v>20</v>
      </c>
      <c r="E3714" s="13"/>
    </row>
    <row r="3715" spans="2:5" x14ac:dyDescent="0.2">
      <c r="B3715" t="s">
        <v>7683</v>
      </c>
      <c r="C3715" t="s">
        <v>7685</v>
      </c>
      <c r="D3715" s="13">
        <f>_xll.EditDistance($C$3,C3715,2)</f>
        <v>10</v>
      </c>
      <c r="E3715" s="13"/>
    </row>
    <row r="3716" spans="2:5" x14ac:dyDescent="0.2">
      <c r="B3716" t="s">
        <v>7919</v>
      </c>
      <c r="C3716" t="s">
        <v>7920</v>
      </c>
      <c r="D3716" s="13">
        <f>_xll.EditDistance($C$3,C3716,2)</f>
        <v>10</v>
      </c>
      <c r="E3716" s="13"/>
    </row>
    <row r="3717" spans="2:5" x14ac:dyDescent="0.2">
      <c r="B3717" t="s">
        <v>8124</v>
      </c>
      <c r="C3717" t="s">
        <v>8125</v>
      </c>
      <c r="D3717" s="13">
        <f>_xll.EditDistance($C$3,C3717,2)</f>
        <v>10</v>
      </c>
      <c r="E3717" s="13"/>
    </row>
    <row r="3718" spans="2:5" x14ac:dyDescent="0.2">
      <c r="B3718" t="s">
        <v>130</v>
      </c>
      <c r="C3718" t="s">
        <v>131</v>
      </c>
      <c r="D3718" s="13">
        <f>_xll.EditDistance($C$3,C3718,2)</f>
        <v>20</v>
      </c>
      <c r="E3718" s="13"/>
    </row>
    <row r="3719" spans="2:5" x14ac:dyDescent="0.2">
      <c r="B3719" t="s">
        <v>6802</v>
      </c>
      <c r="C3719" t="s">
        <v>6803</v>
      </c>
      <c r="D3719" s="13">
        <f>_xll.EditDistance($C$3,C3719,2)</f>
        <v>10</v>
      </c>
      <c r="E3719" s="13"/>
    </row>
    <row r="3720" spans="2:5" x14ac:dyDescent="0.2">
      <c r="B3720" t="s">
        <v>8486</v>
      </c>
      <c r="C3720" t="s">
        <v>8487</v>
      </c>
      <c r="D3720" s="13">
        <f>_xll.EditDistance($C$3,C3720,2)</f>
        <v>10</v>
      </c>
      <c r="E3720" s="13"/>
    </row>
    <row r="3721" spans="2:5" x14ac:dyDescent="0.2">
      <c r="B3721" t="s">
        <v>1139</v>
      </c>
      <c r="C3721" t="s">
        <v>1140</v>
      </c>
      <c r="D3721" s="13">
        <f>_xll.EditDistance($C$3,C3721,2)</f>
        <v>10</v>
      </c>
      <c r="E3721" s="13"/>
    </row>
    <row r="3722" spans="2:5" x14ac:dyDescent="0.2">
      <c r="B3722" t="s">
        <v>1706</v>
      </c>
      <c r="C3722" t="s">
        <v>1707</v>
      </c>
      <c r="D3722" s="13">
        <f>_xll.EditDistance($C$3,C3722,2)</f>
        <v>20</v>
      </c>
      <c r="E3722" s="13"/>
    </row>
    <row r="3723" spans="2:5" x14ac:dyDescent="0.2">
      <c r="B3723" t="s">
        <v>1810</v>
      </c>
      <c r="C3723" t="s">
        <v>1811</v>
      </c>
      <c r="D3723" s="13">
        <f>_xll.EditDistance($C$3,C3723,2)</f>
        <v>10</v>
      </c>
      <c r="E3723" s="13"/>
    </row>
    <row r="3724" spans="2:5" x14ac:dyDescent="0.2">
      <c r="B3724" t="s">
        <v>1822</v>
      </c>
      <c r="C3724" t="s">
        <v>1823</v>
      </c>
      <c r="D3724" s="13">
        <f>_xll.EditDistance($C$3,C3724,2)</f>
        <v>10</v>
      </c>
      <c r="E3724" s="13"/>
    </row>
    <row r="3725" spans="2:5" x14ac:dyDescent="0.2">
      <c r="B3725" t="s">
        <v>3906</v>
      </c>
      <c r="C3725" t="s">
        <v>3907</v>
      </c>
      <c r="D3725" s="13">
        <f>_xll.EditDistance($C$3,C3725,2)</f>
        <v>10</v>
      </c>
      <c r="E3725" s="13"/>
    </row>
    <row r="3726" spans="2:5" x14ac:dyDescent="0.2">
      <c r="B3726" t="s">
        <v>4140</v>
      </c>
      <c r="C3726" t="s">
        <v>4141</v>
      </c>
      <c r="D3726" s="13">
        <f>_xll.EditDistance($C$3,C3726,2)</f>
        <v>10</v>
      </c>
      <c r="E3726" s="13"/>
    </row>
    <row r="3727" spans="2:5" x14ac:dyDescent="0.2">
      <c r="B3727" t="s">
        <v>5410</v>
      </c>
      <c r="C3727" t="s">
        <v>5411</v>
      </c>
      <c r="D3727" s="13">
        <f>_xll.EditDistance($C$3,C3727,2)</f>
        <v>20</v>
      </c>
      <c r="E3727" s="13"/>
    </row>
    <row r="3728" spans="2:5" x14ac:dyDescent="0.2">
      <c r="B3728" t="s">
        <v>5952</v>
      </c>
      <c r="C3728" t="s">
        <v>5954</v>
      </c>
      <c r="D3728" s="13">
        <f>_xll.EditDistance($C$3,C3728,2)</f>
        <v>20</v>
      </c>
      <c r="E3728" s="13"/>
    </row>
    <row r="3729" spans="2:5" x14ac:dyDescent="0.2">
      <c r="B3729" t="s">
        <v>6592</v>
      </c>
      <c r="C3729" t="s">
        <v>6593</v>
      </c>
      <c r="D3729" s="13">
        <f>_xll.EditDistance($C$3,C3729,2)</f>
        <v>20</v>
      </c>
      <c r="E3729" s="13"/>
    </row>
    <row r="3730" spans="2:5" x14ac:dyDescent="0.2">
      <c r="B3730" t="s">
        <v>7069</v>
      </c>
      <c r="C3730" t="s">
        <v>7070</v>
      </c>
      <c r="D3730" s="13">
        <f>_xll.EditDistance($C$3,C3730,2)</f>
        <v>54</v>
      </c>
      <c r="E3730" s="13"/>
    </row>
    <row r="3731" spans="2:5" x14ac:dyDescent="0.2">
      <c r="B3731" t="s">
        <v>8070</v>
      </c>
      <c r="C3731" t="s">
        <v>8071</v>
      </c>
      <c r="D3731" s="13">
        <f>_xll.EditDistance($C$3,C3731,2)</f>
        <v>20</v>
      </c>
      <c r="E3731" s="13"/>
    </row>
    <row r="3732" spans="2:5" x14ac:dyDescent="0.2">
      <c r="B3732" t="s">
        <v>2020</v>
      </c>
      <c r="C3732" t="s">
        <v>2021</v>
      </c>
      <c r="D3732" s="13">
        <f>_xll.EditDistance($C$3,C3732,2)</f>
        <v>10</v>
      </c>
      <c r="E3732" s="13"/>
    </row>
    <row r="3733" spans="2:5" x14ac:dyDescent="0.2">
      <c r="B3733" t="s">
        <v>4690</v>
      </c>
      <c r="C3733" t="s">
        <v>4691</v>
      </c>
      <c r="D3733" s="13">
        <f>_xll.EditDistance($C$3,C3733,2)</f>
        <v>20</v>
      </c>
      <c r="E3733" s="13"/>
    </row>
    <row r="3734" spans="2:5" x14ac:dyDescent="0.2">
      <c r="B3734" t="s">
        <v>4705</v>
      </c>
      <c r="C3734" t="s">
        <v>4706</v>
      </c>
      <c r="D3734" s="13">
        <f>_xll.EditDistance($C$3,C3734,2)</f>
        <v>10</v>
      </c>
      <c r="E3734" s="13"/>
    </row>
    <row r="3735" spans="2:5" x14ac:dyDescent="0.2">
      <c r="B3735" t="s">
        <v>7929</v>
      </c>
      <c r="C3735" t="s">
        <v>7931</v>
      </c>
      <c r="D3735" s="13">
        <f>_xll.EditDistance($C$3,C3735,2)</f>
        <v>48</v>
      </c>
      <c r="E3735" s="13"/>
    </row>
    <row r="3736" spans="2:5" x14ac:dyDescent="0.2">
      <c r="B3736" t="s">
        <v>396</v>
      </c>
      <c r="C3736" t="s">
        <v>397</v>
      </c>
      <c r="D3736" s="13">
        <f>_xll.EditDistance($C$3,C3736,2)</f>
        <v>20</v>
      </c>
      <c r="E3736" s="13"/>
    </row>
    <row r="3737" spans="2:5" x14ac:dyDescent="0.2">
      <c r="B3737" t="s">
        <v>2014</v>
      </c>
      <c r="C3737" t="s">
        <v>2015</v>
      </c>
      <c r="D3737" s="13">
        <f>_xll.EditDistance($C$3,C3737,2)</f>
        <v>10</v>
      </c>
      <c r="E3737" s="13"/>
    </row>
    <row r="3738" spans="2:5" x14ac:dyDescent="0.2">
      <c r="B3738" t="s">
        <v>4608</v>
      </c>
      <c r="C3738" t="s">
        <v>4609</v>
      </c>
      <c r="D3738" s="13">
        <f>_xll.EditDistance($C$3,C3738,2)</f>
        <v>10</v>
      </c>
      <c r="E3738" s="13"/>
    </row>
    <row r="3739" spans="2:5" x14ac:dyDescent="0.2">
      <c r="B3739" t="s">
        <v>6837</v>
      </c>
      <c r="C3739" t="s">
        <v>6838</v>
      </c>
      <c r="D3739" s="13">
        <f>_xll.EditDistance($C$3,C3739,2)</f>
        <v>10</v>
      </c>
      <c r="E3739" s="13"/>
    </row>
    <row r="3740" spans="2:5" x14ac:dyDescent="0.2">
      <c r="B3740" t="s">
        <v>8690</v>
      </c>
      <c r="C3740" t="s">
        <v>8691</v>
      </c>
      <c r="D3740" s="13">
        <f>_xll.EditDistance($C$3,C3740,2)</f>
        <v>10</v>
      </c>
      <c r="E3740" s="13"/>
    </row>
    <row r="3741" spans="2:5" x14ac:dyDescent="0.2">
      <c r="B3741" t="s">
        <v>1644</v>
      </c>
      <c r="C3741" t="s">
        <v>1645</v>
      </c>
      <c r="D3741" s="13">
        <f>_xll.EditDistance($C$3,C3741,2)</f>
        <v>10</v>
      </c>
      <c r="E3741" s="13"/>
    </row>
    <row r="3742" spans="2:5" x14ac:dyDescent="0.2">
      <c r="B3742" t="s">
        <v>2523</v>
      </c>
      <c r="C3742" t="s">
        <v>2524</v>
      </c>
      <c r="D3742" s="13">
        <f>_xll.EditDistance($C$3,C3742,2)</f>
        <v>10</v>
      </c>
      <c r="E3742" s="13"/>
    </row>
    <row r="3743" spans="2:5" x14ac:dyDescent="0.2">
      <c r="B3743" t="s">
        <v>4439</v>
      </c>
      <c r="C3743" t="s">
        <v>4440</v>
      </c>
      <c r="D3743" s="13">
        <f>_xll.EditDistance($C$3,C3743,2)</f>
        <v>10</v>
      </c>
      <c r="E3743" s="13"/>
    </row>
    <row r="3744" spans="2:5" x14ac:dyDescent="0.2">
      <c r="B3744" t="s">
        <v>7561</v>
      </c>
      <c r="C3744" t="s">
        <v>7564</v>
      </c>
      <c r="D3744" s="13">
        <f>_xll.EditDistance($C$3,C3744,2)</f>
        <v>20</v>
      </c>
      <c r="E3744" s="13"/>
    </row>
    <row r="3745" spans="2:5" x14ac:dyDescent="0.2">
      <c r="B3745" t="s">
        <v>7632</v>
      </c>
      <c r="C3745" t="s">
        <v>7633</v>
      </c>
      <c r="D3745" s="13">
        <f>_xll.EditDistance($C$3,C3745,2)</f>
        <v>10</v>
      </c>
      <c r="E3745" s="13"/>
    </row>
    <row r="3746" spans="2:5" x14ac:dyDescent="0.2">
      <c r="B3746" t="s">
        <v>488</v>
      </c>
      <c r="C3746" t="s">
        <v>489</v>
      </c>
      <c r="D3746" s="13">
        <f>_xll.EditDistance($C$3,C3746,2)</f>
        <v>10</v>
      </c>
      <c r="E3746" s="13"/>
    </row>
    <row r="3747" spans="2:5" x14ac:dyDescent="0.2">
      <c r="B3747" t="s">
        <v>734</v>
      </c>
      <c r="C3747" t="s">
        <v>735</v>
      </c>
      <c r="D3747" s="13">
        <f>_xll.EditDistance($C$3,C3747,2)</f>
        <v>10</v>
      </c>
      <c r="E3747" s="13"/>
    </row>
    <row r="3748" spans="2:5" x14ac:dyDescent="0.2">
      <c r="B3748" t="s">
        <v>1526</v>
      </c>
      <c r="C3748" t="s">
        <v>1527</v>
      </c>
      <c r="D3748" s="13">
        <f>_xll.EditDistance($C$3,C3748,2)</f>
        <v>10</v>
      </c>
      <c r="E3748" s="13"/>
    </row>
    <row r="3749" spans="2:5" x14ac:dyDescent="0.2">
      <c r="B3749" t="s">
        <v>1600</v>
      </c>
      <c r="C3749" t="s">
        <v>1601</v>
      </c>
      <c r="D3749" s="13">
        <f>_xll.EditDistance($C$3,C3749,2)</f>
        <v>20</v>
      </c>
      <c r="E3749" s="13"/>
    </row>
    <row r="3750" spans="2:5" x14ac:dyDescent="0.2">
      <c r="B3750" t="s">
        <v>1785</v>
      </c>
      <c r="C3750" t="s">
        <v>1786</v>
      </c>
      <c r="D3750" s="13">
        <f>_xll.EditDistance($C$3,C3750,2)</f>
        <v>10</v>
      </c>
      <c r="E3750" s="13"/>
    </row>
    <row r="3751" spans="2:5" x14ac:dyDescent="0.2">
      <c r="B3751" t="s">
        <v>3223</v>
      </c>
      <c r="C3751" t="s">
        <v>3224</v>
      </c>
      <c r="D3751" s="13">
        <f>_xll.EditDistance($C$3,C3751,2)</f>
        <v>10</v>
      </c>
      <c r="E3751" s="13"/>
    </row>
    <row r="3752" spans="2:5" x14ac:dyDescent="0.2">
      <c r="B3752" t="s">
        <v>3324</v>
      </c>
      <c r="C3752" t="s">
        <v>3325</v>
      </c>
      <c r="D3752" s="13">
        <f>_xll.EditDistance($C$3,C3752,2)</f>
        <v>10</v>
      </c>
      <c r="E3752" s="13"/>
    </row>
    <row r="3753" spans="2:5" x14ac:dyDescent="0.2">
      <c r="B3753" t="s">
        <v>3679</v>
      </c>
      <c r="C3753" t="s">
        <v>3681</v>
      </c>
      <c r="D3753" s="13">
        <f>_xll.EditDistance($C$3,C3753,2)</f>
        <v>10</v>
      </c>
      <c r="E3753" s="13"/>
    </row>
    <row r="3754" spans="2:5" x14ac:dyDescent="0.2">
      <c r="B3754" t="s">
        <v>4577</v>
      </c>
      <c r="C3754" t="s">
        <v>4578</v>
      </c>
      <c r="D3754" s="13">
        <f>_xll.EditDistance($C$3,C3754,2)</f>
        <v>20</v>
      </c>
      <c r="E3754" s="13"/>
    </row>
    <row r="3755" spans="2:5" x14ac:dyDescent="0.2">
      <c r="B3755" t="s">
        <v>4857</v>
      </c>
      <c r="C3755" t="s">
        <v>4858</v>
      </c>
      <c r="D3755" s="13">
        <f>_xll.EditDistance($C$3,C3755,2)</f>
        <v>10</v>
      </c>
      <c r="E3755" s="13"/>
    </row>
    <row r="3756" spans="2:5" x14ac:dyDescent="0.2">
      <c r="B3756" t="s">
        <v>5207</v>
      </c>
      <c r="C3756" t="s">
        <v>5208</v>
      </c>
      <c r="D3756" s="13">
        <f>_xll.EditDistance($C$3,C3756,2)</f>
        <v>10</v>
      </c>
      <c r="E3756" s="13"/>
    </row>
    <row r="3757" spans="2:5" x14ac:dyDescent="0.2">
      <c r="B3757" t="s">
        <v>5971</v>
      </c>
      <c r="C3757" t="s">
        <v>5972</v>
      </c>
      <c r="D3757" s="13">
        <f>_xll.EditDistance($C$3,C3757,2)</f>
        <v>10</v>
      </c>
      <c r="E3757" s="13"/>
    </row>
    <row r="3758" spans="2:5" x14ac:dyDescent="0.2">
      <c r="B3758" t="s">
        <v>6672</v>
      </c>
      <c r="C3758" t="s">
        <v>6673</v>
      </c>
      <c r="D3758" s="13">
        <f>_xll.EditDistance($C$3,C3758,2)</f>
        <v>10</v>
      </c>
      <c r="E3758" s="13"/>
    </row>
    <row r="3759" spans="2:5" x14ac:dyDescent="0.2">
      <c r="B3759" t="s">
        <v>7230</v>
      </c>
      <c r="C3759" t="s">
        <v>7231</v>
      </c>
      <c r="D3759" s="13">
        <f>_xll.EditDistance($C$3,C3759,2)</f>
        <v>10</v>
      </c>
      <c r="E3759" s="13"/>
    </row>
    <row r="3760" spans="2:5" x14ac:dyDescent="0.2">
      <c r="B3760" t="s">
        <v>7561</v>
      </c>
      <c r="C3760" t="s">
        <v>7563</v>
      </c>
      <c r="D3760" s="13">
        <f>_xll.EditDistance($C$3,C3760,2)</f>
        <v>10</v>
      </c>
      <c r="E3760" s="13"/>
    </row>
    <row r="3761" spans="2:5" x14ac:dyDescent="0.2">
      <c r="B3761" t="s">
        <v>7732</v>
      </c>
      <c r="C3761" t="s">
        <v>7733</v>
      </c>
      <c r="D3761" s="13">
        <f>_xll.EditDistance($C$3,C3761,2)</f>
        <v>10</v>
      </c>
      <c r="E3761" s="13"/>
    </row>
    <row r="3762" spans="2:5" x14ac:dyDescent="0.2">
      <c r="B3762" t="s">
        <v>8286</v>
      </c>
      <c r="C3762" t="s">
        <v>8287</v>
      </c>
      <c r="D3762" s="13">
        <f>_xll.EditDistance($C$3,C3762,2)</f>
        <v>10</v>
      </c>
      <c r="E3762" s="13"/>
    </row>
    <row r="3763" spans="2:5" x14ac:dyDescent="0.2">
      <c r="B3763" t="s">
        <v>339</v>
      </c>
      <c r="C3763" t="s">
        <v>340</v>
      </c>
      <c r="D3763" s="13">
        <f>_xll.EditDistance($C$3,C3763,2)</f>
        <v>10</v>
      </c>
      <c r="E3763" s="13"/>
    </row>
    <row r="3764" spans="2:5" x14ac:dyDescent="0.2">
      <c r="B3764" t="s">
        <v>442</v>
      </c>
      <c r="C3764" t="s">
        <v>443</v>
      </c>
      <c r="D3764" s="13">
        <f>_xll.EditDistance($C$3,C3764,2)</f>
        <v>10</v>
      </c>
      <c r="E3764" s="13"/>
    </row>
    <row r="3765" spans="2:5" x14ac:dyDescent="0.2">
      <c r="B3765" t="s">
        <v>458</v>
      </c>
      <c r="C3765" t="s">
        <v>459</v>
      </c>
      <c r="D3765" s="13">
        <f>_xll.EditDistance($C$3,C3765,2)</f>
        <v>10</v>
      </c>
      <c r="E3765" s="13"/>
    </row>
    <row r="3766" spans="2:5" x14ac:dyDescent="0.2">
      <c r="B3766" t="s">
        <v>478</v>
      </c>
      <c r="C3766" t="s">
        <v>479</v>
      </c>
      <c r="D3766" s="13">
        <f>_xll.EditDistance($C$3,C3766,2)</f>
        <v>10</v>
      </c>
      <c r="E3766" s="13"/>
    </row>
    <row r="3767" spans="2:5" x14ac:dyDescent="0.2">
      <c r="B3767" t="s">
        <v>520</v>
      </c>
      <c r="C3767" t="s">
        <v>521</v>
      </c>
      <c r="D3767" s="13">
        <f>_xll.EditDistance($C$3,C3767,2)</f>
        <v>10</v>
      </c>
      <c r="E3767" s="13"/>
    </row>
    <row r="3768" spans="2:5" x14ac:dyDescent="0.2">
      <c r="B3768" t="s">
        <v>553</v>
      </c>
      <c r="C3768" t="s">
        <v>554</v>
      </c>
      <c r="D3768" s="13">
        <f>_xll.EditDistance($C$3,C3768,2)</f>
        <v>10</v>
      </c>
      <c r="E3768" s="13"/>
    </row>
    <row r="3769" spans="2:5" x14ac:dyDescent="0.2">
      <c r="B3769" t="s">
        <v>576</v>
      </c>
      <c r="C3769" t="s">
        <v>577</v>
      </c>
      <c r="D3769" s="13">
        <f>_xll.EditDistance($C$3,C3769,2)</f>
        <v>10</v>
      </c>
      <c r="E3769" s="13"/>
    </row>
    <row r="3770" spans="2:5" x14ac:dyDescent="0.2">
      <c r="B3770" t="s">
        <v>652</v>
      </c>
      <c r="C3770" t="s">
        <v>653</v>
      </c>
      <c r="D3770" s="13">
        <f>_xll.EditDistance($C$3,C3770,2)</f>
        <v>10</v>
      </c>
      <c r="E3770" s="13"/>
    </row>
    <row r="3771" spans="2:5" x14ac:dyDescent="0.2">
      <c r="B3771" t="s">
        <v>708</v>
      </c>
      <c r="C3771" t="s">
        <v>709</v>
      </c>
      <c r="D3771" s="13">
        <f>_xll.EditDistance($C$3,C3771,2)</f>
        <v>10</v>
      </c>
      <c r="E3771" s="13"/>
    </row>
    <row r="3772" spans="2:5" x14ac:dyDescent="0.2">
      <c r="B3772" t="s">
        <v>938</v>
      </c>
      <c r="C3772" t="s">
        <v>939</v>
      </c>
      <c r="D3772" s="13">
        <f>_xll.EditDistance($C$3,C3772,2)</f>
        <v>10</v>
      </c>
      <c r="E3772" s="13"/>
    </row>
    <row r="3773" spans="2:5" x14ac:dyDescent="0.2">
      <c r="B3773" t="s">
        <v>968</v>
      </c>
      <c r="C3773" t="s">
        <v>969</v>
      </c>
      <c r="D3773" s="13">
        <f>_xll.EditDistance($C$3,C3773,2)</f>
        <v>10</v>
      </c>
      <c r="E3773" s="13"/>
    </row>
    <row r="3774" spans="2:5" x14ac:dyDescent="0.2">
      <c r="B3774" s="22" t="s">
        <v>1328</v>
      </c>
      <c r="C3774" t="s">
        <v>1329</v>
      </c>
      <c r="D3774" s="13">
        <f>_xll.EditDistance($C$3,C3774,2)</f>
        <v>10</v>
      </c>
      <c r="E3774" s="13"/>
    </row>
    <row r="3775" spans="2:5" x14ac:dyDescent="0.2">
      <c r="B3775" t="s">
        <v>1340</v>
      </c>
      <c r="C3775" t="s">
        <v>1341</v>
      </c>
      <c r="D3775" s="13">
        <f>_xll.EditDistance($C$3,C3775,2)</f>
        <v>10</v>
      </c>
      <c r="E3775" s="13"/>
    </row>
    <row r="3776" spans="2:5" x14ac:dyDescent="0.2">
      <c r="B3776" t="s">
        <v>1379</v>
      </c>
      <c r="C3776" t="s">
        <v>1380</v>
      </c>
      <c r="D3776" s="13">
        <f>_xll.EditDistance($C$3,C3776,2)</f>
        <v>20</v>
      </c>
      <c r="E3776" s="13"/>
    </row>
    <row r="3777" spans="2:5" x14ac:dyDescent="0.2">
      <c r="B3777" t="s">
        <v>1381</v>
      </c>
      <c r="C3777" t="s">
        <v>1382</v>
      </c>
      <c r="D3777" s="13">
        <f>_xll.EditDistance($C$3,C3777,2)</f>
        <v>10</v>
      </c>
      <c r="E3777" s="13"/>
    </row>
    <row r="3778" spans="2:5" x14ac:dyDescent="0.2">
      <c r="B3778" t="s">
        <v>1480</v>
      </c>
      <c r="C3778" t="s">
        <v>1481</v>
      </c>
      <c r="D3778" s="13">
        <f>_xll.EditDistance($C$3,C3778,2)</f>
        <v>10</v>
      </c>
      <c r="E3778" s="13"/>
    </row>
    <row r="3779" spans="2:5" x14ac:dyDescent="0.2">
      <c r="B3779" t="s">
        <v>1491</v>
      </c>
      <c r="C3779" t="s">
        <v>1492</v>
      </c>
      <c r="D3779" s="13">
        <f>_xll.EditDistance($C$3,C3779,2)</f>
        <v>20</v>
      </c>
      <c r="E3779" s="13"/>
    </row>
    <row r="3780" spans="2:5" x14ac:dyDescent="0.2">
      <c r="B3780" t="s">
        <v>1748</v>
      </c>
      <c r="C3780" t="s">
        <v>1749</v>
      </c>
      <c r="D3780" s="13">
        <f>_xll.EditDistance($C$3,C3780,2)</f>
        <v>10</v>
      </c>
      <c r="E3780" s="13"/>
    </row>
    <row r="3781" spans="2:5" x14ac:dyDescent="0.2">
      <c r="B3781" t="s">
        <v>1889</v>
      </c>
      <c r="C3781" t="s">
        <v>1890</v>
      </c>
      <c r="D3781" s="13">
        <f>_xll.EditDistance($C$3,C3781,2)</f>
        <v>10</v>
      </c>
      <c r="E3781" s="13"/>
    </row>
    <row r="3782" spans="2:5" x14ac:dyDescent="0.2">
      <c r="B3782" t="s">
        <v>2059</v>
      </c>
      <c r="C3782" t="s">
        <v>2060</v>
      </c>
      <c r="D3782" s="13">
        <f>_xll.EditDistance($C$3,C3782,2)</f>
        <v>10</v>
      </c>
      <c r="E3782" s="13"/>
    </row>
    <row r="3783" spans="2:5" x14ac:dyDescent="0.2">
      <c r="B3783" t="s">
        <v>2105</v>
      </c>
      <c r="C3783" t="s">
        <v>2106</v>
      </c>
      <c r="D3783" s="13">
        <f>_xll.EditDistance($C$3,C3783,2)</f>
        <v>10</v>
      </c>
      <c r="E3783" s="13"/>
    </row>
    <row r="3784" spans="2:5" x14ac:dyDescent="0.2">
      <c r="B3784" t="s">
        <v>2221</v>
      </c>
      <c r="C3784" t="s">
        <v>2222</v>
      </c>
      <c r="D3784" s="13">
        <f>_xll.EditDistance($C$3,C3784,2)</f>
        <v>10</v>
      </c>
      <c r="E3784" s="13"/>
    </row>
    <row r="3785" spans="2:5" x14ac:dyDescent="0.2">
      <c r="B3785" t="s">
        <v>2253</v>
      </c>
      <c r="C3785" t="s">
        <v>2254</v>
      </c>
      <c r="D3785" s="13">
        <f>_xll.EditDistance($C$3,C3785,2)</f>
        <v>10</v>
      </c>
      <c r="E3785" s="13"/>
    </row>
    <row r="3786" spans="2:5" x14ac:dyDescent="0.2">
      <c r="B3786" t="s">
        <v>2303</v>
      </c>
      <c r="C3786" t="s">
        <v>2304</v>
      </c>
      <c r="D3786" s="13">
        <f>_xll.EditDistance($C$3,C3786,2)</f>
        <v>10</v>
      </c>
      <c r="E3786" s="13"/>
    </row>
    <row r="3787" spans="2:5" x14ac:dyDescent="0.2">
      <c r="B3787" t="s">
        <v>2401</v>
      </c>
      <c r="C3787" t="s">
        <v>2402</v>
      </c>
      <c r="D3787" s="13">
        <f>_xll.EditDistance($C$3,C3787,2)</f>
        <v>10</v>
      </c>
      <c r="E3787" s="13"/>
    </row>
    <row r="3788" spans="2:5" x14ac:dyDescent="0.2">
      <c r="B3788" t="s">
        <v>2464</v>
      </c>
      <c r="C3788" t="s">
        <v>2465</v>
      </c>
      <c r="D3788" s="13">
        <f>_xll.EditDistance($C$3,C3788,2)</f>
        <v>10</v>
      </c>
      <c r="E3788" s="13"/>
    </row>
    <row r="3789" spans="2:5" x14ac:dyDescent="0.2">
      <c r="B3789" t="s">
        <v>2484</v>
      </c>
      <c r="C3789" t="s">
        <v>2485</v>
      </c>
      <c r="D3789" s="13">
        <f>_xll.EditDistance($C$3,C3789,2)</f>
        <v>10</v>
      </c>
      <c r="E3789" s="13"/>
    </row>
    <row r="3790" spans="2:5" x14ac:dyDescent="0.2">
      <c r="B3790" t="s">
        <v>2574</v>
      </c>
      <c r="C3790" t="s">
        <v>2575</v>
      </c>
      <c r="D3790" s="13">
        <f>_xll.EditDistance($C$3,C3790,2)</f>
        <v>10</v>
      </c>
      <c r="E3790" s="13"/>
    </row>
    <row r="3791" spans="2:5" x14ac:dyDescent="0.2">
      <c r="B3791" t="s">
        <v>2604</v>
      </c>
      <c r="C3791" t="s">
        <v>2605</v>
      </c>
      <c r="D3791" s="13">
        <f>_xll.EditDistance($C$3,C3791,2)</f>
        <v>10</v>
      </c>
      <c r="E3791" s="13"/>
    </row>
    <row r="3792" spans="2:5" x14ac:dyDescent="0.2">
      <c r="B3792" t="s">
        <v>2616</v>
      </c>
      <c r="C3792" t="s">
        <v>2617</v>
      </c>
      <c r="D3792" s="13">
        <f>_xll.EditDistance($C$3,C3792,2)</f>
        <v>10</v>
      </c>
      <c r="E3792" s="13"/>
    </row>
    <row r="3793" spans="2:5" x14ac:dyDescent="0.2">
      <c r="B3793" t="s">
        <v>2758</v>
      </c>
      <c r="C3793" t="s">
        <v>2759</v>
      </c>
      <c r="D3793" s="13">
        <f>_xll.EditDistance($C$3,C3793,2)</f>
        <v>10</v>
      </c>
      <c r="E3793" s="13"/>
    </row>
    <row r="3794" spans="2:5" x14ac:dyDescent="0.2">
      <c r="B3794" s="22" t="s">
        <v>2823</v>
      </c>
      <c r="C3794" t="s">
        <v>2824</v>
      </c>
      <c r="D3794" s="13">
        <f>_xll.EditDistance($C$3,C3794,2)</f>
        <v>10</v>
      </c>
      <c r="E3794" s="13"/>
    </row>
    <row r="3795" spans="2:5" x14ac:dyDescent="0.2">
      <c r="B3795" t="s">
        <v>2852</v>
      </c>
      <c r="C3795" t="s">
        <v>2853</v>
      </c>
      <c r="D3795" s="13">
        <f>_xll.EditDistance($C$3,C3795,2)</f>
        <v>10</v>
      </c>
      <c r="E3795" s="13"/>
    </row>
    <row r="3796" spans="2:5" x14ac:dyDescent="0.2">
      <c r="B3796" t="s">
        <v>3296</v>
      </c>
      <c r="C3796" t="s">
        <v>3297</v>
      </c>
      <c r="D3796" s="13">
        <f>_xll.EditDistance($C$3,C3796,2)</f>
        <v>10</v>
      </c>
      <c r="E3796" s="13"/>
    </row>
    <row r="3797" spans="2:5" x14ac:dyDescent="0.2">
      <c r="B3797" t="s">
        <v>3334</v>
      </c>
      <c r="C3797" t="s">
        <v>3335</v>
      </c>
      <c r="D3797" s="13">
        <f>_xll.EditDistance($C$3,C3797,2)</f>
        <v>10</v>
      </c>
      <c r="E3797" s="13"/>
    </row>
    <row r="3798" spans="2:5" x14ac:dyDescent="0.2">
      <c r="B3798" t="s">
        <v>3347</v>
      </c>
      <c r="C3798" t="s">
        <v>3348</v>
      </c>
      <c r="D3798" s="13">
        <f>_xll.EditDistance($C$3,C3798,2)</f>
        <v>20</v>
      </c>
      <c r="E3798" s="13"/>
    </row>
    <row r="3799" spans="2:5" x14ac:dyDescent="0.2">
      <c r="B3799" t="s">
        <v>3430</v>
      </c>
      <c r="C3799" t="s">
        <v>3431</v>
      </c>
      <c r="D3799" s="13">
        <f>_xll.EditDistance($C$3,C3799,2)</f>
        <v>10</v>
      </c>
      <c r="E3799" s="13"/>
    </row>
    <row r="3800" spans="2:5" x14ac:dyDescent="0.2">
      <c r="B3800" t="s">
        <v>3510</v>
      </c>
      <c r="C3800" t="s">
        <v>3511</v>
      </c>
      <c r="D3800" s="13">
        <f>_xll.EditDistance($C$3,C3800,2)</f>
        <v>10</v>
      </c>
      <c r="E3800" s="13"/>
    </row>
    <row r="3801" spans="2:5" x14ac:dyDescent="0.2">
      <c r="B3801" t="s">
        <v>3544</v>
      </c>
      <c r="C3801" t="s">
        <v>3545</v>
      </c>
      <c r="D3801" s="13">
        <f>_xll.EditDistance($C$3,C3801,2)</f>
        <v>10</v>
      </c>
      <c r="E3801" s="13"/>
    </row>
    <row r="3802" spans="2:5" x14ac:dyDescent="0.2">
      <c r="B3802" t="s">
        <v>3582</v>
      </c>
      <c r="C3802" t="s">
        <v>3583</v>
      </c>
      <c r="D3802" s="13">
        <f>_xll.EditDistance($C$3,C3802,2)</f>
        <v>10</v>
      </c>
      <c r="E3802" s="13"/>
    </row>
    <row r="3803" spans="2:5" x14ac:dyDescent="0.2">
      <c r="B3803" t="s">
        <v>3613</v>
      </c>
      <c r="C3803" t="s">
        <v>3614</v>
      </c>
      <c r="D3803" s="13">
        <f>_xll.EditDistance($C$3,C3803,2)</f>
        <v>10</v>
      </c>
      <c r="E3803" s="13"/>
    </row>
    <row r="3804" spans="2:5" x14ac:dyDescent="0.2">
      <c r="B3804" t="s">
        <v>3686</v>
      </c>
      <c r="C3804" t="s">
        <v>3687</v>
      </c>
      <c r="D3804" s="13">
        <f>_xll.EditDistance($C$3,C3804,2)</f>
        <v>10</v>
      </c>
      <c r="E3804" s="13"/>
    </row>
    <row r="3805" spans="2:5" x14ac:dyDescent="0.2">
      <c r="B3805" t="s">
        <v>3688</v>
      </c>
      <c r="C3805" t="s">
        <v>3689</v>
      </c>
      <c r="D3805" s="13">
        <f>_xll.EditDistance($C$3,C3805,2)</f>
        <v>10</v>
      </c>
      <c r="E3805" s="13"/>
    </row>
    <row r="3806" spans="2:5" x14ac:dyDescent="0.2">
      <c r="B3806" t="s">
        <v>3734</v>
      </c>
      <c r="C3806" t="s">
        <v>3735</v>
      </c>
      <c r="D3806" s="13">
        <f>_xll.EditDistance($C$3,C3806,2)</f>
        <v>10</v>
      </c>
      <c r="E3806" s="13"/>
    </row>
    <row r="3807" spans="2:5" x14ac:dyDescent="0.2">
      <c r="B3807" t="s">
        <v>3748</v>
      </c>
      <c r="C3807" t="s">
        <v>3749</v>
      </c>
      <c r="D3807" s="13">
        <f>_xll.EditDistance($C$3,C3807,2)</f>
        <v>10</v>
      </c>
      <c r="E3807" s="13"/>
    </row>
    <row r="3808" spans="2:5" x14ac:dyDescent="0.2">
      <c r="B3808" t="s">
        <v>3786</v>
      </c>
      <c r="C3808" t="s">
        <v>3787</v>
      </c>
      <c r="D3808" s="13">
        <f>_xll.EditDistance($C$3,C3808,2)</f>
        <v>10</v>
      </c>
      <c r="E3808" s="13"/>
    </row>
    <row r="3809" spans="2:5" x14ac:dyDescent="0.2">
      <c r="B3809" t="s">
        <v>3825</v>
      </c>
      <c r="C3809" t="s">
        <v>3826</v>
      </c>
      <c r="D3809" s="13">
        <f>_xll.EditDistance($C$3,C3809,2)</f>
        <v>10</v>
      </c>
      <c r="E3809" s="13"/>
    </row>
    <row r="3810" spans="2:5" x14ac:dyDescent="0.2">
      <c r="B3810" t="s">
        <v>3868</v>
      </c>
      <c r="C3810" t="s">
        <v>3870</v>
      </c>
      <c r="D3810" s="13">
        <f>_xll.EditDistance($C$3,C3810,2)</f>
        <v>10</v>
      </c>
      <c r="E3810" s="13"/>
    </row>
    <row r="3811" spans="2:5" x14ac:dyDescent="0.2">
      <c r="B3811" s="22" t="s">
        <v>3884</v>
      </c>
      <c r="C3811" t="s">
        <v>3885</v>
      </c>
      <c r="D3811" s="13">
        <f>_xll.EditDistance($C$3,C3811,2)</f>
        <v>10</v>
      </c>
      <c r="E3811" s="13"/>
    </row>
    <row r="3812" spans="2:5" x14ac:dyDescent="0.2">
      <c r="B3812" t="s">
        <v>3910</v>
      </c>
      <c r="C3812" t="s">
        <v>3911</v>
      </c>
      <c r="D3812" s="13">
        <f>_xll.EditDistance($C$3,C3812,2)</f>
        <v>10</v>
      </c>
      <c r="E3812" s="13"/>
    </row>
    <row r="3813" spans="2:5" x14ac:dyDescent="0.2">
      <c r="B3813" t="s">
        <v>4171</v>
      </c>
      <c r="C3813" t="s">
        <v>4172</v>
      </c>
      <c r="D3813" s="13">
        <f>_xll.EditDistance($C$3,C3813,2)</f>
        <v>10</v>
      </c>
      <c r="E3813" s="13"/>
    </row>
    <row r="3814" spans="2:5" x14ac:dyDescent="0.2">
      <c r="B3814" t="s">
        <v>4227</v>
      </c>
      <c r="C3814" t="s">
        <v>4228</v>
      </c>
      <c r="D3814" s="13">
        <f>_xll.EditDistance($C$3,C3814,2)</f>
        <v>10</v>
      </c>
      <c r="E3814" s="13"/>
    </row>
    <row r="3815" spans="2:5" x14ac:dyDescent="0.2">
      <c r="B3815" t="s">
        <v>4326</v>
      </c>
      <c r="C3815" t="s">
        <v>4327</v>
      </c>
      <c r="D3815" s="13">
        <f>_xll.EditDistance($C$3,C3815,2)</f>
        <v>10</v>
      </c>
      <c r="E3815" s="13"/>
    </row>
    <row r="3816" spans="2:5" x14ac:dyDescent="0.2">
      <c r="B3816" t="s">
        <v>4494</v>
      </c>
      <c r="C3816" t="s">
        <v>4495</v>
      </c>
      <c r="D3816" s="13">
        <f>_xll.EditDistance($C$3,C3816,2)</f>
        <v>10</v>
      </c>
      <c r="E3816" s="13"/>
    </row>
    <row r="3817" spans="2:5" x14ac:dyDescent="0.2">
      <c r="B3817" t="s">
        <v>4503</v>
      </c>
      <c r="C3817" t="s">
        <v>4504</v>
      </c>
      <c r="D3817" s="13">
        <f>_xll.EditDistance($C$3,C3817,2)</f>
        <v>10</v>
      </c>
      <c r="E3817" s="13"/>
    </row>
    <row r="3818" spans="2:5" x14ac:dyDescent="0.2">
      <c r="B3818" s="22" t="s">
        <v>4569</v>
      </c>
      <c r="C3818" t="s">
        <v>4570</v>
      </c>
      <c r="D3818" s="13">
        <f>_xll.EditDistance($C$3,C3818,2)</f>
        <v>10</v>
      </c>
      <c r="E3818" s="13"/>
    </row>
    <row r="3819" spans="2:5" x14ac:dyDescent="0.2">
      <c r="B3819" t="s">
        <v>4672</v>
      </c>
      <c r="C3819" t="s">
        <v>4673</v>
      </c>
      <c r="D3819" s="13">
        <f>_xll.EditDistance($C$3,C3819,2)</f>
        <v>10</v>
      </c>
      <c r="E3819" s="13"/>
    </row>
    <row r="3820" spans="2:5" x14ac:dyDescent="0.2">
      <c r="B3820" t="s">
        <v>4834</v>
      </c>
      <c r="C3820" t="s">
        <v>4835</v>
      </c>
      <c r="D3820" s="13">
        <f>_xll.EditDistance($C$3,C3820,2)</f>
        <v>10</v>
      </c>
      <c r="E3820" s="13"/>
    </row>
    <row r="3821" spans="2:5" x14ac:dyDescent="0.2">
      <c r="B3821" t="s">
        <v>5146</v>
      </c>
      <c r="C3821" t="s">
        <v>5147</v>
      </c>
      <c r="D3821" s="13">
        <f>_xll.EditDistance($C$3,C3821,2)</f>
        <v>10</v>
      </c>
      <c r="E3821" s="13"/>
    </row>
    <row r="3822" spans="2:5" x14ac:dyDescent="0.2">
      <c r="B3822" t="s">
        <v>5348</v>
      </c>
      <c r="C3822" t="s">
        <v>5349</v>
      </c>
      <c r="D3822" s="13">
        <f>_xll.EditDistance($C$3,C3822,2)</f>
        <v>10</v>
      </c>
      <c r="E3822" s="13"/>
    </row>
    <row r="3823" spans="2:5" x14ac:dyDescent="0.2">
      <c r="B3823" t="s">
        <v>5350</v>
      </c>
      <c r="C3823" t="s">
        <v>5351</v>
      </c>
      <c r="D3823" s="13">
        <f>_xll.EditDistance($C$3,C3823,2)</f>
        <v>10</v>
      </c>
      <c r="E3823" s="13"/>
    </row>
    <row r="3824" spans="2:5" x14ac:dyDescent="0.2">
      <c r="B3824" t="s">
        <v>5357</v>
      </c>
      <c r="C3824" t="s">
        <v>5358</v>
      </c>
      <c r="D3824" s="13">
        <f>_xll.EditDistance($C$3,C3824,2)</f>
        <v>20</v>
      </c>
      <c r="E3824" s="13"/>
    </row>
    <row r="3825" spans="2:5" x14ac:dyDescent="0.2">
      <c r="B3825" t="s">
        <v>5427</v>
      </c>
      <c r="C3825" t="s">
        <v>5428</v>
      </c>
      <c r="D3825" s="13">
        <f>_xll.EditDistance($C$3,C3825,2)</f>
        <v>10</v>
      </c>
      <c r="E3825" s="13"/>
    </row>
    <row r="3826" spans="2:5" x14ac:dyDescent="0.2">
      <c r="B3826" t="s">
        <v>5443</v>
      </c>
      <c r="C3826" t="s">
        <v>5444</v>
      </c>
      <c r="D3826" s="13">
        <f>_xll.EditDistance($C$3,C3826,2)</f>
        <v>10</v>
      </c>
      <c r="E3826" s="13"/>
    </row>
    <row r="3827" spans="2:5" x14ac:dyDescent="0.2">
      <c r="B3827" t="s">
        <v>5531</v>
      </c>
      <c r="C3827" t="s">
        <v>5532</v>
      </c>
      <c r="D3827" s="13">
        <f>_xll.EditDistance($C$3,C3827,2)</f>
        <v>10</v>
      </c>
      <c r="E3827" s="13"/>
    </row>
    <row r="3828" spans="2:5" x14ac:dyDescent="0.2">
      <c r="B3828" t="s">
        <v>5573</v>
      </c>
      <c r="C3828" t="s">
        <v>5574</v>
      </c>
      <c r="D3828" s="13">
        <f>_xll.EditDistance($C$3,C3828,2)</f>
        <v>10</v>
      </c>
      <c r="E3828" s="13"/>
    </row>
    <row r="3829" spans="2:5" x14ac:dyDescent="0.2">
      <c r="B3829" t="s">
        <v>5636</v>
      </c>
      <c r="C3829" t="s">
        <v>5637</v>
      </c>
      <c r="D3829" s="13">
        <f>_xll.EditDistance($C$3,C3829,2)</f>
        <v>10</v>
      </c>
      <c r="E3829" s="13"/>
    </row>
    <row r="3830" spans="2:5" x14ac:dyDescent="0.2">
      <c r="B3830" t="s">
        <v>5642</v>
      </c>
      <c r="C3830" t="s">
        <v>5643</v>
      </c>
      <c r="D3830" s="13">
        <f>_xll.EditDistance($C$3,C3830,2)</f>
        <v>10</v>
      </c>
      <c r="E3830" s="13"/>
    </row>
    <row r="3831" spans="2:5" x14ac:dyDescent="0.2">
      <c r="B3831" t="s">
        <v>5654</v>
      </c>
      <c r="C3831" t="s">
        <v>5655</v>
      </c>
      <c r="D3831" s="13">
        <f>_xll.EditDistance($C$3,C3831,2)</f>
        <v>10</v>
      </c>
      <c r="E3831" s="13"/>
    </row>
    <row r="3832" spans="2:5" x14ac:dyDescent="0.2">
      <c r="B3832" t="s">
        <v>5715</v>
      </c>
      <c r="C3832" t="s">
        <v>5716</v>
      </c>
      <c r="D3832" s="13">
        <f>_xll.EditDistance($C$3,C3832,2)</f>
        <v>10</v>
      </c>
      <c r="E3832" s="13"/>
    </row>
    <row r="3833" spans="2:5" x14ac:dyDescent="0.2">
      <c r="B3833" t="s">
        <v>5794</v>
      </c>
      <c r="C3833" t="s">
        <v>5795</v>
      </c>
      <c r="D3833" s="13">
        <f>_xll.EditDistance($C$3,C3833,2)</f>
        <v>10</v>
      </c>
      <c r="E3833" s="13"/>
    </row>
    <row r="3834" spans="2:5" x14ac:dyDescent="0.2">
      <c r="B3834" t="s">
        <v>5842</v>
      </c>
      <c r="C3834" t="s">
        <v>5843</v>
      </c>
      <c r="D3834" s="13">
        <f>_xll.EditDistance($C$3,C3834,2)</f>
        <v>10</v>
      </c>
      <c r="E3834" s="13"/>
    </row>
    <row r="3835" spans="2:5" x14ac:dyDescent="0.2">
      <c r="B3835" t="s">
        <v>5921</v>
      </c>
      <c r="C3835" t="s">
        <v>5922</v>
      </c>
      <c r="D3835" s="13">
        <f>_xll.EditDistance($C$3,C3835,2)</f>
        <v>10</v>
      </c>
      <c r="E3835" s="13"/>
    </row>
    <row r="3836" spans="2:5" x14ac:dyDescent="0.2">
      <c r="B3836" t="s">
        <v>5938</v>
      </c>
      <c r="C3836" t="s">
        <v>5939</v>
      </c>
      <c r="D3836" s="13">
        <f>_xll.EditDistance($C$3,C3836,2)</f>
        <v>10</v>
      </c>
      <c r="E3836" s="13"/>
    </row>
    <row r="3837" spans="2:5" x14ac:dyDescent="0.2">
      <c r="B3837" t="s">
        <v>6063</v>
      </c>
      <c r="C3837" t="s">
        <v>6064</v>
      </c>
      <c r="D3837" s="13">
        <f>_xll.EditDistance($C$3,C3837,2)</f>
        <v>10</v>
      </c>
      <c r="E3837" s="13"/>
    </row>
    <row r="3838" spans="2:5" x14ac:dyDescent="0.2">
      <c r="B3838" t="s">
        <v>6137</v>
      </c>
      <c r="C3838" t="s">
        <v>6138</v>
      </c>
      <c r="D3838" s="13">
        <f>_xll.EditDistance($C$3,C3838,2)</f>
        <v>10</v>
      </c>
      <c r="E3838" s="13"/>
    </row>
    <row r="3839" spans="2:5" x14ac:dyDescent="0.2">
      <c r="B3839" t="s">
        <v>6167</v>
      </c>
      <c r="C3839" t="s">
        <v>6168</v>
      </c>
      <c r="D3839" s="13">
        <f>_xll.EditDistance($C$3,C3839,2)</f>
        <v>20</v>
      </c>
      <c r="E3839" s="13"/>
    </row>
    <row r="3840" spans="2:5" x14ac:dyDescent="0.2">
      <c r="B3840" t="s">
        <v>6223</v>
      </c>
      <c r="C3840" t="s">
        <v>6224</v>
      </c>
      <c r="D3840" s="13">
        <f>_xll.EditDistance($C$3,C3840,2)</f>
        <v>10</v>
      </c>
      <c r="E3840" s="13"/>
    </row>
    <row r="3841" spans="2:5" x14ac:dyDescent="0.2">
      <c r="B3841" t="s">
        <v>6256</v>
      </c>
      <c r="C3841" t="s">
        <v>6257</v>
      </c>
      <c r="D3841" s="13">
        <f>_xll.EditDistance($C$3,C3841,2)</f>
        <v>10</v>
      </c>
      <c r="E3841" s="13"/>
    </row>
    <row r="3842" spans="2:5" x14ac:dyDescent="0.2">
      <c r="B3842" t="s">
        <v>6266</v>
      </c>
      <c r="C3842" t="s">
        <v>6267</v>
      </c>
      <c r="D3842" s="13">
        <f>_xll.EditDistance($C$3,C3842,2)</f>
        <v>10</v>
      </c>
      <c r="E3842" s="13"/>
    </row>
    <row r="3843" spans="2:5" x14ac:dyDescent="0.2">
      <c r="B3843" t="s">
        <v>6393</v>
      </c>
      <c r="C3843" t="s">
        <v>6394</v>
      </c>
      <c r="D3843" s="13">
        <f>_xll.EditDistance($C$3,C3843,2)</f>
        <v>10</v>
      </c>
      <c r="E3843" s="13"/>
    </row>
    <row r="3844" spans="2:5" x14ac:dyDescent="0.2">
      <c r="B3844" t="s">
        <v>6421</v>
      </c>
      <c r="C3844" t="s">
        <v>6422</v>
      </c>
      <c r="D3844" s="13">
        <f>_xll.EditDistance($C$3,C3844,2)</f>
        <v>10</v>
      </c>
      <c r="E3844" s="13"/>
    </row>
    <row r="3845" spans="2:5" x14ac:dyDescent="0.2">
      <c r="B3845" t="s">
        <v>6434</v>
      </c>
      <c r="C3845" t="s">
        <v>6435</v>
      </c>
      <c r="D3845" s="13">
        <f>_xll.EditDistance($C$3,C3845,2)</f>
        <v>10</v>
      </c>
      <c r="E3845" s="13"/>
    </row>
    <row r="3846" spans="2:5" x14ac:dyDescent="0.2">
      <c r="B3846" t="s">
        <v>6500</v>
      </c>
      <c r="C3846" t="s">
        <v>6501</v>
      </c>
      <c r="D3846" s="13">
        <f>_xll.EditDistance($C$3,C3846,2)</f>
        <v>20</v>
      </c>
      <c r="E3846" s="13"/>
    </row>
    <row r="3847" spans="2:5" x14ac:dyDescent="0.2">
      <c r="B3847" t="s">
        <v>6538</v>
      </c>
      <c r="C3847" t="s">
        <v>6539</v>
      </c>
      <c r="D3847" s="13">
        <f>_xll.EditDistance($C$3,C3847,2)</f>
        <v>10</v>
      </c>
      <c r="E3847" s="13"/>
    </row>
    <row r="3848" spans="2:5" x14ac:dyDescent="0.2">
      <c r="B3848" t="s">
        <v>6540</v>
      </c>
      <c r="C3848" t="s">
        <v>6541</v>
      </c>
      <c r="D3848" s="13">
        <f>_xll.EditDistance($C$3,C3848,2)</f>
        <v>10</v>
      </c>
      <c r="E3848" s="13"/>
    </row>
    <row r="3849" spans="2:5" x14ac:dyDescent="0.2">
      <c r="B3849" t="s">
        <v>7058</v>
      </c>
      <c r="C3849" t="s">
        <v>7059</v>
      </c>
      <c r="D3849" s="13">
        <f>_xll.EditDistance($C$3,C3849,2)</f>
        <v>10</v>
      </c>
      <c r="E3849" s="13"/>
    </row>
    <row r="3850" spans="2:5" x14ac:dyDescent="0.2">
      <c r="B3850" t="s">
        <v>7168</v>
      </c>
      <c r="C3850" t="s">
        <v>7169</v>
      </c>
      <c r="D3850" s="13">
        <f>_xll.EditDistance($C$3,C3850,2)</f>
        <v>10</v>
      </c>
      <c r="E3850" s="13"/>
    </row>
    <row r="3851" spans="2:5" x14ac:dyDescent="0.2">
      <c r="B3851" t="s">
        <v>7300</v>
      </c>
      <c r="C3851" t="s">
        <v>7301</v>
      </c>
      <c r="D3851" s="13">
        <f>_xll.EditDistance($C$3,C3851,2)</f>
        <v>10</v>
      </c>
      <c r="E3851" s="13"/>
    </row>
    <row r="3852" spans="2:5" x14ac:dyDescent="0.2">
      <c r="B3852" t="s">
        <v>7372</v>
      </c>
      <c r="C3852" t="s">
        <v>7373</v>
      </c>
      <c r="D3852" s="13">
        <f>_xll.EditDistance($C$3,C3852,2)</f>
        <v>10</v>
      </c>
      <c r="E3852" s="13"/>
    </row>
    <row r="3853" spans="2:5" x14ac:dyDescent="0.2">
      <c r="B3853" t="s">
        <v>7434</v>
      </c>
      <c r="C3853" t="s">
        <v>7435</v>
      </c>
      <c r="D3853" s="13">
        <f>_xll.EditDistance($C$3,C3853,2)</f>
        <v>10</v>
      </c>
      <c r="E3853" s="13"/>
    </row>
    <row r="3854" spans="2:5" x14ac:dyDescent="0.2">
      <c r="B3854" t="s">
        <v>7499</v>
      </c>
      <c r="C3854" t="s">
        <v>7500</v>
      </c>
      <c r="D3854" s="13">
        <f>_xll.EditDistance($C$3,C3854,2)</f>
        <v>10</v>
      </c>
      <c r="E3854" s="13"/>
    </row>
    <row r="3855" spans="2:5" x14ac:dyDescent="0.2">
      <c r="B3855" t="s">
        <v>7501</v>
      </c>
      <c r="C3855" t="s">
        <v>7502</v>
      </c>
      <c r="D3855" s="13">
        <f>_xll.EditDistance($C$3,C3855,2)</f>
        <v>10</v>
      </c>
      <c r="E3855" s="13"/>
    </row>
    <row r="3856" spans="2:5" x14ac:dyDescent="0.2">
      <c r="B3856" t="s">
        <v>7588</v>
      </c>
      <c r="C3856" t="s">
        <v>7589</v>
      </c>
      <c r="D3856" s="13">
        <f>_xll.EditDistance($C$3,C3856,2)</f>
        <v>10</v>
      </c>
      <c r="E3856" s="13"/>
    </row>
    <row r="3857" spans="2:5" x14ac:dyDescent="0.2">
      <c r="B3857" t="s">
        <v>7613</v>
      </c>
      <c r="C3857" t="s">
        <v>7614</v>
      </c>
      <c r="D3857" s="13">
        <f>_xll.EditDistance($C$3,C3857,2)</f>
        <v>20</v>
      </c>
      <c r="E3857" s="13"/>
    </row>
    <row r="3858" spans="2:5" x14ac:dyDescent="0.2">
      <c r="B3858" t="s">
        <v>7679</v>
      </c>
      <c r="C3858" t="s">
        <v>7680</v>
      </c>
      <c r="D3858" s="13">
        <f>_xll.EditDistance($C$3,C3858,2)</f>
        <v>10</v>
      </c>
      <c r="E3858" s="13"/>
    </row>
    <row r="3859" spans="2:5" x14ac:dyDescent="0.2">
      <c r="B3859" t="s">
        <v>7717</v>
      </c>
      <c r="C3859" t="s">
        <v>7719</v>
      </c>
      <c r="D3859" s="13">
        <f>_xll.EditDistance($C$3,C3859,2)</f>
        <v>10</v>
      </c>
      <c r="E3859" s="13"/>
    </row>
    <row r="3860" spans="2:5" x14ac:dyDescent="0.2">
      <c r="B3860" t="s">
        <v>7748</v>
      </c>
      <c r="C3860" t="s">
        <v>7749</v>
      </c>
      <c r="D3860" s="13">
        <f>_xll.EditDistance($C$3,C3860,2)</f>
        <v>10</v>
      </c>
      <c r="E3860" s="13"/>
    </row>
    <row r="3861" spans="2:5" x14ac:dyDescent="0.2">
      <c r="B3861" t="s">
        <v>7752</v>
      </c>
      <c r="C3861" t="s">
        <v>7753</v>
      </c>
      <c r="D3861" s="13">
        <f>_xll.EditDistance($C$3,C3861,2)</f>
        <v>10</v>
      </c>
      <c r="E3861" s="13"/>
    </row>
    <row r="3862" spans="2:5" x14ac:dyDescent="0.2">
      <c r="B3862" t="s">
        <v>7891</v>
      </c>
      <c r="C3862" t="s">
        <v>7892</v>
      </c>
      <c r="D3862" s="13">
        <f>_xll.EditDistance($C$3,C3862,2)</f>
        <v>10</v>
      </c>
      <c r="E3862" s="13"/>
    </row>
    <row r="3863" spans="2:5" x14ac:dyDescent="0.2">
      <c r="B3863" t="s">
        <v>7909</v>
      </c>
      <c r="C3863" t="s">
        <v>7910</v>
      </c>
      <c r="D3863" s="13">
        <f>_xll.EditDistance($C$3,C3863,2)</f>
        <v>10</v>
      </c>
      <c r="E3863" s="13"/>
    </row>
    <row r="3864" spans="2:5" x14ac:dyDescent="0.2">
      <c r="B3864" t="s">
        <v>7913</v>
      </c>
      <c r="C3864" t="s">
        <v>7914</v>
      </c>
      <c r="D3864" s="13">
        <f>_xll.EditDistance($C$3,C3864,2)</f>
        <v>10</v>
      </c>
      <c r="E3864" s="13"/>
    </row>
    <row r="3865" spans="2:5" x14ac:dyDescent="0.2">
      <c r="B3865" t="s">
        <v>8028</v>
      </c>
      <c r="C3865" t="s">
        <v>8029</v>
      </c>
      <c r="D3865" s="13">
        <f>_xll.EditDistance($C$3,C3865,2)</f>
        <v>20</v>
      </c>
      <c r="E3865" s="13"/>
    </row>
    <row r="3866" spans="2:5" x14ac:dyDescent="0.2">
      <c r="B3866" t="s">
        <v>8162</v>
      </c>
      <c r="C3866" t="s">
        <v>8163</v>
      </c>
      <c r="D3866" s="13">
        <f>_xll.EditDistance($C$3,C3866,2)</f>
        <v>10</v>
      </c>
      <c r="E3866" s="13"/>
    </row>
    <row r="3867" spans="2:5" x14ac:dyDescent="0.2">
      <c r="B3867" t="s">
        <v>8226</v>
      </c>
      <c r="C3867" t="s">
        <v>8228</v>
      </c>
      <c r="D3867" s="13">
        <f>_xll.EditDistance($C$3,C3867,2)</f>
        <v>10</v>
      </c>
      <c r="E3867" s="13"/>
    </row>
    <row r="3868" spans="2:5" x14ac:dyDescent="0.2">
      <c r="B3868" t="s">
        <v>8244</v>
      </c>
      <c r="C3868" t="s">
        <v>8245</v>
      </c>
      <c r="D3868" s="13">
        <f>_xll.EditDistance($C$3,C3868,2)</f>
        <v>10</v>
      </c>
      <c r="E3868" s="13"/>
    </row>
    <row r="3869" spans="2:5" x14ac:dyDescent="0.2">
      <c r="B3869" t="s">
        <v>8427</v>
      </c>
      <c r="C3869" t="s">
        <v>8428</v>
      </c>
      <c r="D3869" s="13">
        <f>_xll.EditDistance($C$3,C3869,2)</f>
        <v>10</v>
      </c>
      <c r="E3869" s="13"/>
    </row>
    <row r="3870" spans="2:5" x14ac:dyDescent="0.2">
      <c r="B3870" t="s">
        <v>8515</v>
      </c>
      <c r="C3870" t="s">
        <v>8516</v>
      </c>
      <c r="D3870" s="13">
        <f>_xll.EditDistance($C$3,C3870,2)</f>
        <v>10</v>
      </c>
      <c r="E3870" s="13"/>
    </row>
    <row r="3871" spans="2:5" x14ac:dyDescent="0.2">
      <c r="B3871" t="s">
        <v>8627</v>
      </c>
      <c r="C3871" t="s">
        <v>8628</v>
      </c>
      <c r="D3871" s="13">
        <f>_xll.EditDistance($C$3,C3871,2)</f>
        <v>10</v>
      </c>
      <c r="E3871" s="13"/>
    </row>
    <row r="3872" spans="2:5" x14ac:dyDescent="0.2">
      <c r="B3872" t="s">
        <v>257</v>
      </c>
      <c r="C3872" t="s">
        <v>258</v>
      </c>
      <c r="D3872" s="13">
        <f>_xll.EditDistance($C$3,C3872,2)</f>
        <v>10</v>
      </c>
      <c r="E3872" s="13"/>
    </row>
    <row r="3873" spans="2:5" x14ac:dyDescent="0.2">
      <c r="B3873" t="s">
        <v>924</v>
      </c>
      <c r="C3873" t="s">
        <v>925</v>
      </c>
      <c r="D3873" s="13">
        <f>_xll.EditDistance($C$3,C3873,2)</f>
        <v>20</v>
      </c>
      <c r="E3873" s="13"/>
    </row>
    <row r="3874" spans="2:5" x14ac:dyDescent="0.2">
      <c r="B3874" t="s">
        <v>1194</v>
      </c>
      <c r="C3874" t="s">
        <v>1195</v>
      </c>
      <c r="D3874" s="13">
        <f>_xll.EditDistance($C$3,C3874,2)</f>
        <v>10</v>
      </c>
      <c r="E3874" s="13"/>
    </row>
    <row r="3875" spans="2:5" x14ac:dyDescent="0.2">
      <c r="B3875" t="s">
        <v>2076</v>
      </c>
      <c r="C3875" t="s">
        <v>2077</v>
      </c>
      <c r="D3875" s="13">
        <f>_xll.EditDistance($C$3,C3875,2)</f>
        <v>10</v>
      </c>
      <c r="E3875" s="13"/>
    </row>
    <row r="3876" spans="2:5" x14ac:dyDescent="0.2">
      <c r="B3876" t="s">
        <v>2115</v>
      </c>
      <c r="C3876" t="s">
        <v>2116</v>
      </c>
      <c r="D3876" s="13">
        <f>_xll.EditDistance($C$3,C3876,2)</f>
        <v>10</v>
      </c>
      <c r="E3876" s="13"/>
    </row>
    <row r="3877" spans="2:5" x14ac:dyDescent="0.2">
      <c r="B3877" t="s">
        <v>2840</v>
      </c>
      <c r="C3877" t="s">
        <v>2841</v>
      </c>
      <c r="D3877" s="13">
        <f>_xll.EditDistance($C$3,C3877,2)</f>
        <v>10</v>
      </c>
      <c r="E3877" s="13"/>
    </row>
    <row r="3878" spans="2:5" x14ac:dyDescent="0.2">
      <c r="B3878" s="22" t="s">
        <v>3167</v>
      </c>
      <c r="C3878" t="s">
        <v>3168</v>
      </c>
      <c r="D3878" s="13">
        <f>_xll.EditDistance($C$3,C3878,2)</f>
        <v>10</v>
      </c>
      <c r="E3878" s="13"/>
    </row>
    <row r="3879" spans="2:5" x14ac:dyDescent="0.2">
      <c r="B3879" t="s">
        <v>3512</v>
      </c>
      <c r="C3879" t="s">
        <v>3513</v>
      </c>
      <c r="D3879" s="13">
        <f>_xll.EditDistance($C$3,C3879,2)</f>
        <v>10</v>
      </c>
      <c r="E3879" s="13"/>
    </row>
    <row r="3880" spans="2:5" x14ac:dyDescent="0.2">
      <c r="B3880" t="s">
        <v>3512</v>
      </c>
      <c r="C3880" t="s">
        <v>3514</v>
      </c>
      <c r="D3880" s="13">
        <f>_xll.EditDistance($C$3,C3880,2)</f>
        <v>10</v>
      </c>
      <c r="E3880" s="13"/>
    </row>
    <row r="3881" spans="2:5" x14ac:dyDescent="0.2">
      <c r="B3881" t="s">
        <v>5419</v>
      </c>
      <c r="C3881" t="s">
        <v>5420</v>
      </c>
      <c r="D3881" s="13">
        <f>_xll.EditDistance($C$3,C3881,2)</f>
        <v>10</v>
      </c>
      <c r="E3881" s="13"/>
    </row>
    <row r="3882" spans="2:5" x14ac:dyDescent="0.2">
      <c r="B3882" t="s">
        <v>5577</v>
      </c>
      <c r="C3882" t="s">
        <v>5578</v>
      </c>
      <c r="D3882" s="13">
        <f>_xll.EditDistance($C$3,C3882,2)</f>
        <v>10</v>
      </c>
      <c r="E3882" s="13"/>
    </row>
    <row r="3883" spans="2:5" x14ac:dyDescent="0.2">
      <c r="B3883" t="s">
        <v>6051</v>
      </c>
      <c r="C3883" t="s">
        <v>6052</v>
      </c>
      <c r="D3883" s="13">
        <f>_xll.EditDistance($C$3,C3883,2)</f>
        <v>10</v>
      </c>
      <c r="E3883" s="13"/>
    </row>
    <row r="3884" spans="2:5" x14ac:dyDescent="0.2">
      <c r="B3884" t="s">
        <v>6216</v>
      </c>
      <c r="C3884" t="s">
        <v>6217</v>
      </c>
      <c r="D3884" s="13">
        <f>_xll.EditDistance($C$3,C3884,2)</f>
        <v>10</v>
      </c>
      <c r="E3884" s="13"/>
    </row>
    <row r="3885" spans="2:5" x14ac:dyDescent="0.2">
      <c r="B3885" t="s">
        <v>7184</v>
      </c>
      <c r="C3885" t="s">
        <v>7185</v>
      </c>
      <c r="D3885" s="13">
        <f>_xll.EditDistance($C$3,C3885,2)</f>
        <v>10</v>
      </c>
      <c r="E3885" s="13"/>
    </row>
    <row r="3886" spans="2:5" x14ac:dyDescent="0.2">
      <c r="B3886" t="s">
        <v>7600</v>
      </c>
      <c r="C3886" t="s">
        <v>7602</v>
      </c>
      <c r="D3886" s="13">
        <f>_xll.EditDistance($C$3,C3886,2)</f>
        <v>20</v>
      </c>
      <c r="E3886" s="13"/>
    </row>
    <row r="3887" spans="2:5" x14ac:dyDescent="0.2">
      <c r="B3887" t="s">
        <v>623</v>
      </c>
      <c r="C3887" t="s">
        <v>625</v>
      </c>
      <c r="D3887" s="13">
        <f>_xll.EditDistance($C$3,C3887,2)</f>
        <v>10</v>
      </c>
      <c r="E3887" s="13"/>
    </row>
    <row r="3888" spans="2:5" x14ac:dyDescent="0.2">
      <c r="B3888" t="s">
        <v>1072</v>
      </c>
      <c r="C3888" t="s">
        <v>1073</v>
      </c>
      <c r="D3888" s="13">
        <f>_xll.EditDistance($C$3,C3888,2)</f>
        <v>10</v>
      </c>
      <c r="E3888" s="13"/>
    </row>
    <row r="3889" spans="2:5" x14ac:dyDescent="0.2">
      <c r="B3889" t="s">
        <v>2179</v>
      </c>
      <c r="C3889" t="s">
        <v>2180</v>
      </c>
      <c r="D3889" s="13">
        <f>_xll.EditDistance($C$3,C3889,2)</f>
        <v>10</v>
      </c>
      <c r="E3889" s="13"/>
    </row>
    <row r="3890" spans="2:5" x14ac:dyDescent="0.2">
      <c r="B3890" t="s">
        <v>2179</v>
      </c>
      <c r="C3890" t="s">
        <v>2181</v>
      </c>
      <c r="D3890" s="13">
        <f>_xll.EditDistance($C$3,C3890,2)</f>
        <v>10</v>
      </c>
      <c r="E3890" s="13"/>
    </row>
    <row r="3891" spans="2:5" x14ac:dyDescent="0.2">
      <c r="B3891" t="s">
        <v>3512</v>
      </c>
      <c r="C3891" t="s">
        <v>3515</v>
      </c>
      <c r="D3891" s="13">
        <f>_xll.EditDistance($C$3,C3891,2)</f>
        <v>10</v>
      </c>
      <c r="E3891" s="13"/>
    </row>
    <row r="3892" spans="2:5" x14ac:dyDescent="0.2">
      <c r="B3892" t="s">
        <v>4976</v>
      </c>
      <c r="C3892" t="s">
        <v>4977</v>
      </c>
      <c r="D3892" s="13">
        <f>_xll.EditDistance($C$3,C3892,2)</f>
        <v>20</v>
      </c>
      <c r="E3892" s="13"/>
    </row>
    <row r="3893" spans="2:5" x14ac:dyDescent="0.2">
      <c r="B3893" t="s">
        <v>6640</v>
      </c>
      <c r="C3893" t="s">
        <v>6641</v>
      </c>
      <c r="D3893" s="13">
        <f>_xll.EditDistance($C$3,C3893,2)</f>
        <v>10</v>
      </c>
      <c r="E3893" s="13"/>
    </row>
    <row r="3894" spans="2:5" x14ac:dyDescent="0.2">
      <c r="B3894" t="s">
        <v>6930</v>
      </c>
      <c r="C3894" t="s">
        <v>6931</v>
      </c>
      <c r="D3894" s="13">
        <f>_xll.EditDistance($C$3,C3894,2)</f>
        <v>20</v>
      </c>
      <c r="E3894" s="13"/>
    </row>
    <row r="3895" spans="2:5" x14ac:dyDescent="0.2">
      <c r="B3895" t="s">
        <v>8441</v>
      </c>
      <c r="C3895" t="s">
        <v>8442</v>
      </c>
      <c r="D3895" s="13">
        <f>_xll.EditDistance($C$3,C3895,2)</f>
        <v>10</v>
      </c>
      <c r="E3895" s="13"/>
    </row>
    <row r="3896" spans="2:5" x14ac:dyDescent="0.2">
      <c r="B3896" t="s">
        <v>110</v>
      </c>
      <c r="C3896" t="s">
        <v>111</v>
      </c>
      <c r="D3896" s="13">
        <f>_xll.EditDistance($C$3,C3896,2)</f>
        <v>10</v>
      </c>
      <c r="E3896" s="13"/>
    </row>
    <row r="3897" spans="2:5" x14ac:dyDescent="0.2">
      <c r="B3897" t="s">
        <v>113</v>
      </c>
      <c r="C3897" t="s">
        <v>111</v>
      </c>
      <c r="D3897" s="13">
        <f>_xll.EditDistance($C$3,C3897,2)</f>
        <v>10</v>
      </c>
      <c r="E3897" s="13"/>
    </row>
    <row r="3898" spans="2:5" x14ac:dyDescent="0.2">
      <c r="B3898" t="s">
        <v>355</v>
      </c>
      <c r="C3898" t="s">
        <v>356</v>
      </c>
      <c r="D3898" s="13">
        <f>_xll.EditDistance($C$3,C3898,2)</f>
        <v>10</v>
      </c>
      <c r="E3898" s="13"/>
    </row>
    <row r="3899" spans="2:5" x14ac:dyDescent="0.2">
      <c r="B3899" t="s">
        <v>889</v>
      </c>
      <c r="C3899" t="s">
        <v>890</v>
      </c>
      <c r="D3899" s="13">
        <f>_xll.EditDistance($C$3,C3899,2)</f>
        <v>10</v>
      </c>
      <c r="E3899" s="13"/>
    </row>
    <row r="3900" spans="2:5" x14ac:dyDescent="0.2">
      <c r="B3900" t="s">
        <v>1484</v>
      </c>
      <c r="C3900" t="s">
        <v>1485</v>
      </c>
      <c r="D3900" s="13">
        <f>_xll.EditDistance($C$3,C3900,2)</f>
        <v>10</v>
      </c>
      <c r="E3900" s="13"/>
    </row>
    <row r="3901" spans="2:5" x14ac:dyDescent="0.2">
      <c r="B3901" t="s">
        <v>2129</v>
      </c>
      <c r="C3901" t="s">
        <v>2130</v>
      </c>
      <c r="D3901" s="13">
        <f>_xll.EditDistance($C$3,C3901,2)</f>
        <v>10</v>
      </c>
      <c r="E3901" s="13"/>
    </row>
    <row r="3902" spans="2:5" x14ac:dyDescent="0.2">
      <c r="B3902" t="s">
        <v>2177</v>
      </c>
      <c r="C3902" t="s">
        <v>2178</v>
      </c>
      <c r="D3902" s="13">
        <f>_xll.EditDistance($C$3,C3902,2)</f>
        <v>10</v>
      </c>
      <c r="E3902" s="13"/>
    </row>
    <row r="3903" spans="2:5" x14ac:dyDescent="0.2">
      <c r="B3903" t="s">
        <v>2326</v>
      </c>
      <c r="C3903" t="s">
        <v>2327</v>
      </c>
      <c r="D3903" s="13">
        <f>_xll.EditDistance($C$3,C3903,2)</f>
        <v>10</v>
      </c>
      <c r="E3903" s="13"/>
    </row>
    <row r="3904" spans="2:5" x14ac:dyDescent="0.2">
      <c r="B3904" t="s">
        <v>2418</v>
      </c>
      <c r="C3904" t="s">
        <v>2419</v>
      </c>
      <c r="D3904" s="13">
        <f>_xll.EditDistance($C$3,C3904,2)</f>
        <v>10</v>
      </c>
      <c r="E3904" s="13"/>
    </row>
    <row r="3905" spans="2:5" x14ac:dyDescent="0.2">
      <c r="B3905" t="s">
        <v>2432</v>
      </c>
      <c r="C3905" t="s">
        <v>2433</v>
      </c>
      <c r="D3905" s="13">
        <f>_xll.EditDistance($C$3,C3905,2)</f>
        <v>10</v>
      </c>
      <c r="E3905" s="13"/>
    </row>
    <row r="3906" spans="2:5" x14ac:dyDescent="0.2">
      <c r="B3906" t="s">
        <v>2584</v>
      </c>
      <c r="C3906" t="s">
        <v>2585</v>
      </c>
      <c r="D3906" s="13">
        <f>_xll.EditDistance($C$3,C3906,2)</f>
        <v>10</v>
      </c>
      <c r="E3906" s="13"/>
    </row>
    <row r="3907" spans="2:5" x14ac:dyDescent="0.2">
      <c r="B3907" t="s">
        <v>2688</v>
      </c>
      <c r="C3907" t="s">
        <v>2690</v>
      </c>
      <c r="D3907" s="13">
        <f>_xll.EditDistance($C$3,C3907,2)</f>
        <v>20</v>
      </c>
      <c r="E3907" s="13"/>
    </row>
    <row r="3908" spans="2:5" x14ac:dyDescent="0.2">
      <c r="B3908" t="s">
        <v>2772</v>
      </c>
      <c r="C3908" t="s">
        <v>2773</v>
      </c>
      <c r="D3908" s="13">
        <f>_xll.EditDistance($C$3,C3908,2)</f>
        <v>10</v>
      </c>
      <c r="E3908" s="13"/>
    </row>
    <row r="3909" spans="2:5" x14ac:dyDescent="0.2">
      <c r="B3909" s="22" t="s">
        <v>2832</v>
      </c>
      <c r="C3909" t="s">
        <v>2833</v>
      </c>
      <c r="D3909" s="13">
        <f>_xll.EditDistance($C$3,C3909,2)</f>
        <v>10</v>
      </c>
      <c r="E3909" s="13"/>
    </row>
    <row r="3910" spans="2:5" x14ac:dyDescent="0.2">
      <c r="B3910" t="s">
        <v>3577</v>
      </c>
      <c r="C3910" t="s">
        <v>3578</v>
      </c>
      <c r="D3910" s="13">
        <f>_xll.EditDistance($C$3,C3910,2)</f>
        <v>10</v>
      </c>
      <c r="E3910" s="13"/>
    </row>
    <row r="3911" spans="2:5" x14ac:dyDescent="0.2">
      <c r="B3911" t="s">
        <v>3669</v>
      </c>
      <c r="C3911" t="s">
        <v>3670</v>
      </c>
      <c r="D3911" s="13">
        <f>_xll.EditDistance($C$3,C3911,2)</f>
        <v>10</v>
      </c>
      <c r="E3911" s="13"/>
    </row>
    <row r="3912" spans="2:5" x14ac:dyDescent="0.2">
      <c r="B3912" t="s">
        <v>3916</v>
      </c>
      <c r="C3912" t="s">
        <v>3917</v>
      </c>
      <c r="D3912" s="13">
        <f>_xll.EditDistance($C$3,C3912,2)</f>
        <v>10</v>
      </c>
      <c r="E3912" s="13"/>
    </row>
    <row r="3913" spans="2:5" x14ac:dyDescent="0.2">
      <c r="B3913" t="s">
        <v>4221</v>
      </c>
      <c r="C3913" t="s">
        <v>4222</v>
      </c>
      <c r="D3913" s="13">
        <f>_xll.EditDistance($C$3,C3913,2)</f>
        <v>10</v>
      </c>
      <c r="E3913" s="13"/>
    </row>
    <row r="3914" spans="2:5" x14ac:dyDescent="0.2">
      <c r="B3914" s="22" t="s">
        <v>4426</v>
      </c>
      <c r="C3914" t="s">
        <v>4428</v>
      </c>
      <c r="D3914" s="13">
        <f>_xll.EditDistance($C$3,C3914,2)</f>
        <v>20</v>
      </c>
      <c r="E3914" s="13"/>
    </row>
    <row r="3915" spans="2:5" x14ac:dyDescent="0.2">
      <c r="B3915" t="s">
        <v>4784</v>
      </c>
      <c r="C3915" t="s">
        <v>4785</v>
      </c>
      <c r="D3915" s="13">
        <f>_xll.EditDistance($C$3,C3915,2)</f>
        <v>10</v>
      </c>
      <c r="E3915" s="13"/>
    </row>
    <row r="3916" spans="2:5" x14ac:dyDescent="0.2">
      <c r="B3916" t="s">
        <v>4794</v>
      </c>
      <c r="C3916" t="s">
        <v>4795</v>
      </c>
      <c r="D3916" s="13">
        <f>_xll.EditDistance($C$3,C3916,2)</f>
        <v>10</v>
      </c>
      <c r="E3916" s="13"/>
    </row>
    <row r="3917" spans="2:5" x14ac:dyDescent="0.2">
      <c r="B3917" t="s">
        <v>5558</v>
      </c>
      <c r="C3917" t="s">
        <v>5560</v>
      </c>
      <c r="D3917" s="13">
        <f>_xll.EditDistance($C$3,C3917,2)</f>
        <v>10</v>
      </c>
      <c r="E3917" s="13"/>
    </row>
    <row r="3918" spans="2:5" x14ac:dyDescent="0.2">
      <c r="B3918" t="s">
        <v>5787</v>
      </c>
      <c r="C3918" t="s">
        <v>5789</v>
      </c>
      <c r="D3918" s="13">
        <f>_xll.EditDistance($C$3,C3918,2)</f>
        <v>20</v>
      </c>
      <c r="E3918" s="13"/>
    </row>
    <row r="3919" spans="2:5" x14ac:dyDescent="0.2">
      <c r="B3919" t="s">
        <v>5804</v>
      </c>
      <c r="C3919" t="s">
        <v>5805</v>
      </c>
      <c r="D3919" s="13">
        <f>_xll.EditDistance($C$3,C3919,2)</f>
        <v>10</v>
      </c>
      <c r="E3919" s="13"/>
    </row>
    <row r="3920" spans="2:5" x14ac:dyDescent="0.2">
      <c r="B3920" t="s">
        <v>5885</v>
      </c>
      <c r="C3920" t="s">
        <v>5886</v>
      </c>
      <c r="D3920" s="13">
        <f>_xll.EditDistance($C$3,C3920,2)</f>
        <v>10</v>
      </c>
      <c r="E3920" s="13"/>
    </row>
    <row r="3921" spans="2:5" x14ac:dyDescent="0.2">
      <c r="B3921" t="s">
        <v>5967</v>
      </c>
      <c r="C3921" t="s">
        <v>5968</v>
      </c>
      <c r="D3921" s="13">
        <f>_xll.EditDistance($C$3,C3921,2)</f>
        <v>10</v>
      </c>
      <c r="E3921" s="13"/>
    </row>
    <row r="3922" spans="2:5" x14ac:dyDescent="0.2">
      <c r="B3922" t="s">
        <v>5994</v>
      </c>
      <c r="C3922" t="s">
        <v>5995</v>
      </c>
      <c r="D3922" s="13">
        <f>_xll.EditDistance($C$3,C3922,2)</f>
        <v>10</v>
      </c>
      <c r="E3922" s="13"/>
    </row>
    <row r="3923" spans="2:5" x14ac:dyDescent="0.2">
      <c r="B3923" t="s">
        <v>6143</v>
      </c>
      <c r="C3923" t="s">
        <v>6144</v>
      </c>
      <c r="D3923" s="13">
        <f>_xll.EditDistance($C$3,C3923,2)</f>
        <v>10</v>
      </c>
      <c r="E3923" s="13"/>
    </row>
    <row r="3924" spans="2:5" x14ac:dyDescent="0.2">
      <c r="B3924" t="s">
        <v>6330</v>
      </c>
      <c r="C3924" t="s">
        <v>6331</v>
      </c>
      <c r="D3924" s="13">
        <f>_xll.EditDistance($C$3,C3924,2)</f>
        <v>10</v>
      </c>
      <c r="E3924" s="13"/>
    </row>
    <row r="3925" spans="2:5" x14ac:dyDescent="0.2">
      <c r="B3925" t="s">
        <v>6597</v>
      </c>
      <c r="C3925" t="s">
        <v>6598</v>
      </c>
      <c r="D3925" s="13">
        <f>_xll.EditDistance($C$3,C3925,2)</f>
        <v>10</v>
      </c>
      <c r="E3925" s="13"/>
    </row>
    <row r="3926" spans="2:5" x14ac:dyDescent="0.2">
      <c r="B3926" t="s">
        <v>7002</v>
      </c>
      <c r="C3926" t="s">
        <v>7003</v>
      </c>
      <c r="D3926" s="13">
        <f>_xll.EditDistance($C$3,C3926,2)</f>
        <v>10</v>
      </c>
      <c r="E3926" s="13"/>
    </row>
    <row r="3927" spans="2:5" x14ac:dyDescent="0.2">
      <c r="B3927" t="s">
        <v>7248</v>
      </c>
      <c r="C3927" t="s">
        <v>7249</v>
      </c>
      <c r="D3927" s="13">
        <f>_xll.EditDistance($C$3,C3927,2)</f>
        <v>10</v>
      </c>
      <c r="E3927" s="13"/>
    </row>
    <row r="3928" spans="2:5" x14ac:dyDescent="0.2">
      <c r="B3928" t="s">
        <v>7459</v>
      </c>
      <c r="C3928" t="s">
        <v>7460</v>
      </c>
      <c r="D3928" s="13">
        <f>_xll.EditDistance($C$3,C3928,2)</f>
        <v>10</v>
      </c>
      <c r="E3928" s="13"/>
    </row>
    <row r="3929" spans="2:5" x14ac:dyDescent="0.2">
      <c r="B3929" t="s">
        <v>7952</v>
      </c>
      <c r="C3929" t="s">
        <v>7953</v>
      </c>
      <c r="D3929" s="13">
        <f>_xll.EditDistance($C$3,C3929,2)</f>
        <v>10</v>
      </c>
      <c r="E3929" s="13"/>
    </row>
    <row r="3930" spans="2:5" x14ac:dyDescent="0.2">
      <c r="B3930" t="s">
        <v>198</v>
      </c>
      <c r="C3930" t="s">
        <v>199</v>
      </c>
      <c r="D3930" s="13">
        <f>_xll.EditDistance($C$3,C3930,2)</f>
        <v>10</v>
      </c>
      <c r="E3930" s="13"/>
    </row>
    <row r="3931" spans="2:5" x14ac:dyDescent="0.2">
      <c r="B3931" t="s">
        <v>2963</v>
      </c>
      <c r="C3931" t="s">
        <v>2964</v>
      </c>
      <c r="D3931" s="13">
        <f>_xll.EditDistance($C$3,C3931,2)</f>
        <v>10</v>
      </c>
      <c r="E3931" s="13"/>
    </row>
    <row r="3932" spans="2:5" x14ac:dyDescent="0.2">
      <c r="B3932" t="s">
        <v>3249</v>
      </c>
      <c r="C3932" t="s">
        <v>3250</v>
      </c>
      <c r="D3932" s="13">
        <f>_xll.EditDistance($C$3,C3932,2)</f>
        <v>10</v>
      </c>
      <c r="E3932" s="13"/>
    </row>
    <row r="3933" spans="2:5" x14ac:dyDescent="0.2">
      <c r="B3933" t="s">
        <v>3622</v>
      </c>
      <c r="C3933" t="s">
        <v>3623</v>
      </c>
      <c r="D3933" s="13">
        <f>_xll.EditDistance($C$3,C3933,2)</f>
        <v>20</v>
      </c>
      <c r="E3933" s="13"/>
    </row>
    <row r="3934" spans="2:5" x14ac:dyDescent="0.2">
      <c r="B3934" t="s">
        <v>3665</v>
      </c>
      <c r="C3934" t="s">
        <v>3666</v>
      </c>
      <c r="D3934" s="13">
        <f>_xll.EditDistance($C$3,C3934,2)</f>
        <v>10</v>
      </c>
      <c r="E3934" s="13"/>
    </row>
    <row r="3935" spans="2:5" x14ac:dyDescent="0.2">
      <c r="B3935" t="s">
        <v>3871</v>
      </c>
      <c r="C3935" t="s">
        <v>3872</v>
      </c>
      <c r="D3935" s="13">
        <f>_xll.EditDistance($C$3,C3935,2)</f>
        <v>10</v>
      </c>
      <c r="E3935" s="13"/>
    </row>
    <row r="3936" spans="2:5" x14ac:dyDescent="0.2">
      <c r="B3936" t="s">
        <v>3977</v>
      </c>
      <c r="C3936" t="s">
        <v>3978</v>
      </c>
      <c r="D3936" s="13">
        <f>_xll.EditDistance($C$3,C3936,2)</f>
        <v>10</v>
      </c>
      <c r="E3936" s="13"/>
    </row>
    <row r="3937" spans="2:5" x14ac:dyDescent="0.2">
      <c r="B3937" t="s">
        <v>157</v>
      </c>
      <c r="C3937" t="s">
        <v>158</v>
      </c>
      <c r="D3937" s="13">
        <f>_xll.EditDistance($C$3,C3937,2)</f>
        <v>10</v>
      </c>
      <c r="E3937" s="13"/>
    </row>
    <row r="3938" spans="2:5" x14ac:dyDescent="0.2">
      <c r="B3938" t="s">
        <v>305</v>
      </c>
      <c r="C3938" t="s">
        <v>306</v>
      </c>
      <c r="D3938" s="13">
        <f>_xll.EditDistance($C$3,C3938,2)</f>
        <v>20</v>
      </c>
      <c r="E3938" s="13"/>
    </row>
    <row r="3939" spans="2:5" x14ac:dyDescent="0.2">
      <c r="B3939" t="s">
        <v>1548</v>
      </c>
      <c r="C3939" t="s">
        <v>1549</v>
      </c>
      <c r="D3939" s="13">
        <f>_xll.EditDistance($C$3,C3939,2)</f>
        <v>10</v>
      </c>
      <c r="E3939" s="13"/>
    </row>
    <row r="3940" spans="2:5" x14ac:dyDescent="0.2">
      <c r="B3940" s="22" t="s">
        <v>4426</v>
      </c>
      <c r="C3940" t="s">
        <v>4427</v>
      </c>
      <c r="D3940" s="13">
        <f>_xll.EditDistance($C$3,C3940,2)</f>
        <v>20</v>
      </c>
      <c r="E3940" s="13"/>
    </row>
    <row r="3941" spans="2:5" x14ac:dyDescent="0.2">
      <c r="B3941" t="s">
        <v>4790</v>
      </c>
      <c r="C3941" t="s">
        <v>4791</v>
      </c>
      <c r="D3941" s="13">
        <f>_xll.EditDistance($C$3,C3941,2)</f>
        <v>20</v>
      </c>
      <c r="E3941" s="13"/>
    </row>
    <row r="3942" spans="2:5" x14ac:dyDescent="0.2">
      <c r="B3942" t="s">
        <v>5047</v>
      </c>
      <c r="C3942" t="s">
        <v>5048</v>
      </c>
      <c r="D3942" s="13">
        <f>_xll.EditDistance($C$3,C3942,2)</f>
        <v>20</v>
      </c>
      <c r="E3942" s="13"/>
    </row>
    <row r="3943" spans="2:5" x14ac:dyDescent="0.2">
      <c r="B3943" t="s">
        <v>5413</v>
      </c>
      <c r="C3943" t="s">
        <v>5414</v>
      </c>
      <c r="D3943" s="13">
        <f>_xll.EditDistance($C$3,C3943,2)</f>
        <v>20</v>
      </c>
      <c r="E3943" s="13"/>
    </row>
    <row r="3944" spans="2:5" x14ac:dyDescent="0.2">
      <c r="B3944" t="s">
        <v>6681</v>
      </c>
      <c r="C3944" t="s">
        <v>6682</v>
      </c>
      <c r="D3944" s="13">
        <f>_xll.EditDistance($C$3,C3944,2)</f>
        <v>20</v>
      </c>
      <c r="E3944" s="13"/>
    </row>
    <row r="3945" spans="2:5" x14ac:dyDescent="0.2">
      <c r="B3945" t="s">
        <v>1176</v>
      </c>
      <c r="C3945" t="s">
        <v>1177</v>
      </c>
      <c r="D3945" s="13">
        <f>_xll.EditDistance($C$3,C3945,2)</f>
        <v>10</v>
      </c>
      <c r="E3945" s="13"/>
    </row>
    <row r="3946" spans="2:5" x14ac:dyDescent="0.2">
      <c r="B3946" t="s">
        <v>4103</v>
      </c>
      <c r="C3946" t="s">
        <v>4104</v>
      </c>
      <c r="D3946" s="13">
        <f>_xll.EditDistance($C$3,C3946,2)</f>
        <v>10</v>
      </c>
      <c r="E3946" s="13"/>
    </row>
    <row r="3947" spans="2:5" x14ac:dyDescent="0.2">
      <c r="B3947" t="s">
        <v>4103</v>
      </c>
      <c r="C3947" t="s">
        <v>4105</v>
      </c>
      <c r="D3947" s="13">
        <f>_xll.EditDistance($C$3,C3947,2)</f>
        <v>10</v>
      </c>
      <c r="E3947" s="13"/>
    </row>
    <row r="3948" spans="2:5" x14ac:dyDescent="0.2">
      <c r="B3948" t="s">
        <v>4116</v>
      </c>
      <c r="C3948" t="s">
        <v>4117</v>
      </c>
      <c r="D3948" s="13">
        <f>_xll.EditDistance($C$3,C3948,2)</f>
        <v>20</v>
      </c>
      <c r="E3948" s="13"/>
    </row>
    <row r="3949" spans="2:5" x14ac:dyDescent="0.2">
      <c r="B3949" t="s">
        <v>4379</v>
      </c>
      <c r="C3949" t="s">
        <v>4380</v>
      </c>
      <c r="D3949" s="13">
        <f>_xll.EditDistance($C$3,C3949,2)</f>
        <v>10</v>
      </c>
      <c r="E3949" s="13"/>
    </row>
    <row r="3950" spans="2:5" x14ac:dyDescent="0.2">
      <c r="B3950" t="s">
        <v>6824</v>
      </c>
      <c r="C3950" t="s">
        <v>6826</v>
      </c>
      <c r="D3950" s="13">
        <f>_xll.EditDistance($C$3,C3950,2)</f>
        <v>10</v>
      </c>
      <c r="E3950" s="13"/>
    </row>
    <row r="3951" spans="2:5" x14ac:dyDescent="0.2">
      <c r="B3951" t="s">
        <v>7228</v>
      </c>
      <c r="C3951" t="s">
        <v>7229</v>
      </c>
      <c r="D3951" s="13">
        <f>_xll.EditDistance($C$3,C3951,2)</f>
        <v>10</v>
      </c>
      <c r="E3951" s="13"/>
    </row>
    <row r="3952" spans="2:5" x14ac:dyDescent="0.2">
      <c r="B3952" t="s">
        <v>7348</v>
      </c>
      <c r="C3952" t="s">
        <v>7349</v>
      </c>
      <c r="D3952" s="13">
        <f>_xll.EditDistance($C$3,C3952,2)</f>
        <v>10</v>
      </c>
      <c r="E3952" s="13"/>
    </row>
    <row r="3953" spans="2:5" x14ac:dyDescent="0.2">
      <c r="B3953" t="s">
        <v>7541</v>
      </c>
      <c r="C3953" t="s">
        <v>7542</v>
      </c>
      <c r="D3953" s="13">
        <f>_xll.EditDistance($C$3,C3953,2)</f>
        <v>10</v>
      </c>
      <c r="E3953" s="13"/>
    </row>
    <row r="3954" spans="2:5" x14ac:dyDescent="0.2">
      <c r="B3954" t="s">
        <v>8308</v>
      </c>
      <c r="C3954" t="s">
        <v>8309</v>
      </c>
      <c r="D3954" s="13">
        <f>_xll.EditDistance($C$3,C3954,2)</f>
        <v>10</v>
      </c>
      <c r="E3954" s="13"/>
    </row>
    <row r="3955" spans="2:5" x14ac:dyDescent="0.2">
      <c r="B3955" t="s">
        <v>8355</v>
      </c>
      <c r="C3955" t="s">
        <v>8356</v>
      </c>
      <c r="D3955" s="13">
        <f>_xll.EditDistance($C$3,C3955,2)</f>
        <v>10</v>
      </c>
      <c r="E3955" s="13"/>
    </row>
    <row r="3956" spans="2:5" x14ac:dyDescent="0.2">
      <c r="B3956" t="s">
        <v>615</v>
      </c>
      <c r="C3956" t="s">
        <v>616</v>
      </c>
      <c r="D3956" s="13">
        <f>_xll.EditDistance($C$3,C3956,2)</f>
        <v>10</v>
      </c>
      <c r="E3956" s="13"/>
    </row>
    <row r="3957" spans="2:5" x14ac:dyDescent="0.2">
      <c r="B3957" t="s">
        <v>662</v>
      </c>
      <c r="C3957" t="s">
        <v>663</v>
      </c>
      <c r="D3957" s="13">
        <f>_xll.EditDistance($C$3,C3957,2)</f>
        <v>10</v>
      </c>
      <c r="E3957" s="13"/>
    </row>
    <row r="3958" spans="2:5" x14ac:dyDescent="0.2">
      <c r="B3958" t="s">
        <v>674</v>
      </c>
      <c r="C3958" t="s">
        <v>676</v>
      </c>
      <c r="D3958" s="13">
        <f>_xll.EditDistance($C$3,C3958,2)</f>
        <v>10</v>
      </c>
      <c r="E3958" s="13"/>
    </row>
    <row r="3959" spans="2:5" x14ac:dyDescent="0.2">
      <c r="B3959" t="s">
        <v>800</v>
      </c>
      <c r="C3959" t="s">
        <v>801</v>
      </c>
      <c r="D3959" s="13">
        <f>_xll.EditDistance($C$3,C3959,2)</f>
        <v>10</v>
      </c>
      <c r="E3959" s="13"/>
    </row>
    <row r="3960" spans="2:5" x14ac:dyDescent="0.2">
      <c r="B3960" t="s">
        <v>982</v>
      </c>
      <c r="C3960" t="s">
        <v>983</v>
      </c>
      <c r="D3960" s="13">
        <f>_xll.EditDistance($C$3,C3960,2)</f>
        <v>10</v>
      </c>
      <c r="E3960" s="13"/>
    </row>
    <row r="3961" spans="2:5" x14ac:dyDescent="0.2">
      <c r="B3961" t="s">
        <v>1052</v>
      </c>
      <c r="C3961" t="s">
        <v>1053</v>
      </c>
      <c r="D3961" s="13">
        <f>_xll.EditDistance($C$3,C3961,2)</f>
        <v>10</v>
      </c>
      <c r="E3961" s="13"/>
    </row>
    <row r="3962" spans="2:5" x14ac:dyDescent="0.2">
      <c r="B3962" t="s">
        <v>1302</v>
      </c>
      <c r="C3962" t="s">
        <v>1303</v>
      </c>
      <c r="D3962" s="13">
        <f>_xll.EditDistance($C$3,C3962,2)</f>
        <v>10</v>
      </c>
      <c r="E3962" s="13"/>
    </row>
    <row r="3963" spans="2:5" x14ac:dyDescent="0.2">
      <c r="B3963" t="s">
        <v>1616</v>
      </c>
      <c r="C3963" t="s">
        <v>1617</v>
      </c>
      <c r="D3963" s="13">
        <f>_xll.EditDistance($C$3,C3963,2)</f>
        <v>10</v>
      </c>
      <c r="E3963" s="13"/>
    </row>
    <row r="3964" spans="2:5" x14ac:dyDescent="0.2">
      <c r="B3964" t="s">
        <v>1622</v>
      </c>
      <c r="C3964" t="s">
        <v>1623</v>
      </c>
      <c r="D3964" s="13">
        <f>_xll.EditDistance($C$3,C3964,2)</f>
        <v>10</v>
      </c>
      <c r="E3964" s="13"/>
    </row>
    <row r="3965" spans="2:5" x14ac:dyDescent="0.2">
      <c r="B3965" t="s">
        <v>1689</v>
      </c>
      <c r="C3965" t="s">
        <v>1690</v>
      </c>
      <c r="D3965" s="13">
        <f>_xll.EditDistance($C$3,C3965,2)</f>
        <v>10</v>
      </c>
      <c r="E3965" s="13"/>
    </row>
    <row r="3966" spans="2:5" x14ac:dyDescent="0.2">
      <c r="B3966" t="s">
        <v>1746</v>
      </c>
      <c r="C3966" t="s">
        <v>1747</v>
      </c>
      <c r="D3966" s="13">
        <f>_xll.EditDistance($C$3,C3966,2)</f>
        <v>10</v>
      </c>
      <c r="E3966" s="13"/>
    </row>
    <row r="3967" spans="2:5" x14ac:dyDescent="0.2">
      <c r="B3967" t="s">
        <v>1968</v>
      </c>
      <c r="C3967" t="s">
        <v>1969</v>
      </c>
      <c r="D3967" s="13">
        <f>_xll.EditDistance($C$3,C3967,2)</f>
        <v>10</v>
      </c>
      <c r="E3967" s="13"/>
    </row>
    <row r="3968" spans="2:5" x14ac:dyDescent="0.2">
      <c r="B3968" t="s">
        <v>2099</v>
      </c>
      <c r="C3968" t="s">
        <v>2100</v>
      </c>
      <c r="D3968" s="13">
        <f>_xll.EditDistance($C$3,C3968,2)</f>
        <v>10</v>
      </c>
      <c r="E3968" s="13"/>
    </row>
    <row r="3969" spans="2:5" x14ac:dyDescent="0.2">
      <c r="B3969" t="s">
        <v>2148</v>
      </c>
      <c r="C3969" t="s">
        <v>2149</v>
      </c>
      <c r="D3969" s="13">
        <f>_xll.EditDistance($C$3,C3969,2)</f>
        <v>10</v>
      </c>
      <c r="E3969" s="13"/>
    </row>
    <row r="3970" spans="2:5" x14ac:dyDescent="0.2">
      <c r="B3970" t="s">
        <v>2347</v>
      </c>
      <c r="C3970" t="s">
        <v>2348</v>
      </c>
      <c r="D3970" s="13">
        <f>_xll.EditDistance($C$3,C3970,2)</f>
        <v>10</v>
      </c>
      <c r="E3970" s="13"/>
    </row>
    <row r="3971" spans="2:5" x14ac:dyDescent="0.2">
      <c r="B3971" t="s">
        <v>2752</v>
      </c>
      <c r="C3971" t="s">
        <v>2753</v>
      </c>
      <c r="D3971" s="13">
        <f>_xll.EditDistance($C$3,C3971,2)</f>
        <v>10</v>
      </c>
      <c r="E3971" s="13"/>
    </row>
    <row r="3972" spans="2:5" x14ac:dyDescent="0.2">
      <c r="B3972" t="s">
        <v>2935</v>
      </c>
      <c r="C3972" t="s">
        <v>2936</v>
      </c>
      <c r="D3972" s="13">
        <f>_xll.EditDistance($C$3,C3972,2)</f>
        <v>10</v>
      </c>
      <c r="E3972" s="13"/>
    </row>
    <row r="3973" spans="2:5" x14ac:dyDescent="0.2">
      <c r="B3973" t="s">
        <v>3128</v>
      </c>
      <c r="C3973" t="s">
        <v>3129</v>
      </c>
      <c r="D3973" s="13">
        <f>_xll.EditDistance($C$3,C3973,2)</f>
        <v>10</v>
      </c>
      <c r="E3973" s="13"/>
    </row>
    <row r="3974" spans="2:5" x14ac:dyDescent="0.2">
      <c r="B3974" t="s">
        <v>3349</v>
      </c>
      <c r="C3974" t="s">
        <v>3350</v>
      </c>
      <c r="D3974" s="13">
        <f>_xll.EditDistance($C$3,C3974,2)</f>
        <v>10</v>
      </c>
      <c r="E3974" s="13"/>
    </row>
    <row r="3975" spans="2:5" x14ac:dyDescent="0.2">
      <c r="B3975" t="s">
        <v>3368</v>
      </c>
      <c r="C3975" t="s">
        <v>3369</v>
      </c>
      <c r="D3975" s="13">
        <f>_xll.EditDistance($C$3,C3975,2)</f>
        <v>10</v>
      </c>
      <c r="E3975" s="13"/>
    </row>
    <row r="3976" spans="2:5" x14ac:dyDescent="0.2">
      <c r="B3976" t="s">
        <v>3403</v>
      </c>
      <c r="C3976" t="s">
        <v>3404</v>
      </c>
      <c r="D3976" s="13">
        <f>_xll.EditDistance($C$3,C3976,2)</f>
        <v>10</v>
      </c>
      <c r="E3976" s="13"/>
    </row>
    <row r="3977" spans="2:5" x14ac:dyDescent="0.2">
      <c r="B3977" t="s">
        <v>3714</v>
      </c>
      <c r="C3977" t="s">
        <v>3715</v>
      </c>
      <c r="D3977" s="13">
        <f>_xll.EditDistance($C$3,C3977,2)</f>
        <v>10</v>
      </c>
      <c r="E3977" s="13"/>
    </row>
    <row r="3978" spans="2:5" x14ac:dyDescent="0.2">
      <c r="B3978" t="s">
        <v>3776</v>
      </c>
      <c r="C3978" t="s">
        <v>3777</v>
      </c>
      <c r="D3978" s="13">
        <f>_xll.EditDistance($C$3,C3978,2)</f>
        <v>10</v>
      </c>
      <c r="E3978" s="13"/>
    </row>
    <row r="3979" spans="2:5" x14ac:dyDescent="0.2">
      <c r="B3979" t="s">
        <v>3854</v>
      </c>
      <c r="C3979" t="s">
        <v>3855</v>
      </c>
      <c r="D3979" s="13">
        <f>_xll.EditDistance($C$3,C3979,2)</f>
        <v>10</v>
      </c>
      <c r="E3979" s="13"/>
    </row>
    <row r="3980" spans="2:5" x14ac:dyDescent="0.2">
      <c r="B3980" t="s">
        <v>3860</v>
      </c>
      <c r="C3980" t="s">
        <v>3861</v>
      </c>
      <c r="D3980" s="13">
        <f>_xll.EditDistance($C$3,C3980,2)</f>
        <v>10</v>
      </c>
      <c r="E3980" s="13"/>
    </row>
    <row r="3981" spans="2:5" x14ac:dyDescent="0.2">
      <c r="B3981" t="s">
        <v>4069</v>
      </c>
      <c r="C3981" t="s">
        <v>4070</v>
      </c>
      <c r="D3981" s="13">
        <f>_xll.EditDistance($C$3,C3981,2)</f>
        <v>10</v>
      </c>
      <c r="E3981" s="13"/>
    </row>
    <row r="3982" spans="2:5" x14ac:dyDescent="0.2">
      <c r="B3982" t="s">
        <v>4219</v>
      </c>
      <c r="C3982" t="s">
        <v>4220</v>
      </c>
      <c r="D3982" s="13">
        <f>_xll.EditDistance($C$3,C3982,2)</f>
        <v>10</v>
      </c>
      <c r="E3982" s="13"/>
    </row>
    <row r="3983" spans="2:5" x14ac:dyDescent="0.2">
      <c r="B3983" t="s">
        <v>4244</v>
      </c>
      <c r="C3983" t="s">
        <v>4245</v>
      </c>
      <c r="D3983" s="13">
        <f>_xll.EditDistance($C$3,C3983,2)</f>
        <v>10</v>
      </c>
      <c r="E3983" s="13"/>
    </row>
    <row r="3984" spans="2:5" x14ac:dyDescent="0.2">
      <c r="B3984" t="s">
        <v>4383</v>
      </c>
      <c r="C3984" t="s">
        <v>4384</v>
      </c>
      <c r="D3984" s="13">
        <f>_xll.EditDistance($C$3,C3984,2)</f>
        <v>10</v>
      </c>
      <c r="E3984" s="13"/>
    </row>
    <row r="3985" spans="2:5" x14ac:dyDescent="0.2">
      <c r="B3985" t="s">
        <v>4437</v>
      </c>
      <c r="C3985" t="s">
        <v>4438</v>
      </c>
      <c r="D3985" s="13">
        <f>_xll.EditDistance($C$3,C3985,2)</f>
        <v>10</v>
      </c>
      <c r="E3985" s="13"/>
    </row>
    <row r="3986" spans="2:5" x14ac:dyDescent="0.2">
      <c r="B3986" t="s">
        <v>4757</v>
      </c>
      <c r="C3986" t="s">
        <v>4758</v>
      </c>
      <c r="D3986" s="13">
        <f>_xll.EditDistance($C$3,C3986,2)</f>
        <v>10</v>
      </c>
      <c r="E3986" s="13"/>
    </row>
    <row r="3987" spans="2:5" x14ac:dyDescent="0.2">
      <c r="B3987" t="s">
        <v>5285</v>
      </c>
      <c r="C3987" t="s">
        <v>5286</v>
      </c>
      <c r="D3987" s="13">
        <f>_xll.EditDistance($C$3,C3987,2)</f>
        <v>10</v>
      </c>
      <c r="E3987" s="13"/>
    </row>
    <row r="3988" spans="2:5" x14ac:dyDescent="0.2">
      <c r="B3988" t="s">
        <v>5579</v>
      </c>
      <c r="C3988" t="s">
        <v>5580</v>
      </c>
      <c r="D3988" s="13">
        <f>_xll.EditDistance($C$3,C3988,2)</f>
        <v>10</v>
      </c>
      <c r="E3988" s="13"/>
    </row>
    <row r="3989" spans="2:5" x14ac:dyDescent="0.2">
      <c r="B3989" t="s">
        <v>5648</v>
      </c>
      <c r="C3989" t="s">
        <v>5649</v>
      </c>
      <c r="D3989" s="13">
        <f>_xll.EditDistance($C$3,C3989,2)</f>
        <v>10</v>
      </c>
      <c r="E3989" s="13"/>
    </row>
    <row r="3990" spans="2:5" x14ac:dyDescent="0.2">
      <c r="B3990" t="s">
        <v>5704</v>
      </c>
      <c r="C3990" t="s">
        <v>5705</v>
      </c>
      <c r="D3990" s="13">
        <f>_xll.EditDistance($C$3,C3990,2)</f>
        <v>10</v>
      </c>
      <c r="E3990" s="13"/>
    </row>
    <row r="3991" spans="2:5" x14ac:dyDescent="0.2">
      <c r="B3991" t="s">
        <v>5985</v>
      </c>
      <c r="C3991" t="s">
        <v>5986</v>
      </c>
      <c r="D3991" s="13">
        <f>_xll.EditDistance($C$3,C3991,2)</f>
        <v>10</v>
      </c>
      <c r="E3991" s="13"/>
    </row>
    <row r="3992" spans="2:5" x14ac:dyDescent="0.2">
      <c r="B3992" t="s">
        <v>6264</v>
      </c>
      <c r="C3992" t="s">
        <v>6265</v>
      </c>
      <c r="D3992" s="13">
        <f>_xll.EditDistance($C$3,C3992,2)</f>
        <v>10</v>
      </c>
      <c r="E3992" s="13"/>
    </row>
    <row r="3993" spans="2:5" x14ac:dyDescent="0.2">
      <c r="B3993" t="s">
        <v>6380</v>
      </c>
      <c r="C3993" t="s">
        <v>6381</v>
      </c>
      <c r="D3993" s="13">
        <f>_xll.EditDistance($C$3,C3993,2)</f>
        <v>30</v>
      </c>
      <c r="E3993" s="13"/>
    </row>
    <row r="3994" spans="2:5" x14ac:dyDescent="0.2">
      <c r="B3994" t="s">
        <v>6405</v>
      </c>
      <c r="C3994" t="s">
        <v>6406</v>
      </c>
      <c r="D3994" s="13">
        <f>_xll.EditDistance($C$3,C3994,2)</f>
        <v>10</v>
      </c>
      <c r="E3994" s="13"/>
    </row>
    <row r="3995" spans="2:5" x14ac:dyDescent="0.2">
      <c r="B3995" t="s">
        <v>6444</v>
      </c>
      <c r="C3995" t="s">
        <v>6445</v>
      </c>
      <c r="D3995" s="13">
        <f>_xll.EditDistance($C$3,C3995,2)</f>
        <v>20</v>
      </c>
      <c r="E3995" s="13"/>
    </row>
    <row r="3996" spans="2:5" x14ac:dyDescent="0.2">
      <c r="B3996" t="s">
        <v>6798</v>
      </c>
      <c r="C3996" t="s">
        <v>6799</v>
      </c>
      <c r="D3996" s="13">
        <f>_xll.EditDistance($C$3,C3996,2)</f>
        <v>10</v>
      </c>
      <c r="E3996" s="13"/>
    </row>
    <row r="3997" spans="2:5" x14ac:dyDescent="0.2">
      <c r="B3997" t="s">
        <v>6916</v>
      </c>
      <c r="C3997" t="s">
        <v>6917</v>
      </c>
      <c r="D3997" s="13">
        <f>_xll.EditDistance($C$3,C3997,2)</f>
        <v>10</v>
      </c>
      <c r="E3997" s="13"/>
    </row>
    <row r="3998" spans="2:5" x14ac:dyDescent="0.2">
      <c r="B3998" t="s">
        <v>6966</v>
      </c>
      <c r="C3998" t="s">
        <v>6967</v>
      </c>
      <c r="D3998" s="13">
        <f>_xll.EditDistance($C$3,C3998,2)</f>
        <v>10</v>
      </c>
      <c r="E3998" s="13"/>
    </row>
    <row r="3999" spans="2:5" x14ac:dyDescent="0.2">
      <c r="B3999" t="s">
        <v>7100</v>
      </c>
      <c r="C3999" t="s">
        <v>7101</v>
      </c>
      <c r="D3999" s="13">
        <f>_xll.EditDistance($C$3,C3999,2)</f>
        <v>10</v>
      </c>
      <c r="E3999" s="13"/>
    </row>
    <row r="4000" spans="2:5" x14ac:dyDescent="0.2">
      <c r="B4000" t="s">
        <v>7137</v>
      </c>
      <c r="C4000" t="s">
        <v>7138</v>
      </c>
      <c r="D4000" s="13">
        <f>_xll.EditDistance($C$3,C4000,2)</f>
        <v>10</v>
      </c>
      <c r="E4000" s="13"/>
    </row>
    <row r="4001" spans="2:5" x14ac:dyDescent="0.2">
      <c r="B4001" t="s">
        <v>7330</v>
      </c>
      <c r="C4001" t="s">
        <v>7331</v>
      </c>
      <c r="D4001" s="13">
        <f>_xll.EditDistance($C$3,C4001,2)</f>
        <v>10</v>
      </c>
      <c r="E4001" s="13"/>
    </row>
    <row r="4002" spans="2:5" x14ac:dyDescent="0.2">
      <c r="B4002" t="s">
        <v>7357</v>
      </c>
      <c r="C4002" t="s">
        <v>7358</v>
      </c>
      <c r="D4002" s="13">
        <f>_xll.EditDistance($C$3,C4002,2)</f>
        <v>10</v>
      </c>
      <c r="E4002" s="13"/>
    </row>
    <row r="4003" spans="2:5" x14ac:dyDescent="0.2">
      <c r="B4003" t="s">
        <v>7824</v>
      </c>
      <c r="C4003" t="s">
        <v>7825</v>
      </c>
      <c r="D4003" s="13">
        <f>_xll.EditDistance($C$3,C4003,2)</f>
        <v>10</v>
      </c>
      <c r="E4003" s="13"/>
    </row>
    <row r="4004" spans="2:5" x14ac:dyDescent="0.2">
      <c r="B4004" t="s">
        <v>8524</v>
      </c>
      <c r="C4004" t="s">
        <v>8525</v>
      </c>
      <c r="D4004" s="13">
        <f>_xll.EditDistance($C$3,C4004,2)</f>
        <v>10</v>
      </c>
      <c r="E4004" s="13"/>
    </row>
    <row r="4005" spans="2:5" x14ac:dyDescent="0.2">
      <c r="B4005" t="s">
        <v>8566</v>
      </c>
      <c r="C4005" t="s">
        <v>8567</v>
      </c>
      <c r="D4005" s="13">
        <f>_xll.EditDistance($C$3,C4005,2)</f>
        <v>10</v>
      </c>
      <c r="E4005" s="13"/>
    </row>
    <row r="4006" spans="2:5" x14ac:dyDescent="0.2">
      <c r="B4006" t="s">
        <v>8661</v>
      </c>
      <c r="C4006" t="s">
        <v>8663</v>
      </c>
      <c r="D4006" s="13">
        <f>_xll.EditDistance($C$3,C4006,2)</f>
        <v>10</v>
      </c>
      <c r="E4006" s="13"/>
    </row>
    <row r="4007" spans="2:5" x14ac:dyDescent="0.2">
      <c r="B4007" t="s">
        <v>8672</v>
      </c>
      <c r="C4007" t="s">
        <v>8673</v>
      </c>
      <c r="D4007" s="13">
        <f>_xll.EditDistance($C$3,C4007,2)</f>
        <v>10</v>
      </c>
      <c r="E4007" s="13"/>
    </row>
    <row r="4008" spans="2:5" x14ac:dyDescent="0.2">
      <c r="B4008" t="s">
        <v>239</v>
      </c>
      <c r="C4008" t="s">
        <v>240</v>
      </c>
      <c r="D4008" s="13">
        <f>_xll.EditDistance($C$3,C4008,2)</f>
        <v>10</v>
      </c>
      <c r="E4008" s="13"/>
    </row>
    <row r="4009" spans="2:5" x14ac:dyDescent="0.2">
      <c r="B4009" t="s">
        <v>664</v>
      </c>
      <c r="C4009" t="s">
        <v>665</v>
      </c>
      <c r="D4009" s="13">
        <f>_xll.EditDistance($C$3,C4009,2)</f>
        <v>10</v>
      </c>
      <c r="E4009" s="13"/>
    </row>
    <row r="4010" spans="2:5" x14ac:dyDescent="0.2">
      <c r="B4010" t="s">
        <v>1291</v>
      </c>
      <c r="C4010" t="s">
        <v>1292</v>
      </c>
      <c r="D4010" s="13">
        <f>_xll.EditDistance($C$3,C4010,2)</f>
        <v>20</v>
      </c>
      <c r="E4010" s="13"/>
    </row>
    <row r="4011" spans="2:5" x14ac:dyDescent="0.2">
      <c r="B4011" t="s">
        <v>1466</v>
      </c>
      <c r="C4011" t="s">
        <v>1467</v>
      </c>
      <c r="D4011" s="13">
        <f>_xll.EditDistance($C$3,C4011,2)</f>
        <v>20</v>
      </c>
      <c r="E4011" s="13"/>
    </row>
    <row r="4012" spans="2:5" x14ac:dyDescent="0.2">
      <c r="B4012" t="s">
        <v>2790</v>
      </c>
      <c r="C4012" t="s">
        <v>2791</v>
      </c>
      <c r="D4012" s="13">
        <f>_xll.EditDistance($C$3,C4012,2)</f>
        <v>10</v>
      </c>
      <c r="E4012" s="13"/>
    </row>
    <row r="4013" spans="2:5" x14ac:dyDescent="0.2">
      <c r="B4013" t="s">
        <v>2790</v>
      </c>
      <c r="C4013" t="s">
        <v>2792</v>
      </c>
      <c r="D4013" s="13">
        <f>_xll.EditDistance($C$3,C4013,2)</f>
        <v>10</v>
      </c>
      <c r="E4013" s="13"/>
    </row>
    <row r="4014" spans="2:5" x14ac:dyDescent="0.2">
      <c r="B4014" t="s">
        <v>3006</v>
      </c>
      <c r="C4014" t="s">
        <v>3007</v>
      </c>
      <c r="D4014" s="13">
        <f>_xll.EditDistance($C$3,C4014,2)</f>
        <v>10</v>
      </c>
      <c r="E4014" s="13"/>
    </row>
    <row r="4015" spans="2:5" x14ac:dyDescent="0.2">
      <c r="B4015" t="s">
        <v>3094</v>
      </c>
      <c r="C4015" t="s">
        <v>3095</v>
      </c>
      <c r="D4015" s="13">
        <f>_xll.EditDistance($C$3,C4015,2)</f>
        <v>10</v>
      </c>
      <c r="E4015" s="13"/>
    </row>
    <row r="4016" spans="2:5" x14ac:dyDescent="0.2">
      <c r="B4016" s="22" t="s">
        <v>3120</v>
      </c>
      <c r="C4016" t="s">
        <v>3121</v>
      </c>
      <c r="D4016" s="13">
        <f>_xll.EditDistance($C$3,C4016,2)</f>
        <v>10</v>
      </c>
      <c r="E4016" s="13"/>
    </row>
    <row r="4017" spans="2:5" x14ac:dyDescent="0.2">
      <c r="B4017" t="s">
        <v>3413</v>
      </c>
      <c r="C4017" t="s">
        <v>3414</v>
      </c>
      <c r="D4017" s="13">
        <f>_xll.EditDistance($C$3,C4017,2)</f>
        <v>10</v>
      </c>
      <c r="E4017" s="13"/>
    </row>
    <row r="4018" spans="2:5" x14ac:dyDescent="0.2">
      <c r="B4018" t="s">
        <v>3530</v>
      </c>
      <c r="C4018" t="s">
        <v>3531</v>
      </c>
      <c r="D4018" s="13">
        <f>_xll.EditDistance($C$3,C4018,2)</f>
        <v>10</v>
      </c>
      <c r="E4018" s="13"/>
    </row>
    <row r="4019" spans="2:5" x14ac:dyDescent="0.2">
      <c r="B4019" t="s">
        <v>4020</v>
      </c>
      <c r="C4019" t="s">
        <v>4021</v>
      </c>
      <c r="D4019" s="13">
        <f>_xll.EditDistance($C$3,C4019,2)</f>
        <v>10</v>
      </c>
      <c r="E4019" s="13"/>
    </row>
    <row r="4020" spans="2:5" x14ac:dyDescent="0.2">
      <c r="B4020" t="s">
        <v>4389</v>
      </c>
      <c r="C4020" t="s">
        <v>4391</v>
      </c>
      <c r="D4020" s="13">
        <f>_xll.EditDistance($C$3,C4020,2)</f>
        <v>10</v>
      </c>
      <c r="E4020" s="13"/>
    </row>
    <row r="4021" spans="2:5" x14ac:dyDescent="0.2">
      <c r="B4021" t="s">
        <v>4505</v>
      </c>
      <c r="C4021" t="s">
        <v>4506</v>
      </c>
      <c r="D4021" s="13">
        <f>_xll.EditDistance($C$3,C4021,2)</f>
        <v>20</v>
      </c>
      <c r="E4021" s="13"/>
    </row>
    <row r="4022" spans="2:5" x14ac:dyDescent="0.2">
      <c r="B4022" t="s">
        <v>4548</v>
      </c>
      <c r="C4022" t="s">
        <v>4549</v>
      </c>
      <c r="D4022" s="13">
        <f>_xll.EditDistance($C$3,C4022,2)</f>
        <v>10</v>
      </c>
      <c r="E4022" s="13"/>
    </row>
    <row r="4023" spans="2:5" x14ac:dyDescent="0.2">
      <c r="B4023" t="s">
        <v>4552</v>
      </c>
      <c r="C4023" t="s">
        <v>4553</v>
      </c>
      <c r="D4023" s="13">
        <f>_xll.EditDistance($C$3,C4023,2)</f>
        <v>20</v>
      </c>
      <c r="E4023" s="13"/>
    </row>
    <row r="4024" spans="2:5" x14ac:dyDescent="0.2">
      <c r="B4024" t="s">
        <v>5756</v>
      </c>
      <c r="C4024" t="s">
        <v>5758</v>
      </c>
      <c r="D4024" s="13">
        <f>_xll.EditDistance($C$3,C4024,2)</f>
        <v>20</v>
      </c>
      <c r="E4024" s="13"/>
    </row>
    <row r="4025" spans="2:5" x14ac:dyDescent="0.2">
      <c r="B4025" t="s">
        <v>5990</v>
      </c>
      <c r="C4025" t="s">
        <v>5991</v>
      </c>
      <c r="D4025" s="13">
        <f>_xll.EditDistance($C$3,C4025,2)</f>
        <v>20</v>
      </c>
      <c r="E4025" s="13"/>
    </row>
    <row r="4026" spans="2:5" x14ac:dyDescent="0.2">
      <c r="B4026" t="s">
        <v>6338</v>
      </c>
      <c r="C4026" t="s">
        <v>6339</v>
      </c>
      <c r="D4026" s="13">
        <f>_xll.EditDistance($C$3,C4026,2)</f>
        <v>10</v>
      </c>
      <c r="E4026" s="13"/>
    </row>
    <row r="4027" spans="2:5" x14ac:dyDescent="0.2">
      <c r="B4027" t="s">
        <v>6812</v>
      </c>
      <c r="C4027" t="s">
        <v>6813</v>
      </c>
      <c r="D4027" s="13">
        <f>_xll.EditDistance($C$3,C4027,2)</f>
        <v>20</v>
      </c>
      <c r="E4027" s="13"/>
    </row>
    <row r="4028" spans="2:5" x14ac:dyDescent="0.2">
      <c r="B4028" t="s">
        <v>6824</v>
      </c>
      <c r="C4028" t="s">
        <v>6825</v>
      </c>
      <c r="D4028" s="13">
        <f>_xll.EditDistance($C$3,C4028,2)</f>
        <v>10</v>
      </c>
      <c r="E4028" s="13"/>
    </row>
    <row r="4029" spans="2:5" x14ac:dyDescent="0.2">
      <c r="B4029" t="s">
        <v>7218</v>
      </c>
      <c r="C4029" t="s">
        <v>7219</v>
      </c>
      <c r="D4029" s="13">
        <f>_xll.EditDistance($C$3,C4029,2)</f>
        <v>10</v>
      </c>
      <c r="E4029" s="13"/>
    </row>
    <row r="4030" spans="2:5" x14ac:dyDescent="0.2">
      <c r="B4030" t="s">
        <v>7396</v>
      </c>
      <c r="C4030" t="s">
        <v>7397</v>
      </c>
      <c r="D4030" s="13">
        <f>_xll.EditDistance($C$3,C4030,2)</f>
        <v>10</v>
      </c>
      <c r="E4030" s="13"/>
    </row>
    <row r="4031" spans="2:5" x14ac:dyDescent="0.2">
      <c r="B4031" t="s">
        <v>7657</v>
      </c>
      <c r="C4031" t="s">
        <v>7658</v>
      </c>
      <c r="D4031" s="13">
        <f>_xll.EditDistance($C$3,C4031,2)</f>
        <v>10</v>
      </c>
      <c r="E4031" s="13"/>
    </row>
    <row r="4032" spans="2:5" x14ac:dyDescent="0.2">
      <c r="B4032" t="s">
        <v>8551</v>
      </c>
      <c r="C4032" t="s">
        <v>8552</v>
      </c>
      <c r="D4032" s="13">
        <f>_xll.EditDistance($C$3,C4032,2)</f>
        <v>20</v>
      </c>
      <c r="E4032" s="13"/>
    </row>
    <row r="4033" spans="2:5" x14ac:dyDescent="0.2">
      <c r="B4033" t="s">
        <v>8666</v>
      </c>
      <c r="C4033" t="s">
        <v>8667</v>
      </c>
      <c r="D4033" s="13">
        <f>_xll.EditDistance($C$3,C4033,2)</f>
        <v>10</v>
      </c>
      <c r="E4033" s="13"/>
    </row>
    <row r="4034" spans="2:5" x14ac:dyDescent="0.2">
      <c r="B4034" t="s">
        <v>171</v>
      </c>
      <c r="C4034" t="s">
        <v>172</v>
      </c>
      <c r="D4034" s="13">
        <f>_xll.EditDistance($C$3,C4034,2)</f>
        <v>10</v>
      </c>
      <c r="E4034" s="13"/>
    </row>
    <row r="4035" spans="2:5" x14ac:dyDescent="0.2">
      <c r="B4035" t="s">
        <v>214</v>
      </c>
      <c r="C4035" t="s">
        <v>215</v>
      </c>
      <c r="D4035" s="13">
        <f>_xll.EditDistance($C$3,C4035,2)</f>
        <v>10</v>
      </c>
      <c r="E4035" s="13"/>
    </row>
    <row r="4036" spans="2:5" x14ac:dyDescent="0.2">
      <c r="B4036" t="s">
        <v>259</v>
      </c>
      <c r="C4036" t="s">
        <v>260</v>
      </c>
      <c r="D4036" s="13">
        <f>_xll.EditDistance($C$3,C4036,2)</f>
        <v>10</v>
      </c>
      <c r="E4036" s="13"/>
    </row>
    <row r="4037" spans="2:5" x14ac:dyDescent="0.2">
      <c r="B4037" t="s">
        <v>412</v>
      </c>
      <c r="C4037" t="s">
        <v>413</v>
      </c>
      <c r="D4037" s="13">
        <f>_xll.EditDistance($C$3,C4037,2)</f>
        <v>10</v>
      </c>
      <c r="E4037" s="13"/>
    </row>
    <row r="4038" spans="2:5" x14ac:dyDescent="0.2">
      <c r="B4038" t="s">
        <v>438</v>
      </c>
      <c r="C4038" t="s">
        <v>439</v>
      </c>
      <c r="D4038" s="13">
        <f>_xll.EditDistance($C$3,C4038,2)</f>
        <v>10</v>
      </c>
      <c r="E4038" s="13"/>
    </row>
    <row r="4039" spans="2:5" x14ac:dyDescent="0.2">
      <c r="B4039" t="s">
        <v>500</v>
      </c>
      <c r="C4039" t="s">
        <v>501</v>
      </c>
      <c r="D4039" s="13">
        <f>_xll.EditDistance($C$3,C4039,2)</f>
        <v>10</v>
      </c>
      <c r="E4039" s="13"/>
    </row>
    <row r="4040" spans="2:5" x14ac:dyDescent="0.2">
      <c r="B4040" t="s">
        <v>530</v>
      </c>
      <c r="C4040" t="s">
        <v>531</v>
      </c>
      <c r="D4040" s="13">
        <f>_xll.EditDistance($C$3,C4040,2)</f>
        <v>10</v>
      </c>
      <c r="E4040" s="13"/>
    </row>
    <row r="4041" spans="2:5" x14ac:dyDescent="0.2">
      <c r="B4041" t="s">
        <v>543</v>
      </c>
      <c r="C4041" t="s">
        <v>544</v>
      </c>
      <c r="D4041" s="13">
        <f>_xll.EditDistance($C$3,C4041,2)</f>
        <v>10</v>
      </c>
      <c r="E4041" s="13"/>
    </row>
    <row r="4042" spans="2:5" x14ac:dyDescent="0.2">
      <c r="B4042" t="s">
        <v>578</v>
      </c>
      <c r="C4042" t="s">
        <v>579</v>
      </c>
      <c r="D4042" s="13">
        <f>_xll.EditDistance($C$3,C4042,2)</f>
        <v>10</v>
      </c>
      <c r="E4042" s="13"/>
    </row>
    <row r="4043" spans="2:5" x14ac:dyDescent="0.2">
      <c r="B4043" t="s">
        <v>595</v>
      </c>
      <c r="C4043" t="s">
        <v>596</v>
      </c>
      <c r="D4043" s="13">
        <f>_xll.EditDistance($C$3,C4043,2)</f>
        <v>10</v>
      </c>
      <c r="E4043" s="13"/>
    </row>
    <row r="4044" spans="2:5" x14ac:dyDescent="0.2">
      <c r="B4044" t="s">
        <v>634</v>
      </c>
      <c r="C4044" t="s">
        <v>635</v>
      </c>
      <c r="D4044" s="13">
        <f>_xll.EditDistance($C$3,C4044,2)</f>
        <v>10</v>
      </c>
      <c r="E4044" s="13"/>
    </row>
    <row r="4045" spans="2:5" x14ac:dyDescent="0.2">
      <c r="B4045" t="s">
        <v>656</v>
      </c>
      <c r="C4045" t="s">
        <v>657</v>
      </c>
      <c r="D4045" s="13">
        <f>_xll.EditDistance($C$3,C4045,2)</f>
        <v>10</v>
      </c>
      <c r="E4045" s="13"/>
    </row>
    <row r="4046" spans="2:5" x14ac:dyDescent="0.2">
      <c r="B4046" t="s">
        <v>681</v>
      </c>
      <c r="C4046" t="s">
        <v>682</v>
      </c>
      <c r="D4046" s="13">
        <f>_xll.EditDistance($C$3,C4046,2)</f>
        <v>10</v>
      </c>
      <c r="E4046" s="13"/>
    </row>
    <row r="4047" spans="2:5" x14ac:dyDescent="0.2">
      <c r="B4047" t="s">
        <v>775</v>
      </c>
      <c r="C4047" t="s">
        <v>776</v>
      </c>
      <c r="D4047" s="13">
        <f>_xll.EditDistance($C$3,C4047,2)</f>
        <v>10</v>
      </c>
      <c r="E4047" s="13"/>
    </row>
    <row r="4048" spans="2:5" x14ac:dyDescent="0.2">
      <c r="B4048" t="s">
        <v>857</v>
      </c>
      <c r="C4048" t="s">
        <v>858</v>
      </c>
      <c r="D4048" s="13">
        <f>_xll.EditDistance($C$3,C4048,2)</f>
        <v>10</v>
      </c>
      <c r="E4048" s="13"/>
    </row>
    <row r="4049" spans="2:5" x14ac:dyDescent="0.2">
      <c r="B4049" t="s">
        <v>879</v>
      </c>
      <c r="C4049" t="s">
        <v>880</v>
      </c>
      <c r="D4049" s="13">
        <f>_xll.EditDistance($C$3,C4049,2)</f>
        <v>10</v>
      </c>
      <c r="E4049" s="13"/>
    </row>
    <row r="4050" spans="2:5" x14ac:dyDescent="0.2">
      <c r="B4050" t="s">
        <v>1070</v>
      </c>
      <c r="C4050" t="s">
        <v>1071</v>
      </c>
      <c r="D4050" s="13">
        <f>_xll.EditDistance($C$3,C4050,2)</f>
        <v>10</v>
      </c>
      <c r="E4050" s="13"/>
    </row>
    <row r="4051" spans="2:5" x14ac:dyDescent="0.2">
      <c r="B4051" t="s">
        <v>1099</v>
      </c>
      <c r="C4051" t="s">
        <v>1100</v>
      </c>
      <c r="D4051" s="13">
        <f>_xll.EditDistance($C$3,C4051,2)</f>
        <v>10</v>
      </c>
      <c r="E4051" s="13"/>
    </row>
    <row r="4052" spans="2:5" x14ac:dyDescent="0.2">
      <c r="B4052" t="s">
        <v>1182</v>
      </c>
      <c r="C4052" t="s">
        <v>1183</v>
      </c>
      <c r="D4052" s="13">
        <f>_xll.EditDistance($C$3,C4052,2)</f>
        <v>10</v>
      </c>
      <c r="E4052" s="13"/>
    </row>
    <row r="4053" spans="2:5" x14ac:dyDescent="0.2">
      <c r="B4053" t="s">
        <v>1218</v>
      </c>
      <c r="C4053" t="s">
        <v>1219</v>
      </c>
      <c r="D4053" s="13">
        <f>_xll.EditDistance($C$3,C4053,2)</f>
        <v>10</v>
      </c>
      <c r="E4053" s="13"/>
    </row>
    <row r="4054" spans="2:5" x14ac:dyDescent="0.2">
      <c r="B4054" t="s">
        <v>1262</v>
      </c>
      <c r="C4054" t="s">
        <v>1263</v>
      </c>
      <c r="D4054" s="13">
        <f>_xll.EditDistance($C$3,C4054,2)</f>
        <v>10</v>
      </c>
      <c r="E4054" s="13"/>
    </row>
    <row r="4055" spans="2:5" x14ac:dyDescent="0.2">
      <c r="B4055" t="s">
        <v>1289</v>
      </c>
      <c r="C4055" t="s">
        <v>1290</v>
      </c>
      <c r="D4055" s="13">
        <f>_xll.EditDistance($C$3,C4055,2)</f>
        <v>10</v>
      </c>
      <c r="E4055" s="13"/>
    </row>
    <row r="4056" spans="2:5" x14ac:dyDescent="0.2">
      <c r="B4056" t="s">
        <v>1411</v>
      </c>
      <c r="C4056" t="s">
        <v>1412</v>
      </c>
      <c r="D4056" s="13">
        <f>_xll.EditDistance($C$3,C4056,2)</f>
        <v>10</v>
      </c>
      <c r="E4056" s="13"/>
    </row>
    <row r="4057" spans="2:5" x14ac:dyDescent="0.2">
      <c r="B4057" t="s">
        <v>1511</v>
      </c>
      <c r="C4057" t="s">
        <v>1512</v>
      </c>
      <c r="D4057" s="13">
        <f>_xll.EditDistance($C$3,C4057,2)</f>
        <v>10</v>
      </c>
      <c r="E4057" s="13"/>
    </row>
    <row r="4058" spans="2:5" x14ac:dyDescent="0.2">
      <c r="B4058" t="s">
        <v>1544</v>
      </c>
      <c r="C4058" t="s">
        <v>1545</v>
      </c>
      <c r="D4058" s="13">
        <f>_xll.EditDistance($C$3,C4058,2)</f>
        <v>10</v>
      </c>
      <c r="E4058" s="13"/>
    </row>
    <row r="4059" spans="2:5" x14ac:dyDescent="0.2">
      <c r="B4059" s="22" t="s">
        <v>1626</v>
      </c>
      <c r="C4059" t="s">
        <v>1627</v>
      </c>
      <c r="D4059" s="13">
        <f>_xll.EditDistance($C$3,C4059,2)</f>
        <v>10</v>
      </c>
      <c r="E4059" s="13"/>
    </row>
    <row r="4060" spans="2:5" x14ac:dyDescent="0.2">
      <c r="B4060" t="s">
        <v>1802</v>
      </c>
      <c r="C4060" t="s">
        <v>1803</v>
      </c>
      <c r="D4060" s="13">
        <f>_xll.EditDistance($C$3,C4060,2)</f>
        <v>10</v>
      </c>
      <c r="E4060" s="13"/>
    </row>
    <row r="4061" spans="2:5" x14ac:dyDescent="0.2">
      <c r="B4061" t="s">
        <v>1806</v>
      </c>
      <c r="C4061" t="s">
        <v>1807</v>
      </c>
      <c r="D4061" s="13">
        <f>_xll.EditDistance($C$3,C4061,2)</f>
        <v>10</v>
      </c>
      <c r="E4061" s="13"/>
    </row>
    <row r="4062" spans="2:5" x14ac:dyDescent="0.2">
      <c r="B4062" s="22" t="s">
        <v>1861</v>
      </c>
      <c r="C4062" t="s">
        <v>1862</v>
      </c>
      <c r="D4062" s="13">
        <f>_xll.EditDistance($C$3,C4062,2)</f>
        <v>10</v>
      </c>
      <c r="E4062" s="13"/>
    </row>
    <row r="4063" spans="2:5" x14ac:dyDescent="0.2">
      <c r="B4063" t="s">
        <v>1912</v>
      </c>
      <c r="C4063" t="s">
        <v>1913</v>
      </c>
      <c r="D4063" s="13">
        <f>_xll.EditDistance($C$3,C4063,2)</f>
        <v>10</v>
      </c>
      <c r="E4063" s="13"/>
    </row>
    <row r="4064" spans="2:5" x14ac:dyDescent="0.2">
      <c r="B4064" t="s">
        <v>1974</v>
      </c>
      <c r="C4064" t="s">
        <v>1975</v>
      </c>
      <c r="D4064" s="13">
        <f>_xll.EditDistance($C$3,C4064,2)</f>
        <v>10</v>
      </c>
      <c r="E4064" s="13"/>
    </row>
    <row r="4065" spans="2:5" x14ac:dyDescent="0.2">
      <c r="B4065" t="s">
        <v>2000</v>
      </c>
      <c r="C4065" t="s">
        <v>2001</v>
      </c>
      <c r="D4065" s="13">
        <f>_xll.EditDistance($C$3,C4065,2)</f>
        <v>10</v>
      </c>
      <c r="E4065" s="13"/>
    </row>
    <row r="4066" spans="2:5" x14ac:dyDescent="0.2">
      <c r="B4066" t="s">
        <v>2072</v>
      </c>
      <c r="C4066" t="s">
        <v>2073</v>
      </c>
      <c r="D4066" s="13">
        <f>_xll.EditDistance($C$3,C4066,2)</f>
        <v>10</v>
      </c>
      <c r="E4066" s="13"/>
    </row>
    <row r="4067" spans="2:5" x14ac:dyDescent="0.2">
      <c r="B4067" t="s">
        <v>2082</v>
      </c>
      <c r="C4067" t="s">
        <v>2083</v>
      </c>
      <c r="D4067" s="13">
        <f>_xll.EditDistance($C$3,C4067,2)</f>
        <v>10</v>
      </c>
      <c r="E4067" s="13"/>
    </row>
    <row r="4068" spans="2:5" x14ac:dyDescent="0.2">
      <c r="B4068" t="s">
        <v>2125</v>
      </c>
      <c r="C4068" t="s">
        <v>2126</v>
      </c>
      <c r="D4068" s="13">
        <f>_xll.EditDistance($C$3,C4068,2)</f>
        <v>10</v>
      </c>
      <c r="E4068" s="13"/>
    </row>
    <row r="4069" spans="2:5" x14ac:dyDescent="0.2">
      <c r="B4069" t="s">
        <v>2211</v>
      </c>
      <c r="C4069" t="s">
        <v>2212</v>
      </c>
      <c r="D4069" s="13">
        <f>_xll.EditDistance($C$3,C4069,2)</f>
        <v>10</v>
      </c>
      <c r="E4069" s="13"/>
    </row>
    <row r="4070" spans="2:5" x14ac:dyDescent="0.2">
      <c r="B4070" t="s">
        <v>2225</v>
      </c>
      <c r="C4070" t="s">
        <v>2226</v>
      </c>
      <c r="D4070" s="13">
        <f>_xll.EditDistance($C$3,C4070,2)</f>
        <v>10</v>
      </c>
      <c r="E4070" s="13"/>
    </row>
    <row r="4071" spans="2:5" x14ac:dyDescent="0.2">
      <c r="B4071" t="s">
        <v>2271</v>
      </c>
      <c r="C4071" t="s">
        <v>2272</v>
      </c>
      <c r="D4071" s="13">
        <f>_xll.EditDistance($C$3,C4071,2)</f>
        <v>10</v>
      </c>
      <c r="E4071" s="13"/>
    </row>
    <row r="4072" spans="2:5" x14ac:dyDescent="0.2">
      <c r="B4072" t="s">
        <v>2273</v>
      </c>
      <c r="C4072" t="s">
        <v>2274</v>
      </c>
      <c r="D4072" s="13">
        <f>_xll.EditDistance($C$3,C4072,2)</f>
        <v>10</v>
      </c>
      <c r="E4072" s="13"/>
    </row>
    <row r="4073" spans="2:5" x14ac:dyDescent="0.2">
      <c r="B4073" t="s">
        <v>2315</v>
      </c>
      <c r="C4073" t="s">
        <v>2316</v>
      </c>
      <c r="D4073" s="13">
        <f>_xll.EditDistance($C$3,C4073,2)</f>
        <v>10</v>
      </c>
      <c r="E4073" s="13"/>
    </row>
    <row r="4074" spans="2:5" x14ac:dyDescent="0.2">
      <c r="B4074" t="s">
        <v>2440</v>
      </c>
      <c r="C4074" t="s">
        <v>2441</v>
      </c>
      <c r="D4074" s="13">
        <f>_xll.EditDistance($C$3,C4074,2)</f>
        <v>10</v>
      </c>
      <c r="E4074" s="13"/>
    </row>
    <row r="4075" spans="2:5" x14ac:dyDescent="0.2">
      <c r="B4075" t="s">
        <v>2527</v>
      </c>
      <c r="C4075" t="s">
        <v>2528</v>
      </c>
      <c r="D4075" s="13">
        <f>_xll.EditDistance($C$3,C4075,2)</f>
        <v>10</v>
      </c>
      <c r="E4075" s="13"/>
    </row>
    <row r="4076" spans="2:5" x14ac:dyDescent="0.2">
      <c r="B4076" t="s">
        <v>2562</v>
      </c>
      <c r="C4076" t="s">
        <v>2563</v>
      </c>
      <c r="D4076" s="13">
        <f>_xll.EditDistance($C$3,C4076,2)</f>
        <v>10</v>
      </c>
      <c r="E4076" s="13"/>
    </row>
    <row r="4077" spans="2:5" x14ac:dyDescent="0.2">
      <c r="B4077" t="s">
        <v>2572</v>
      </c>
      <c r="C4077" t="s">
        <v>2573</v>
      </c>
      <c r="D4077" s="13">
        <f>_xll.EditDistance($C$3,C4077,2)</f>
        <v>10</v>
      </c>
      <c r="E4077" s="13"/>
    </row>
    <row r="4078" spans="2:5" x14ac:dyDescent="0.2">
      <c r="B4078" t="s">
        <v>2628</v>
      </c>
      <c r="C4078" t="s">
        <v>2629</v>
      </c>
      <c r="D4078" s="13">
        <f>_xll.EditDistance($C$3,C4078,2)</f>
        <v>10</v>
      </c>
      <c r="E4078" s="13"/>
    </row>
    <row r="4079" spans="2:5" x14ac:dyDescent="0.2">
      <c r="B4079" t="s">
        <v>2634</v>
      </c>
      <c r="C4079" t="s">
        <v>2635</v>
      </c>
      <c r="D4079" s="13">
        <f>_xll.EditDistance($C$3,C4079,2)</f>
        <v>10</v>
      </c>
      <c r="E4079" s="13"/>
    </row>
    <row r="4080" spans="2:5" x14ac:dyDescent="0.2">
      <c r="B4080" t="s">
        <v>2663</v>
      </c>
      <c r="C4080" t="s">
        <v>2664</v>
      </c>
      <c r="D4080" s="13">
        <f>_xll.EditDistance($C$3,C4080,2)</f>
        <v>10</v>
      </c>
      <c r="E4080" s="13"/>
    </row>
    <row r="4081" spans="2:5" x14ac:dyDescent="0.2">
      <c r="B4081" t="s">
        <v>2670</v>
      </c>
      <c r="C4081" t="s">
        <v>2671</v>
      </c>
      <c r="D4081" s="13">
        <f>_xll.EditDistance($C$3,C4081,2)</f>
        <v>10</v>
      </c>
      <c r="E4081" s="13"/>
    </row>
    <row r="4082" spans="2:5" x14ac:dyDescent="0.2">
      <c r="B4082" t="s">
        <v>2799</v>
      </c>
      <c r="C4082" t="s">
        <v>2800</v>
      </c>
      <c r="D4082" s="13">
        <f>_xll.EditDistance($C$3,C4082,2)</f>
        <v>10</v>
      </c>
      <c r="E4082" s="13"/>
    </row>
    <row r="4083" spans="2:5" x14ac:dyDescent="0.2">
      <c r="B4083" t="s">
        <v>2801</v>
      </c>
      <c r="C4083" t="s">
        <v>2802</v>
      </c>
      <c r="D4083" s="13">
        <f>_xll.EditDistance($C$3,C4083,2)</f>
        <v>10</v>
      </c>
      <c r="E4083" s="13"/>
    </row>
    <row r="4084" spans="2:5" x14ac:dyDescent="0.2">
      <c r="B4084" t="s">
        <v>2941</v>
      </c>
      <c r="C4084" t="s">
        <v>2942</v>
      </c>
      <c r="D4084" s="13">
        <f>_xll.EditDistance($C$3,C4084,2)</f>
        <v>10</v>
      </c>
      <c r="E4084" s="13"/>
    </row>
    <row r="4085" spans="2:5" x14ac:dyDescent="0.2">
      <c r="B4085" t="s">
        <v>2955</v>
      </c>
      <c r="C4085" t="s">
        <v>2956</v>
      </c>
      <c r="D4085" s="13">
        <f>_xll.EditDistance($C$3,C4085,2)</f>
        <v>20</v>
      </c>
      <c r="E4085" s="13"/>
    </row>
    <row r="4086" spans="2:5" x14ac:dyDescent="0.2">
      <c r="B4086" t="s">
        <v>2980</v>
      </c>
      <c r="C4086" t="s">
        <v>2981</v>
      </c>
      <c r="D4086" s="13">
        <f>_xll.EditDistance($C$3,C4086,2)</f>
        <v>20</v>
      </c>
      <c r="E4086" s="13"/>
    </row>
    <row r="4087" spans="2:5" x14ac:dyDescent="0.2">
      <c r="B4087" t="s">
        <v>3021</v>
      </c>
      <c r="C4087" t="s">
        <v>3022</v>
      </c>
      <c r="D4087" s="13">
        <f>_xll.EditDistance($C$3,C4087,2)</f>
        <v>10</v>
      </c>
      <c r="E4087" s="13"/>
    </row>
    <row r="4088" spans="2:5" x14ac:dyDescent="0.2">
      <c r="B4088" t="s">
        <v>3075</v>
      </c>
      <c r="C4088" t="s">
        <v>3076</v>
      </c>
      <c r="D4088" s="13">
        <f>_xll.EditDistance($C$3,C4088,2)</f>
        <v>10</v>
      </c>
      <c r="E4088" s="13"/>
    </row>
    <row r="4089" spans="2:5" x14ac:dyDescent="0.2">
      <c r="B4089" t="s">
        <v>3083</v>
      </c>
      <c r="C4089" t="s">
        <v>3084</v>
      </c>
      <c r="D4089" s="13">
        <f>_xll.EditDistance($C$3,C4089,2)</f>
        <v>10</v>
      </c>
      <c r="E4089" s="13"/>
    </row>
    <row r="4090" spans="2:5" x14ac:dyDescent="0.2">
      <c r="B4090" t="s">
        <v>3187</v>
      </c>
      <c r="C4090" t="s">
        <v>3188</v>
      </c>
      <c r="D4090" s="13">
        <f>_xll.EditDistance($C$3,C4090,2)</f>
        <v>10</v>
      </c>
      <c r="E4090" s="13"/>
    </row>
    <row r="4091" spans="2:5" x14ac:dyDescent="0.2">
      <c r="B4091" t="s">
        <v>3269</v>
      </c>
      <c r="C4091" t="s">
        <v>3270</v>
      </c>
      <c r="D4091" s="13">
        <f>_xll.EditDistance($C$3,C4091,2)</f>
        <v>10</v>
      </c>
      <c r="E4091" s="13"/>
    </row>
    <row r="4092" spans="2:5" x14ac:dyDescent="0.2">
      <c r="B4092" t="s">
        <v>3376</v>
      </c>
      <c r="C4092" t="s">
        <v>3377</v>
      </c>
      <c r="D4092" s="13">
        <f>_xll.EditDistance($C$3,C4092,2)</f>
        <v>20</v>
      </c>
      <c r="E4092" s="13"/>
    </row>
    <row r="4093" spans="2:5" x14ac:dyDescent="0.2">
      <c r="B4093" t="s">
        <v>3462</v>
      </c>
      <c r="C4093" t="s">
        <v>3463</v>
      </c>
      <c r="D4093" s="13">
        <f>_xll.EditDistance($C$3,C4093,2)</f>
        <v>10</v>
      </c>
      <c r="E4093" s="13"/>
    </row>
    <row r="4094" spans="2:5" x14ac:dyDescent="0.2">
      <c r="B4094" t="s">
        <v>3486</v>
      </c>
      <c r="C4094" t="s">
        <v>3487</v>
      </c>
      <c r="D4094" s="13">
        <f>_xll.EditDistance($C$3,C4094,2)</f>
        <v>10</v>
      </c>
      <c r="E4094" s="13"/>
    </row>
    <row r="4095" spans="2:5" x14ac:dyDescent="0.2">
      <c r="B4095" t="s">
        <v>3508</v>
      </c>
      <c r="C4095" t="s">
        <v>3509</v>
      </c>
      <c r="D4095" s="13">
        <f>_xll.EditDistance($C$3,C4095,2)</f>
        <v>10</v>
      </c>
      <c r="E4095" s="13"/>
    </row>
    <row r="4096" spans="2:5" x14ac:dyDescent="0.2">
      <c r="B4096" t="s">
        <v>3528</v>
      </c>
      <c r="C4096" t="s">
        <v>3529</v>
      </c>
      <c r="D4096" s="13">
        <f>_xll.EditDistance($C$3,C4096,2)</f>
        <v>10</v>
      </c>
      <c r="E4096" s="13"/>
    </row>
    <row r="4097" spans="2:5" x14ac:dyDescent="0.2">
      <c r="B4097" t="s">
        <v>3706</v>
      </c>
      <c r="C4097" t="s">
        <v>3707</v>
      </c>
      <c r="D4097" s="13">
        <f>_xll.EditDistance($C$3,C4097,2)</f>
        <v>10</v>
      </c>
      <c r="E4097" s="13"/>
    </row>
    <row r="4098" spans="2:5" x14ac:dyDescent="0.2">
      <c r="B4098" t="s">
        <v>3732</v>
      </c>
      <c r="C4098" t="s">
        <v>3733</v>
      </c>
      <c r="D4098" s="13">
        <f>_xll.EditDistance($C$3,C4098,2)</f>
        <v>10</v>
      </c>
      <c r="E4098" s="13"/>
    </row>
    <row r="4099" spans="2:5" x14ac:dyDescent="0.2">
      <c r="B4099" t="s">
        <v>3752</v>
      </c>
      <c r="C4099" t="s">
        <v>3753</v>
      </c>
      <c r="D4099" s="13">
        <f>_xll.EditDistance($C$3,C4099,2)</f>
        <v>10</v>
      </c>
      <c r="E4099" s="13"/>
    </row>
    <row r="4100" spans="2:5" x14ac:dyDescent="0.2">
      <c r="B4100" t="s">
        <v>3796</v>
      </c>
      <c r="C4100" t="s">
        <v>3797</v>
      </c>
      <c r="D4100" s="13">
        <f>_xll.EditDistance($C$3,C4100,2)</f>
        <v>10</v>
      </c>
      <c r="E4100" s="13"/>
    </row>
    <row r="4101" spans="2:5" x14ac:dyDescent="0.2">
      <c r="B4101" t="s">
        <v>3846</v>
      </c>
      <c r="C4101" t="s">
        <v>3847</v>
      </c>
      <c r="D4101" s="13">
        <f>_xll.EditDistance($C$3,C4101,2)</f>
        <v>10</v>
      </c>
      <c r="E4101" s="13"/>
    </row>
    <row r="4102" spans="2:5" x14ac:dyDescent="0.2">
      <c r="B4102" t="s">
        <v>3891</v>
      </c>
      <c r="C4102" t="s">
        <v>3892</v>
      </c>
      <c r="D4102" s="13">
        <f>_xll.EditDistance($C$3,C4102,2)</f>
        <v>10</v>
      </c>
      <c r="E4102" s="13"/>
    </row>
    <row r="4103" spans="2:5" x14ac:dyDescent="0.2">
      <c r="B4103" t="s">
        <v>3914</v>
      </c>
      <c r="C4103" t="s">
        <v>3915</v>
      </c>
      <c r="D4103" s="13">
        <f>_xll.EditDistance($C$3,C4103,2)</f>
        <v>10</v>
      </c>
      <c r="E4103" s="13"/>
    </row>
    <row r="4104" spans="2:5" x14ac:dyDescent="0.2">
      <c r="B4104" t="s">
        <v>3932</v>
      </c>
      <c r="C4104" t="s">
        <v>3933</v>
      </c>
      <c r="D4104" s="13">
        <f>_xll.EditDistance($C$3,C4104,2)</f>
        <v>10</v>
      </c>
      <c r="E4104" s="13"/>
    </row>
    <row r="4105" spans="2:5" x14ac:dyDescent="0.2">
      <c r="B4105" t="s">
        <v>3959</v>
      </c>
      <c r="C4105" t="s">
        <v>3960</v>
      </c>
      <c r="D4105" s="13">
        <f>_xll.EditDistance($C$3,C4105,2)</f>
        <v>10</v>
      </c>
      <c r="E4105" s="13"/>
    </row>
    <row r="4106" spans="2:5" x14ac:dyDescent="0.2">
      <c r="B4106" t="s">
        <v>4018</v>
      </c>
      <c r="C4106" t="s">
        <v>4019</v>
      </c>
      <c r="D4106" s="13">
        <f>_xll.EditDistance($C$3,C4106,2)</f>
        <v>10</v>
      </c>
      <c r="E4106" s="13"/>
    </row>
    <row r="4107" spans="2:5" x14ac:dyDescent="0.2">
      <c r="B4107" t="s">
        <v>4087</v>
      </c>
      <c r="C4107" t="s">
        <v>4088</v>
      </c>
      <c r="D4107" s="13">
        <f>_xll.EditDistance($C$3,C4107,2)</f>
        <v>10</v>
      </c>
      <c r="E4107" s="13"/>
    </row>
    <row r="4108" spans="2:5" x14ac:dyDescent="0.2">
      <c r="B4108" t="s">
        <v>4165</v>
      </c>
      <c r="C4108" t="s">
        <v>4166</v>
      </c>
      <c r="D4108" s="13">
        <f>_xll.EditDistance($C$3,C4108,2)</f>
        <v>10</v>
      </c>
      <c r="E4108" s="13"/>
    </row>
    <row r="4109" spans="2:5" x14ac:dyDescent="0.2">
      <c r="B4109" t="s">
        <v>4229</v>
      </c>
      <c r="C4109" t="s">
        <v>4230</v>
      </c>
      <c r="D4109" s="13">
        <f>_xll.EditDistance($C$3,C4109,2)</f>
        <v>10</v>
      </c>
      <c r="E4109" s="13"/>
    </row>
    <row r="4110" spans="2:5" x14ac:dyDescent="0.2">
      <c r="B4110" t="s">
        <v>4612</v>
      </c>
      <c r="C4110" t="s">
        <v>4613</v>
      </c>
      <c r="D4110" s="13">
        <f>_xll.EditDistance($C$3,C4110,2)</f>
        <v>10</v>
      </c>
      <c r="E4110" s="13"/>
    </row>
    <row r="4111" spans="2:5" x14ac:dyDescent="0.2">
      <c r="B4111" t="s">
        <v>4708</v>
      </c>
      <c r="C4111" t="s">
        <v>4709</v>
      </c>
      <c r="D4111" s="13">
        <f>_xll.EditDistance($C$3,C4111,2)</f>
        <v>10</v>
      </c>
      <c r="E4111" s="13"/>
    </row>
    <row r="4112" spans="2:5" x14ac:dyDescent="0.2">
      <c r="B4112" s="22" t="s">
        <v>4755</v>
      </c>
      <c r="C4112" t="s">
        <v>4756</v>
      </c>
      <c r="D4112" s="13">
        <f>_xll.EditDistance($C$3,C4112,2)</f>
        <v>10</v>
      </c>
      <c r="E4112" s="13"/>
    </row>
    <row r="4113" spans="2:5" x14ac:dyDescent="0.2">
      <c r="B4113" t="s">
        <v>4800</v>
      </c>
      <c r="C4113" t="s">
        <v>4801</v>
      </c>
      <c r="D4113" s="13">
        <f>_xll.EditDistance($C$3,C4113,2)</f>
        <v>10</v>
      </c>
      <c r="E4113" s="13"/>
    </row>
    <row r="4114" spans="2:5" x14ac:dyDescent="0.2">
      <c r="B4114" t="s">
        <v>4871</v>
      </c>
      <c r="C4114" t="s">
        <v>4872</v>
      </c>
      <c r="D4114" s="13">
        <f>_xll.EditDistance($C$3,C4114,2)</f>
        <v>10</v>
      </c>
      <c r="E4114" s="13"/>
    </row>
    <row r="4115" spans="2:5" x14ac:dyDescent="0.2">
      <c r="B4115" t="s">
        <v>4912</v>
      </c>
      <c r="C4115" t="s">
        <v>4913</v>
      </c>
      <c r="D4115" s="13">
        <f>_xll.EditDistance($C$3,C4115,2)</f>
        <v>10</v>
      </c>
      <c r="E4115" s="13"/>
    </row>
    <row r="4116" spans="2:5" x14ac:dyDescent="0.2">
      <c r="B4116" t="s">
        <v>4916</v>
      </c>
      <c r="C4116" t="s">
        <v>4917</v>
      </c>
      <c r="D4116" s="13">
        <f>_xll.EditDistance($C$3,C4116,2)</f>
        <v>10</v>
      </c>
      <c r="E4116" s="13"/>
    </row>
    <row r="4117" spans="2:5" x14ac:dyDescent="0.2">
      <c r="B4117" t="s">
        <v>4936</v>
      </c>
      <c r="C4117" t="s">
        <v>4937</v>
      </c>
      <c r="D4117" s="13">
        <f>_xll.EditDistance($C$3,C4117,2)</f>
        <v>10</v>
      </c>
      <c r="E4117" s="13"/>
    </row>
    <row r="4118" spans="2:5" x14ac:dyDescent="0.2">
      <c r="B4118" t="s">
        <v>4974</v>
      </c>
      <c r="C4118" t="s">
        <v>4975</v>
      </c>
      <c r="D4118" s="13">
        <f>_xll.EditDistance($C$3,C4118,2)</f>
        <v>10</v>
      </c>
      <c r="E4118" s="13"/>
    </row>
    <row r="4119" spans="2:5" x14ac:dyDescent="0.2">
      <c r="B4119" t="s">
        <v>5039</v>
      </c>
      <c r="C4119" t="s">
        <v>5040</v>
      </c>
      <c r="D4119" s="13">
        <f>_xll.EditDistance($C$3,C4119,2)</f>
        <v>10</v>
      </c>
      <c r="E4119" s="13"/>
    </row>
    <row r="4120" spans="2:5" x14ac:dyDescent="0.2">
      <c r="B4120" t="s">
        <v>5166</v>
      </c>
      <c r="C4120" t="s">
        <v>5167</v>
      </c>
      <c r="D4120" s="13">
        <f>_xll.EditDistance($C$3,C4120,2)</f>
        <v>10</v>
      </c>
      <c r="E4120" s="13"/>
    </row>
    <row r="4121" spans="2:5" x14ac:dyDescent="0.2">
      <c r="B4121" t="s">
        <v>5211</v>
      </c>
      <c r="C4121" t="s">
        <v>5212</v>
      </c>
      <c r="D4121" s="13">
        <f>_xll.EditDistance($C$3,C4121,2)</f>
        <v>10</v>
      </c>
      <c r="E4121" s="13"/>
    </row>
    <row r="4122" spans="2:5" x14ac:dyDescent="0.2">
      <c r="B4122" t="s">
        <v>5228</v>
      </c>
      <c r="C4122" t="s">
        <v>5229</v>
      </c>
      <c r="D4122" s="13">
        <f>_xll.EditDistance($C$3,C4122,2)</f>
        <v>10</v>
      </c>
      <c r="E4122" s="13"/>
    </row>
    <row r="4123" spans="2:5" x14ac:dyDescent="0.2">
      <c r="B4123" t="s">
        <v>5239</v>
      </c>
      <c r="C4123" t="s">
        <v>5240</v>
      </c>
      <c r="D4123" s="13">
        <f>_xll.EditDistance($C$3,C4123,2)</f>
        <v>10</v>
      </c>
      <c r="E4123" s="13"/>
    </row>
    <row r="4124" spans="2:5" x14ac:dyDescent="0.2">
      <c r="B4124" t="s">
        <v>5262</v>
      </c>
      <c r="C4124" t="s">
        <v>5263</v>
      </c>
      <c r="D4124" s="13">
        <f>_xll.EditDistance($C$3,C4124,2)</f>
        <v>10</v>
      </c>
      <c r="E4124" s="13"/>
    </row>
    <row r="4125" spans="2:5" x14ac:dyDescent="0.2">
      <c r="B4125" t="s">
        <v>5281</v>
      </c>
      <c r="C4125" t="s">
        <v>5282</v>
      </c>
      <c r="D4125" s="13">
        <f>_xll.EditDistance($C$3,C4125,2)</f>
        <v>10</v>
      </c>
      <c r="E4125" s="13"/>
    </row>
    <row r="4126" spans="2:5" x14ac:dyDescent="0.2">
      <c r="B4126" t="s">
        <v>5380</v>
      </c>
      <c r="C4126" t="s">
        <v>5381</v>
      </c>
      <c r="D4126" s="13">
        <f>_xll.EditDistance($C$3,C4126,2)</f>
        <v>10</v>
      </c>
      <c r="E4126" s="13"/>
    </row>
    <row r="4127" spans="2:5" x14ac:dyDescent="0.2">
      <c r="B4127" t="s">
        <v>5394</v>
      </c>
      <c r="C4127" t="s">
        <v>5395</v>
      </c>
      <c r="D4127" s="13">
        <f>_xll.EditDistance($C$3,C4127,2)</f>
        <v>10</v>
      </c>
      <c r="E4127" s="13"/>
    </row>
    <row r="4128" spans="2:5" x14ac:dyDescent="0.2">
      <c r="B4128" s="22" t="s">
        <v>5453</v>
      </c>
      <c r="C4128" t="s">
        <v>5454</v>
      </c>
      <c r="D4128" s="13">
        <f>_xll.EditDistance($C$3,C4128,2)</f>
        <v>10</v>
      </c>
      <c r="E4128" s="13"/>
    </row>
    <row r="4129" spans="2:5" x14ac:dyDescent="0.2">
      <c r="B4129" t="s">
        <v>5463</v>
      </c>
      <c r="C4129" t="s">
        <v>5464</v>
      </c>
      <c r="D4129" s="13">
        <f>_xll.EditDistance($C$3,C4129,2)</f>
        <v>10</v>
      </c>
      <c r="E4129" s="13"/>
    </row>
    <row r="4130" spans="2:5" x14ac:dyDescent="0.2">
      <c r="B4130" t="s">
        <v>5604</v>
      </c>
      <c r="C4130" t="s">
        <v>5605</v>
      </c>
      <c r="D4130" s="13">
        <f>_xll.EditDistance($C$3,C4130,2)</f>
        <v>10</v>
      </c>
      <c r="E4130" s="13"/>
    </row>
    <row r="4131" spans="2:5" x14ac:dyDescent="0.2">
      <c r="B4131" t="s">
        <v>5606</v>
      </c>
      <c r="C4131" t="s">
        <v>5607</v>
      </c>
      <c r="D4131" s="13">
        <f>_xll.EditDistance($C$3,C4131,2)</f>
        <v>10</v>
      </c>
      <c r="E4131" s="13"/>
    </row>
    <row r="4132" spans="2:5" x14ac:dyDescent="0.2">
      <c r="B4132" t="s">
        <v>5656</v>
      </c>
      <c r="C4132" t="s">
        <v>5657</v>
      </c>
      <c r="D4132" s="13">
        <f>_xll.EditDistance($C$3,C4132,2)</f>
        <v>10</v>
      </c>
      <c r="E4132" s="13"/>
    </row>
    <row r="4133" spans="2:5" x14ac:dyDescent="0.2">
      <c r="B4133" t="s">
        <v>5732</v>
      </c>
      <c r="C4133" t="s">
        <v>5733</v>
      </c>
      <c r="D4133" s="13">
        <f>_xll.EditDistance($C$3,C4133,2)</f>
        <v>10</v>
      </c>
      <c r="E4133" s="13"/>
    </row>
    <row r="4134" spans="2:5" x14ac:dyDescent="0.2">
      <c r="B4134" t="s">
        <v>5740</v>
      </c>
      <c r="C4134" t="s">
        <v>5741</v>
      </c>
      <c r="D4134" s="13">
        <f>_xll.EditDistance($C$3,C4134,2)</f>
        <v>10</v>
      </c>
      <c r="E4134" s="13"/>
    </row>
    <row r="4135" spans="2:5" x14ac:dyDescent="0.2">
      <c r="B4135" t="s">
        <v>5773</v>
      </c>
      <c r="C4135" t="s">
        <v>5774</v>
      </c>
      <c r="D4135" s="13">
        <f>_xll.EditDistance($C$3,C4135,2)</f>
        <v>10</v>
      </c>
      <c r="E4135" s="13"/>
    </row>
    <row r="4136" spans="2:5" x14ac:dyDescent="0.2">
      <c r="B4136" t="s">
        <v>5957</v>
      </c>
      <c r="C4136" t="s">
        <v>5958</v>
      </c>
      <c r="D4136" s="13">
        <f>_xll.EditDistance($C$3,C4136,2)</f>
        <v>10</v>
      </c>
      <c r="E4136" s="13"/>
    </row>
    <row r="4137" spans="2:5" x14ac:dyDescent="0.2">
      <c r="B4137" t="s">
        <v>5959</v>
      </c>
      <c r="C4137" t="s">
        <v>5960</v>
      </c>
      <c r="D4137" s="13">
        <f>_xll.EditDistance($C$3,C4137,2)</f>
        <v>10</v>
      </c>
      <c r="E4137" s="13"/>
    </row>
    <row r="4138" spans="2:5" x14ac:dyDescent="0.2">
      <c r="B4138" t="s">
        <v>6161</v>
      </c>
      <c r="C4138" t="s">
        <v>6162</v>
      </c>
      <c r="D4138" s="13">
        <f>_xll.EditDistance($C$3,C4138,2)</f>
        <v>10</v>
      </c>
      <c r="E4138" s="13"/>
    </row>
    <row r="4139" spans="2:5" x14ac:dyDescent="0.2">
      <c r="B4139" t="s">
        <v>6208</v>
      </c>
      <c r="C4139" t="s">
        <v>6209</v>
      </c>
      <c r="D4139" s="13">
        <f>_xll.EditDistance($C$3,C4139,2)</f>
        <v>10</v>
      </c>
      <c r="E4139" s="13"/>
    </row>
    <row r="4140" spans="2:5" x14ac:dyDescent="0.2">
      <c r="B4140" t="s">
        <v>6244</v>
      </c>
      <c r="C4140" t="s">
        <v>6245</v>
      </c>
      <c r="D4140" s="13">
        <f>_xll.EditDistance($C$3,C4140,2)</f>
        <v>10</v>
      </c>
      <c r="E4140" s="13"/>
    </row>
    <row r="4141" spans="2:5" x14ac:dyDescent="0.2">
      <c r="B4141" t="s">
        <v>6262</v>
      </c>
      <c r="C4141" t="s">
        <v>6263</v>
      </c>
      <c r="D4141" s="13">
        <f>_xll.EditDistance($C$3,C4141,2)</f>
        <v>10</v>
      </c>
      <c r="E4141" s="13"/>
    </row>
    <row r="4142" spans="2:5" x14ac:dyDescent="0.2">
      <c r="B4142" t="s">
        <v>6297</v>
      </c>
      <c r="C4142" t="s">
        <v>6298</v>
      </c>
      <c r="D4142" s="13">
        <f>_xll.EditDistance($C$3,C4142,2)</f>
        <v>10</v>
      </c>
      <c r="E4142" s="13"/>
    </row>
    <row r="4143" spans="2:5" x14ac:dyDescent="0.2">
      <c r="B4143" t="s">
        <v>6473</v>
      </c>
      <c r="C4143" t="s">
        <v>6474</v>
      </c>
      <c r="D4143" s="13">
        <f>_xll.EditDistance($C$3,C4143,2)</f>
        <v>20</v>
      </c>
      <c r="E4143" s="13"/>
    </row>
    <row r="4144" spans="2:5" x14ac:dyDescent="0.2">
      <c r="B4144" t="s">
        <v>6473</v>
      </c>
      <c r="C4144" t="s">
        <v>6475</v>
      </c>
      <c r="D4144" s="13">
        <f>_xll.EditDistance($C$3,C4144,2)</f>
        <v>10</v>
      </c>
      <c r="E4144" s="13"/>
    </row>
    <row r="4145" spans="2:5" x14ac:dyDescent="0.2">
      <c r="B4145" t="s">
        <v>6502</v>
      </c>
      <c r="C4145" t="s">
        <v>6503</v>
      </c>
      <c r="D4145" s="13">
        <f>_xll.EditDistance($C$3,C4145,2)</f>
        <v>10</v>
      </c>
      <c r="E4145" s="13"/>
    </row>
    <row r="4146" spans="2:5" x14ac:dyDescent="0.2">
      <c r="B4146" t="s">
        <v>6548</v>
      </c>
      <c r="C4146" t="s">
        <v>6549</v>
      </c>
      <c r="D4146" s="13">
        <f>_xll.EditDistance($C$3,C4146,2)</f>
        <v>10</v>
      </c>
      <c r="E4146" s="13"/>
    </row>
    <row r="4147" spans="2:5" x14ac:dyDescent="0.2">
      <c r="B4147" t="s">
        <v>6564</v>
      </c>
      <c r="C4147" t="s">
        <v>6565</v>
      </c>
      <c r="D4147" s="13">
        <f>_xll.EditDistance($C$3,C4147,2)</f>
        <v>10</v>
      </c>
      <c r="E4147" s="13"/>
    </row>
    <row r="4148" spans="2:5" x14ac:dyDescent="0.2">
      <c r="B4148" t="s">
        <v>6613</v>
      </c>
      <c r="C4148" t="s">
        <v>6614</v>
      </c>
      <c r="D4148" s="13">
        <f>_xll.EditDistance($C$3,C4148,2)</f>
        <v>10</v>
      </c>
      <c r="E4148" s="13"/>
    </row>
    <row r="4149" spans="2:5" x14ac:dyDescent="0.2">
      <c r="B4149" t="s">
        <v>6631</v>
      </c>
      <c r="C4149" t="s">
        <v>6633</v>
      </c>
      <c r="D4149" s="13">
        <f>_xll.EditDistance($C$3,C4149,2)</f>
        <v>10</v>
      </c>
      <c r="E4149" s="13"/>
    </row>
    <row r="4150" spans="2:5" x14ac:dyDescent="0.2">
      <c r="B4150" t="s">
        <v>6728</v>
      </c>
      <c r="C4150" t="s">
        <v>6729</v>
      </c>
      <c r="D4150" s="13">
        <f>_xll.EditDistance($C$3,C4150,2)</f>
        <v>10</v>
      </c>
      <c r="E4150" s="13"/>
    </row>
    <row r="4151" spans="2:5" x14ac:dyDescent="0.2">
      <c r="B4151" t="s">
        <v>6746</v>
      </c>
      <c r="C4151" t="s">
        <v>6747</v>
      </c>
      <c r="D4151" s="13">
        <f>_xll.EditDistance($C$3,C4151,2)</f>
        <v>10</v>
      </c>
      <c r="E4151" s="13"/>
    </row>
    <row r="4152" spans="2:5" x14ac:dyDescent="0.2">
      <c r="B4152" t="s">
        <v>6748</v>
      </c>
      <c r="C4152" t="s">
        <v>6749</v>
      </c>
      <c r="D4152" s="13">
        <f>_xll.EditDistance($C$3,C4152,2)</f>
        <v>10</v>
      </c>
      <c r="E4152" s="13"/>
    </row>
    <row r="4153" spans="2:5" x14ac:dyDescent="0.2">
      <c r="B4153" t="s">
        <v>6816</v>
      </c>
      <c r="C4153" t="s">
        <v>6817</v>
      </c>
      <c r="D4153" s="13">
        <f>_xll.EditDistance($C$3,C4153,2)</f>
        <v>10</v>
      </c>
      <c r="E4153" s="13"/>
    </row>
    <row r="4154" spans="2:5" x14ac:dyDescent="0.2">
      <c r="B4154" t="s">
        <v>6835</v>
      </c>
      <c r="C4154" t="s">
        <v>6836</v>
      </c>
      <c r="D4154" s="13">
        <f>_xll.EditDistance($C$3,C4154,2)</f>
        <v>10</v>
      </c>
      <c r="E4154" s="13"/>
    </row>
    <row r="4155" spans="2:5" x14ac:dyDescent="0.2">
      <c r="B4155" t="s">
        <v>6853</v>
      </c>
      <c r="C4155" t="s">
        <v>6854</v>
      </c>
      <c r="D4155" s="13">
        <f>_xll.EditDistance($C$3,C4155,2)</f>
        <v>10</v>
      </c>
      <c r="E4155" s="13"/>
    </row>
    <row r="4156" spans="2:5" x14ac:dyDescent="0.2">
      <c r="B4156" t="s">
        <v>7028</v>
      </c>
      <c r="C4156" t="s">
        <v>7029</v>
      </c>
      <c r="D4156" s="13">
        <f>_xll.EditDistance($C$3,C4156,2)</f>
        <v>10</v>
      </c>
      <c r="E4156" s="13"/>
    </row>
    <row r="4157" spans="2:5" x14ac:dyDescent="0.2">
      <c r="B4157" t="s">
        <v>7042</v>
      </c>
      <c r="C4157" t="s">
        <v>7043</v>
      </c>
      <c r="D4157" s="13">
        <f>_xll.EditDistance($C$3,C4157,2)</f>
        <v>10</v>
      </c>
      <c r="E4157" s="13"/>
    </row>
    <row r="4158" spans="2:5" x14ac:dyDescent="0.2">
      <c r="B4158" t="s">
        <v>7052</v>
      </c>
      <c r="C4158" t="s">
        <v>7053</v>
      </c>
      <c r="D4158" s="13">
        <f>_xll.EditDistance($C$3,C4158,2)</f>
        <v>10</v>
      </c>
      <c r="E4158" s="13"/>
    </row>
    <row r="4159" spans="2:5" x14ac:dyDescent="0.2">
      <c r="B4159" t="s">
        <v>7199</v>
      </c>
      <c r="C4159" t="s">
        <v>7200</v>
      </c>
      <c r="D4159" s="13">
        <f>_xll.EditDistance($C$3,C4159,2)</f>
        <v>10</v>
      </c>
      <c r="E4159" s="13"/>
    </row>
    <row r="4160" spans="2:5" x14ac:dyDescent="0.2">
      <c r="B4160" t="s">
        <v>7203</v>
      </c>
      <c r="C4160" t="s">
        <v>7204</v>
      </c>
      <c r="D4160" s="13">
        <f>_xll.EditDistance($C$3,C4160,2)</f>
        <v>10</v>
      </c>
      <c r="E4160" s="13"/>
    </row>
    <row r="4161" spans="2:5" x14ac:dyDescent="0.2">
      <c r="B4161" t="s">
        <v>7243</v>
      </c>
      <c r="C4161" t="s">
        <v>7244</v>
      </c>
      <c r="D4161" s="13">
        <f>_xll.EditDistance($C$3,C4161,2)</f>
        <v>10</v>
      </c>
      <c r="E4161" s="13"/>
    </row>
    <row r="4162" spans="2:5" x14ac:dyDescent="0.2">
      <c r="B4162" t="s">
        <v>7289</v>
      </c>
      <c r="C4162" t="s">
        <v>7290</v>
      </c>
      <c r="D4162" s="13">
        <f>_xll.EditDistance($C$3,C4162,2)</f>
        <v>10</v>
      </c>
      <c r="E4162" s="13"/>
    </row>
    <row r="4163" spans="2:5" x14ac:dyDescent="0.2">
      <c r="B4163" t="s">
        <v>7348</v>
      </c>
      <c r="C4163" t="s">
        <v>7350</v>
      </c>
      <c r="D4163" s="13">
        <f>_xll.EditDistance($C$3,C4163,2)</f>
        <v>10</v>
      </c>
      <c r="E4163" s="13"/>
    </row>
    <row r="4164" spans="2:5" x14ac:dyDescent="0.2">
      <c r="B4164" t="s">
        <v>7583</v>
      </c>
      <c r="C4164" t="s">
        <v>7584</v>
      </c>
      <c r="D4164" s="13">
        <f>_xll.EditDistance($C$3,C4164,2)</f>
        <v>20</v>
      </c>
      <c r="E4164" s="13"/>
    </row>
    <row r="4165" spans="2:5" x14ac:dyDescent="0.2">
      <c r="B4165" t="s">
        <v>7586</v>
      </c>
      <c r="C4165" t="s">
        <v>7587</v>
      </c>
      <c r="D4165" s="13">
        <f>_xll.EditDistance($C$3,C4165,2)</f>
        <v>10</v>
      </c>
      <c r="E4165" s="13"/>
    </row>
    <row r="4166" spans="2:5" x14ac:dyDescent="0.2">
      <c r="B4166" t="s">
        <v>7629</v>
      </c>
      <c r="C4166" t="s">
        <v>7630</v>
      </c>
      <c r="D4166" s="13">
        <f>_xll.EditDistance($C$3,C4166,2)</f>
        <v>10</v>
      </c>
      <c r="E4166" s="13"/>
    </row>
    <row r="4167" spans="2:5" x14ac:dyDescent="0.2">
      <c r="B4167" t="s">
        <v>7629</v>
      </c>
      <c r="C4167" t="s">
        <v>7631</v>
      </c>
      <c r="D4167" s="13">
        <f>_xll.EditDistance($C$3,C4167,2)</f>
        <v>10</v>
      </c>
      <c r="E4167" s="13"/>
    </row>
    <row r="4168" spans="2:5" x14ac:dyDescent="0.2">
      <c r="B4168" t="s">
        <v>7686</v>
      </c>
      <c r="C4168" t="s">
        <v>7687</v>
      </c>
      <c r="D4168" s="13">
        <f>_xll.EditDistance($C$3,C4168,2)</f>
        <v>10</v>
      </c>
      <c r="E4168" s="13"/>
    </row>
    <row r="4169" spans="2:5" x14ac:dyDescent="0.2">
      <c r="B4169" t="s">
        <v>7844</v>
      </c>
      <c r="C4169" t="s">
        <v>7845</v>
      </c>
      <c r="D4169" s="13">
        <f>_xll.EditDistance($C$3,C4169,2)</f>
        <v>10</v>
      </c>
      <c r="E4169" s="13"/>
    </row>
    <row r="4170" spans="2:5" x14ac:dyDescent="0.2">
      <c r="B4170" t="s">
        <v>7895</v>
      </c>
      <c r="C4170" t="s">
        <v>7896</v>
      </c>
      <c r="D4170" s="13">
        <f>_xll.EditDistance($C$3,C4170,2)</f>
        <v>10</v>
      </c>
      <c r="E4170" s="13"/>
    </row>
    <row r="4171" spans="2:5" x14ac:dyDescent="0.2">
      <c r="B4171" t="s">
        <v>7962</v>
      </c>
      <c r="C4171" t="s">
        <v>7963</v>
      </c>
      <c r="D4171" s="13">
        <f>_xll.EditDistance($C$3,C4171,2)</f>
        <v>10</v>
      </c>
      <c r="E4171" s="13"/>
    </row>
    <row r="4172" spans="2:5" x14ac:dyDescent="0.2">
      <c r="B4172" t="s">
        <v>7966</v>
      </c>
      <c r="C4172" t="s">
        <v>7967</v>
      </c>
      <c r="D4172" s="13">
        <f>_xll.EditDistance($C$3,C4172,2)</f>
        <v>10</v>
      </c>
      <c r="E4172" s="13"/>
    </row>
    <row r="4173" spans="2:5" x14ac:dyDescent="0.2">
      <c r="B4173" t="s">
        <v>7976</v>
      </c>
      <c r="C4173" t="s">
        <v>7977</v>
      </c>
      <c r="D4173" s="13">
        <f>_xll.EditDistance($C$3,C4173,2)</f>
        <v>20</v>
      </c>
      <c r="E4173" s="13"/>
    </row>
    <row r="4174" spans="2:5" x14ac:dyDescent="0.2">
      <c r="B4174" t="s">
        <v>8052</v>
      </c>
      <c r="C4174" t="s">
        <v>8053</v>
      </c>
      <c r="D4174" s="13">
        <f>_xll.EditDistance($C$3,C4174,2)</f>
        <v>10</v>
      </c>
      <c r="E4174" s="13"/>
    </row>
    <row r="4175" spans="2:5" x14ac:dyDescent="0.2">
      <c r="B4175" t="s">
        <v>8118</v>
      </c>
      <c r="C4175" t="s">
        <v>8119</v>
      </c>
      <c r="D4175" s="13">
        <f>_xll.EditDistance($C$3,C4175,2)</f>
        <v>10</v>
      </c>
      <c r="E4175" s="13"/>
    </row>
    <row r="4176" spans="2:5" x14ac:dyDescent="0.2">
      <c r="B4176" t="s">
        <v>8128</v>
      </c>
      <c r="C4176" t="s">
        <v>8129</v>
      </c>
      <c r="D4176" s="13">
        <f>_xll.EditDistance($C$3,C4176,2)</f>
        <v>10</v>
      </c>
      <c r="E4176" s="13"/>
    </row>
    <row r="4177" spans="2:5" x14ac:dyDescent="0.2">
      <c r="B4177" t="s">
        <v>8208</v>
      </c>
      <c r="C4177" t="s">
        <v>8209</v>
      </c>
      <c r="D4177" s="13">
        <f>_xll.EditDistance($C$3,C4177,2)</f>
        <v>10</v>
      </c>
      <c r="E4177" s="13"/>
    </row>
    <row r="4178" spans="2:5" x14ac:dyDescent="0.2">
      <c r="B4178" t="s">
        <v>8240</v>
      </c>
      <c r="C4178" t="s">
        <v>8241</v>
      </c>
      <c r="D4178" s="13">
        <f>_xll.EditDistance($C$3,C4178,2)</f>
        <v>10</v>
      </c>
      <c r="E4178" s="13"/>
    </row>
    <row r="4179" spans="2:5" x14ac:dyDescent="0.2">
      <c r="B4179" t="s">
        <v>8371</v>
      </c>
      <c r="C4179" t="s">
        <v>8373</v>
      </c>
      <c r="D4179" s="13">
        <f>_xll.EditDistance($C$3,C4179,2)</f>
        <v>30</v>
      </c>
      <c r="E4179" s="13"/>
    </row>
    <row r="4180" spans="2:5" x14ac:dyDescent="0.2">
      <c r="B4180" t="s">
        <v>8402</v>
      </c>
      <c r="C4180" t="s">
        <v>8403</v>
      </c>
      <c r="D4180" s="13">
        <f>_xll.EditDistance($C$3,C4180,2)</f>
        <v>10</v>
      </c>
      <c r="E4180" s="13"/>
    </row>
    <row r="4181" spans="2:5" x14ac:dyDescent="0.2">
      <c r="B4181" t="s">
        <v>8543</v>
      </c>
      <c r="C4181" t="s">
        <v>8544</v>
      </c>
      <c r="D4181" s="13">
        <f>_xll.EditDistance($C$3,C4181,2)</f>
        <v>10</v>
      </c>
      <c r="E4181" s="13"/>
    </row>
    <row r="4182" spans="2:5" x14ac:dyDescent="0.2">
      <c r="B4182" t="s">
        <v>8561</v>
      </c>
      <c r="C4182" t="s">
        <v>8562</v>
      </c>
      <c r="D4182" s="13">
        <f>_xll.EditDistance($C$3,C4182,2)</f>
        <v>10</v>
      </c>
      <c r="E4182" s="13"/>
    </row>
    <row r="4183" spans="2:5" x14ac:dyDescent="0.2">
      <c r="B4183" t="s">
        <v>8709</v>
      </c>
      <c r="C4183" t="s">
        <v>8710</v>
      </c>
      <c r="D4183" s="13">
        <f>_xll.EditDistance($C$3,C4183,2)</f>
        <v>10</v>
      </c>
      <c r="E4183" s="13"/>
    </row>
    <row r="4184" spans="2:5" x14ac:dyDescent="0.2">
      <c r="B4184" t="s">
        <v>8721</v>
      </c>
      <c r="C4184" t="s">
        <v>8722</v>
      </c>
      <c r="D4184" s="13">
        <f>_xll.EditDistance($C$3,C4184,2)</f>
        <v>20</v>
      </c>
      <c r="E4184" s="13"/>
    </row>
    <row r="4185" spans="2:5" x14ac:dyDescent="0.2">
      <c r="B4185" t="s">
        <v>128</v>
      </c>
      <c r="C4185" t="s">
        <v>129</v>
      </c>
      <c r="D4185" s="13">
        <f>_xll.EditDistance($C$3,C4185,2)</f>
        <v>10</v>
      </c>
      <c r="E4185" s="13"/>
    </row>
    <row r="4186" spans="2:5" x14ac:dyDescent="0.2">
      <c r="B4186" t="s">
        <v>188</v>
      </c>
      <c r="C4186" t="s">
        <v>189</v>
      </c>
      <c r="D4186" s="13">
        <f>_xll.EditDistance($C$3,C4186,2)</f>
        <v>10</v>
      </c>
      <c r="E4186" s="13"/>
    </row>
    <row r="4187" spans="2:5" x14ac:dyDescent="0.2">
      <c r="B4187" t="s">
        <v>410</v>
      </c>
      <c r="C4187" t="s">
        <v>411</v>
      </c>
      <c r="D4187" s="13">
        <f>_xll.EditDistance($C$3,C4187,2)</f>
        <v>10</v>
      </c>
      <c r="E4187" s="13"/>
    </row>
    <row r="4188" spans="2:5" x14ac:dyDescent="0.2">
      <c r="B4188" t="s">
        <v>430</v>
      </c>
      <c r="C4188" t="s">
        <v>431</v>
      </c>
      <c r="D4188" s="13">
        <f>_xll.EditDistance($C$3,C4188,2)</f>
        <v>10</v>
      </c>
      <c r="E4188" s="13"/>
    </row>
    <row r="4189" spans="2:5" x14ac:dyDescent="0.2">
      <c r="B4189" t="s">
        <v>480</v>
      </c>
      <c r="C4189" t="s">
        <v>481</v>
      </c>
      <c r="D4189" s="13">
        <f>_xll.EditDistance($C$3,C4189,2)</f>
        <v>10</v>
      </c>
      <c r="E4189" s="13"/>
    </row>
    <row r="4190" spans="2:5" x14ac:dyDescent="0.2">
      <c r="B4190" t="s">
        <v>697</v>
      </c>
      <c r="C4190" t="s">
        <v>698</v>
      </c>
      <c r="D4190" s="13">
        <f>_xll.EditDistance($C$3,C4190,2)</f>
        <v>10</v>
      </c>
      <c r="E4190" s="13"/>
    </row>
    <row r="4191" spans="2:5" x14ac:dyDescent="0.2">
      <c r="B4191" t="s">
        <v>932</v>
      </c>
      <c r="C4191" t="s">
        <v>933</v>
      </c>
      <c r="D4191" s="13">
        <f>_xll.EditDistance($C$3,C4191,2)</f>
        <v>10</v>
      </c>
      <c r="E4191" s="13"/>
    </row>
    <row r="4192" spans="2:5" x14ac:dyDescent="0.2">
      <c r="B4192" t="s">
        <v>972</v>
      </c>
      <c r="C4192" t="s">
        <v>973</v>
      </c>
      <c r="D4192" s="13">
        <f>_xll.EditDistance($C$3,C4192,2)</f>
        <v>10</v>
      </c>
      <c r="E4192" s="13"/>
    </row>
    <row r="4193" spans="2:5" x14ac:dyDescent="0.2">
      <c r="B4193" t="s">
        <v>1095</v>
      </c>
      <c r="C4193" t="s">
        <v>1096</v>
      </c>
      <c r="D4193" s="13">
        <f>_xll.EditDistance($C$3,C4193,2)</f>
        <v>10</v>
      </c>
      <c r="E4193" s="13"/>
    </row>
    <row r="4194" spans="2:5" x14ac:dyDescent="0.2">
      <c r="B4194" t="s">
        <v>1135</v>
      </c>
      <c r="C4194" t="s">
        <v>1136</v>
      </c>
      <c r="D4194" s="13">
        <f>_xll.EditDistance($C$3,C4194,2)</f>
        <v>10</v>
      </c>
      <c r="E4194" s="13"/>
    </row>
    <row r="4195" spans="2:5" x14ac:dyDescent="0.2">
      <c r="B4195" t="s">
        <v>1295</v>
      </c>
      <c r="C4195" t="s">
        <v>1297</v>
      </c>
      <c r="D4195" s="13">
        <f>_xll.EditDistance($C$3,C4195,2)</f>
        <v>20</v>
      </c>
      <c r="E4195" s="13"/>
    </row>
    <row r="4196" spans="2:5" x14ac:dyDescent="0.2">
      <c r="B4196" t="s">
        <v>1334</v>
      </c>
      <c r="C4196" t="s">
        <v>1335</v>
      </c>
      <c r="D4196" s="13">
        <f>_xll.EditDistance($C$3,C4196,2)</f>
        <v>10</v>
      </c>
      <c r="E4196" s="13"/>
    </row>
    <row r="4197" spans="2:5" x14ac:dyDescent="0.2">
      <c r="B4197" t="s">
        <v>1393</v>
      </c>
      <c r="C4197" t="s">
        <v>1394</v>
      </c>
      <c r="D4197" s="13">
        <f>_xll.EditDistance($C$3,C4197,2)</f>
        <v>10</v>
      </c>
      <c r="E4197" s="13"/>
    </row>
    <row r="4198" spans="2:5" x14ac:dyDescent="0.2">
      <c r="B4198" t="s">
        <v>1445</v>
      </c>
      <c r="C4198" t="s">
        <v>1446</v>
      </c>
      <c r="D4198" s="13">
        <f>_xll.EditDistance($C$3,C4198,2)</f>
        <v>10</v>
      </c>
      <c r="E4198" s="13"/>
    </row>
    <row r="4199" spans="2:5" x14ac:dyDescent="0.2">
      <c r="B4199" t="s">
        <v>1574</v>
      </c>
      <c r="C4199" t="s">
        <v>1575</v>
      </c>
      <c r="D4199" s="13">
        <f>_xll.EditDistance($C$3,C4199,2)</f>
        <v>10</v>
      </c>
      <c r="E4199" s="13"/>
    </row>
    <row r="4200" spans="2:5" x14ac:dyDescent="0.2">
      <c r="B4200" t="s">
        <v>1614</v>
      </c>
      <c r="C4200" t="s">
        <v>1615</v>
      </c>
      <c r="D4200" s="13">
        <f>_xll.EditDistance($C$3,C4200,2)</f>
        <v>10</v>
      </c>
      <c r="E4200" s="13"/>
    </row>
    <row r="4201" spans="2:5" x14ac:dyDescent="0.2">
      <c r="B4201" t="s">
        <v>1675</v>
      </c>
      <c r="C4201" t="s">
        <v>1676</v>
      </c>
      <c r="D4201" s="13">
        <f>_xll.EditDistance($C$3,C4201,2)</f>
        <v>10</v>
      </c>
      <c r="E4201" s="13"/>
    </row>
    <row r="4202" spans="2:5" x14ac:dyDescent="0.2">
      <c r="B4202" t="s">
        <v>1704</v>
      </c>
      <c r="C4202" t="s">
        <v>1705</v>
      </c>
      <c r="D4202" s="13">
        <f>_xll.EditDistance($C$3,C4202,2)</f>
        <v>10</v>
      </c>
      <c r="E4202" s="13"/>
    </row>
    <row r="4203" spans="2:5" x14ac:dyDescent="0.2">
      <c r="B4203" t="s">
        <v>1722</v>
      </c>
      <c r="C4203" t="s">
        <v>1723</v>
      </c>
      <c r="D4203" s="13">
        <f>_xll.EditDistance($C$3,C4203,2)</f>
        <v>10</v>
      </c>
      <c r="E4203" s="13"/>
    </row>
    <row r="4204" spans="2:5" x14ac:dyDescent="0.2">
      <c r="B4204" t="s">
        <v>1724</v>
      </c>
      <c r="C4204" t="s">
        <v>1725</v>
      </c>
      <c r="D4204" s="13">
        <f>_xll.EditDistance($C$3,C4204,2)</f>
        <v>10</v>
      </c>
      <c r="E4204" s="13"/>
    </row>
    <row r="4205" spans="2:5" x14ac:dyDescent="0.2">
      <c r="B4205" t="s">
        <v>1740</v>
      </c>
      <c r="C4205" t="s">
        <v>1741</v>
      </c>
      <c r="D4205" s="13">
        <f>_xll.EditDistance($C$3,C4205,2)</f>
        <v>10</v>
      </c>
      <c r="E4205" s="13"/>
    </row>
    <row r="4206" spans="2:5" x14ac:dyDescent="0.2">
      <c r="B4206" t="s">
        <v>1865</v>
      </c>
      <c r="C4206" t="s">
        <v>1866</v>
      </c>
      <c r="D4206" s="13">
        <f>_xll.EditDistance($C$3,C4206,2)</f>
        <v>10</v>
      </c>
      <c r="E4206" s="13"/>
    </row>
    <row r="4207" spans="2:5" x14ac:dyDescent="0.2">
      <c r="B4207" t="s">
        <v>1936</v>
      </c>
      <c r="C4207" t="s">
        <v>1937</v>
      </c>
      <c r="D4207" s="13">
        <f>_xll.EditDistance($C$3,C4207,2)</f>
        <v>10</v>
      </c>
      <c r="E4207" s="13"/>
    </row>
    <row r="4208" spans="2:5" x14ac:dyDescent="0.2">
      <c r="B4208" t="s">
        <v>2200</v>
      </c>
      <c r="C4208" t="s">
        <v>2201</v>
      </c>
      <c r="D4208" s="13">
        <f>_xll.EditDistance($C$3,C4208,2)</f>
        <v>10</v>
      </c>
      <c r="E4208" s="13"/>
    </row>
    <row r="4209" spans="2:5" x14ac:dyDescent="0.2">
      <c r="B4209" t="s">
        <v>2245</v>
      </c>
      <c r="C4209" t="s">
        <v>2246</v>
      </c>
      <c r="D4209" s="13">
        <f>_xll.EditDistance($C$3,C4209,2)</f>
        <v>10</v>
      </c>
      <c r="E4209" s="13"/>
    </row>
    <row r="4210" spans="2:5" x14ac:dyDescent="0.2">
      <c r="B4210" t="s">
        <v>2293</v>
      </c>
      <c r="C4210" t="s">
        <v>2294</v>
      </c>
      <c r="D4210" s="13">
        <f>_xll.EditDistance($C$3,C4210,2)</f>
        <v>10</v>
      </c>
      <c r="E4210" s="13"/>
    </row>
    <row r="4211" spans="2:5" x14ac:dyDescent="0.2">
      <c r="B4211" t="s">
        <v>2328</v>
      </c>
      <c r="C4211" t="s">
        <v>2329</v>
      </c>
      <c r="D4211" s="13">
        <f>_xll.EditDistance($C$3,C4211,2)</f>
        <v>10</v>
      </c>
      <c r="E4211" s="13"/>
    </row>
    <row r="4212" spans="2:5" x14ac:dyDescent="0.2">
      <c r="B4212" s="22" t="s">
        <v>2338</v>
      </c>
      <c r="C4212" t="s">
        <v>2339</v>
      </c>
      <c r="D4212" s="13">
        <f>_xll.EditDistance($C$3,C4212,2)</f>
        <v>10</v>
      </c>
      <c r="E4212" s="13"/>
    </row>
    <row r="4213" spans="2:5" x14ac:dyDescent="0.2">
      <c r="B4213" t="s">
        <v>2460</v>
      </c>
      <c r="C4213" t="s">
        <v>2461</v>
      </c>
      <c r="D4213" s="13">
        <f>_xll.EditDistance($C$3,C4213,2)</f>
        <v>10</v>
      </c>
      <c r="E4213" s="13"/>
    </row>
    <row r="4214" spans="2:5" x14ac:dyDescent="0.2">
      <c r="B4214" t="s">
        <v>2488</v>
      </c>
      <c r="C4214" t="s">
        <v>2489</v>
      </c>
      <c r="D4214" s="13">
        <f>_xll.EditDistance($C$3,C4214,2)</f>
        <v>10</v>
      </c>
      <c r="E4214" s="13"/>
    </row>
    <row r="4215" spans="2:5" x14ac:dyDescent="0.2">
      <c r="B4215" t="s">
        <v>2659</v>
      </c>
      <c r="C4215" t="s">
        <v>2660</v>
      </c>
      <c r="D4215" s="13">
        <f>_xll.EditDistance($C$3,C4215,2)</f>
        <v>10</v>
      </c>
      <c r="E4215" s="13"/>
    </row>
    <row r="4216" spans="2:5" x14ac:dyDescent="0.2">
      <c r="B4216" s="22" t="s">
        <v>2821</v>
      </c>
      <c r="C4216" t="s">
        <v>2822</v>
      </c>
      <c r="D4216" s="13">
        <f>_xll.EditDistance($C$3,C4216,2)</f>
        <v>10</v>
      </c>
      <c r="E4216" s="13"/>
    </row>
    <row r="4217" spans="2:5" x14ac:dyDescent="0.2">
      <c r="B4217" t="s">
        <v>2909</v>
      </c>
      <c r="C4217" t="s">
        <v>2910</v>
      </c>
      <c r="D4217" s="13">
        <f>_xll.EditDistance($C$3,C4217,2)</f>
        <v>10</v>
      </c>
      <c r="E4217" s="13"/>
    </row>
    <row r="4218" spans="2:5" x14ac:dyDescent="0.2">
      <c r="B4218" t="s">
        <v>2945</v>
      </c>
      <c r="C4218" t="s">
        <v>2946</v>
      </c>
      <c r="D4218" s="13">
        <f>_xll.EditDistance($C$3,C4218,2)</f>
        <v>10</v>
      </c>
      <c r="E4218" s="13"/>
    </row>
    <row r="4219" spans="2:5" x14ac:dyDescent="0.2">
      <c r="B4219" t="s">
        <v>3211</v>
      </c>
      <c r="C4219" t="s">
        <v>3212</v>
      </c>
      <c r="D4219" s="13">
        <f>_xll.EditDistance($C$3,C4219,2)</f>
        <v>10</v>
      </c>
      <c r="E4219" s="13"/>
    </row>
    <row r="4220" spans="2:5" x14ac:dyDescent="0.2">
      <c r="B4220" t="s">
        <v>3306</v>
      </c>
      <c r="C4220" t="s">
        <v>3307</v>
      </c>
      <c r="D4220" s="13">
        <f>_xll.EditDistance($C$3,C4220,2)</f>
        <v>10</v>
      </c>
      <c r="E4220" s="13"/>
    </row>
    <row r="4221" spans="2:5" x14ac:dyDescent="0.2">
      <c r="B4221" s="22" t="s">
        <v>3351</v>
      </c>
      <c r="C4221" t="s">
        <v>3352</v>
      </c>
      <c r="D4221" s="13">
        <f>_xll.EditDistance($C$3,C4221,2)</f>
        <v>10</v>
      </c>
      <c r="E4221" s="13"/>
    </row>
    <row r="4222" spans="2:5" x14ac:dyDescent="0.2">
      <c r="B4222" t="s">
        <v>3575</v>
      </c>
      <c r="C4222" t="s">
        <v>3576</v>
      </c>
      <c r="D4222" s="13">
        <f>_xll.EditDistance($C$3,C4222,2)</f>
        <v>20</v>
      </c>
      <c r="E4222" s="13"/>
    </row>
    <row r="4223" spans="2:5" x14ac:dyDescent="0.2">
      <c r="B4223" t="s">
        <v>3718</v>
      </c>
      <c r="C4223" t="s">
        <v>3719</v>
      </c>
      <c r="D4223" s="13">
        <f>_xll.EditDistance($C$3,C4223,2)</f>
        <v>10</v>
      </c>
      <c r="E4223" s="13"/>
    </row>
    <row r="4224" spans="2:5" x14ac:dyDescent="0.2">
      <c r="B4224" t="s">
        <v>3728</v>
      </c>
      <c r="C4224" t="s">
        <v>3729</v>
      </c>
      <c r="D4224" s="13">
        <f>_xll.EditDistance($C$3,C4224,2)</f>
        <v>10</v>
      </c>
      <c r="E4224" s="13"/>
    </row>
    <row r="4225" spans="2:5" x14ac:dyDescent="0.2">
      <c r="B4225" t="s">
        <v>3774</v>
      </c>
      <c r="C4225" t="s">
        <v>3775</v>
      </c>
      <c r="D4225" s="13">
        <f>_xll.EditDistance($C$3,C4225,2)</f>
        <v>10</v>
      </c>
      <c r="E4225" s="13"/>
    </row>
    <row r="4226" spans="2:5" x14ac:dyDescent="0.2">
      <c r="B4226" t="s">
        <v>3798</v>
      </c>
      <c r="C4226" t="s">
        <v>3799</v>
      </c>
      <c r="D4226" s="13">
        <f>_xll.EditDistance($C$3,C4226,2)</f>
        <v>10</v>
      </c>
      <c r="E4226" s="13"/>
    </row>
    <row r="4227" spans="2:5" x14ac:dyDescent="0.2">
      <c r="B4227" t="s">
        <v>3804</v>
      </c>
      <c r="C4227" t="s">
        <v>3805</v>
      </c>
      <c r="D4227" s="13">
        <f>_xll.EditDistance($C$3,C4227,2)</f>
        <v>10</v>
      </c>
      <c r="E4227" s="13"/>
    </row>
    <row r="4228" spans="2:5" x14ac:dyDescent="0.2">
      <c r="B4228" t="s">
        <v>3852</v>
      </c>
      <c r="C4228" t="s">
        <v>3853</v>
      </c>
      <c r="D4228" s="13">
        <f>_xll.EditDistance($C$3,C4228,2)</f>
        <v>10</v>
      </c>
      <c r="E4228" s="13"/>
    </row>
    <row r="4229" spans="2:5" x14ac:dyDescent="0.2">
      <c r="B4229" t="s">
        <v>3948</v>
      </c>
      <c r="C4229" t="s">
        <v>3949</v>
      </c>
      <c r="D4229" s="13">
        <f>_xll.EditDistance($C$3,C4229,2)</f>
        <v>10</v>
      </c>
      <c r="E4229" s="13"/>
    </row>
    <row r="4230" spans="2:5" x14ac:dyDescent="0.2">
      <c r="B4230" t="s">
        <v>3998</v>
      </c>
      <c r="C4230" t="s">
        <v>3999</v>
      </c>
      <c r="D4230" s="13">
        <f>_xll.EditDistance($C$3,C4230,2)</f>
        <v>10</v>
      </c>
      <c r="E4230" s="13"/>
    </row>
    <row r="4231" spans="2:5" x14ac:dyDescent="0.2">
      <c r="B4231" t="s">
        <v>4012</v>
      </c>
      <c r="C4231" t="s">
        <v>4013</v>
      </c>
      <c r="D4231" s="13">
        <f>_xll.EditDistance($C$3,C4231,2)</f>
        <v>10</v>
      </c>
      <c r="E4231" s="13"/>
    </row>
    <row r="4232" spans="2:5" x14ac:dyDescent="0.2">
      <c r="B4232" t="s">
        <v>4055</v>
      </c>
      <c r="C4232" t="s">
        <v>4056</v>
      </c>
      <c r="D4232" s="13">
        <f>_xll.EditDistance($C$3,C4232,2)</f>
        <v>10</v>
      </c>
      <c r="E4232" s="13"/>
    </row>
    <row r="4233" spans="2:5" x14ac:dyDescent="0.2">
      <c r="B4233" t="s">
        <v>4077</v>
      </c>
      <c r="C4233" t="s">
        <v>4078</v>
      </c>
      <c r="D4233" s="13">
        <f>_xll.EditDistance($C$3,C4233,2)</f>
        <v>10</v>
      </c>
      <c r="E4233" s="13"/>
    </row>
    <row r="4234" spans="2:5" x14ac:dyDescent="0.2">
      <c r="B4234" t="s">
        <v>4120</v>
      </c>
      <c r="C4234" t="s">
        <v>4121</v>
      </c>
      <c r="D4234" s="13">
        <f>_xll.EditDistance($C$3,C4234,2)</f>
        <v>10</v>
      </c>
      <c r="E4234" s="13"/>
    </row>
    <row r="4235" spans="2:5" x14ac:dyDescent="0.2">
      <c r="B4235" t="s">
        <v>4195</v>
      </c>
      <c r="C4235" t="s">
        <v>4196</v>
      </c>
      <c r="D4235" s="13">
        <f>_xll.EditDistance($C$3,C4235,2)</f>
        <v>10</v>
      </c>
      <c r="E4235" s="13"/>
    </row>
    <row r="4236" spans="2:5" x14ac:dyDescent="0.2">
      <c r="B4236" t="s">
        <v>4217</v>
      </c>
      <c r="C4236" t="s">
        <v>4218</v>
      </c>
      <c r="D4236" s="13">
        <f>_xll.EditDistance($C$3,C4236,2)</f>
        <v>10</v>
      </c>
      <c r="E4236" s="13"/>
    </row>
    <row r="4237" spans="2:5" x14ac:dyDescent="0.2">
      <c r="B4237" t="s">
        <v>4279</v>
      </c>
      <c r="C4237" t="s">
        <v>4280</v>
      </c>
      <c r="D4237" s="13">
        <f>_xll.EditDistance($C$3,C4237,2)</f>
        <v>10</v>
      </c>
      <c r="E4237" s="13"/>
    </row>
    <row r="4238" spans="2:5" x14ac:dyDescent="0.2">
      <c r="B4238" t="s">
        <v>4304</v>
      </c>
      <c r="C4238" t="s">
        <v>4305</v>
      </c>
      <c r="D4238" s="13">
        <f>_xll.EditDistance($C$3,C4238,2)</f>
        <v>10</v>
      </c>
      <c r="E4238" s="13"/>
    </row>
    <row r="4239" spans="2:5" x14ac:dyDescent="0.2">
      <c r="B4239" t="s">
        <v>4349</v>
      </c>
      <c r="C4239" t="s">
        <v>4350</v>
      </c>
      <c r="D4239" s="13">
        <f>_xll.EditDistance($C$3,C4239,2)</f>
        <v>10</v>
      </c>
      <c r="E4239" s="13"/>
    </row>
    <row r="4240" spans="2:5" x14ac:dyDescent="0.2">
      <c r="B4240" t="s">
        <v>4367</v>
      </c>
      <c r="C4240" t="s">
        <v>4368</v>
      </c>
      <c r="D4240" s="13">
        <f>_xll.EditDistance($C$3,C4240,2)</f>
        <v>10</v>
      </c>
      <c r="E4240" s="13"/>
    </row>
    <row r="4241" spans="2:5" x14ac:dyDescent="0.2">
      <c r="B4241" t="s">
        <v>4374</v>
      </c>
      <c r="C4241" t="s">
        <v>4375</v>
      </c>
      <c r="D4241" s="13">
        <f>_xll.EditDistance($C$3,C4241,2)</f>
        <v>10</v>
      </c>
      <c r="E4241" s="13"/>
    </row>
    <row r="4242" spans="2:5" x14ac:dyDescent="0.2">
      <c r="B4242" t="s">
        <v>4376</v>
      </c>
      <c r="C4242" t="s">
        <v>4378</v>
      </c>
      <c r="D4242" s="13">
        <f>_xll.EditDistance($C$3,C4242,2)</f>
        <v>20</v>
      </c>
      <c r="E4242" s="13"/>
    </row>
    <row r="4243" spans="2:5" x14ac:dyDescent="0.2">
      <c r="B4243" t="s">
        <v>4575</v>
      </c>
      <c r="C4243" t="s">
        <v>4576</v>
      </c>
      <c r="D4243" s="13">
        <f>_xll.EditDistance($C$3,C4243,2)</f>
        <v>10</v>
      </c>
      <c r="E4243" s="13"/>
    </row>
    <row r="4244" spans="2:5" x14ac:dyDescent="0.2">
      <c r="B4244" t="s">
        <v>4684</v>
      </c>
      <c r="C4244" t="s">
        <v>4685</v>
      </c>
      <c r="D4244" s="13">
        <f>_xll.EditDistance($C$3,C4244,2)</f>
        <v>10</v>
      </c>
      <c r="E4244" s="13"/>
    </row>
    <row r="4245" spans="2:5" x14ac:dyDescent="0.2">
      <c r="B4245" t="s">
        <v>4722</v>
      </c>
      <c r="C4245" t="s">
        <v>4723</v>
      </c>
      <c r="D4245" s="13">
        <f>_xll.EditDistance($C$3,C4245,2)</f>
        <v>10</v>
      </c>
      <c r="E4245" s="13"/>
    </row>
    <row r="4246" spans="2:5" x14ac:dyDescent="0.2">
      <c r="B4246" t="s">
        <v>4792</v>
      </c>
      <c r="C4246" t="s">
        <v>4793</v>
      </c>
      <c r="D4246" s="13">
        <f>_xll.EditDistance($C$3,C4246,2)</f>
        <v>10</v>
      </c>
      <c r="E4246" s="13"/>
    </row>
    <row r="4247" spans="2:5" x14ac:dyDescent="0.2">
      <c r="B4247" t="s">
        <v>4849</v>
      </c>
      <c r="C4247" t="s">
        <v>4850</v>
      </c>
      <c r="D4247" s="13">
        <f>_xll.EditDistance($C$3,C4247,2)</f>
        <v>10</v>
      </c>
      <c r="E4247" s="13"/>
    </row>
    <row r="4248" spans="2:5" x14ac:dyDescent="0.2">
      <c r="B4248" t="s">
        <v>4950</v>
      </c>
      <c r="C4248" t="s">
        <v>4951</v>
      </c>
      <c r="D4248" s="13">
        <f>_xll.EditDistance($C$3,C4248,2)</f>
        <v>10</v>
      </c>
      <c r="E4248" s="13"/>
    </row>
    <row r="4249" spans="2:5" x14ac:dyDescent="0.2">
      <c r="B4249" t="s">
        <v>5023</v>
      </c>
      <c r="C4249" t="s">
        <v>5024</v>
      </c>
      <c r="D4249" s="13">
        <f>_xll.EditDistance($C$3,C4249,2)</f>
        <v>10</v>
      </c>
      <c r="E4249" s="13"/>
    </row>
    <row r="4250" spans="2:5" x14ac:dyDescent="0.2">
      <c r="B4250" t="s">
        <v>5241</v>
      </c>
      <c r="C4250" t="s">
        <v>5242</v>
      </c>
      <c r="D4250" s="13">
        <f>_xll.EditDistance($C$3,C4250,2)</f>
        <v>20</v>
      </c>
      <c r="E4250" s="13"/>
    </row>
    <row r="4251" spans="2:5" x14ac:dyDescent="0.2">
      <c r="B4251" t="s">
        <v>5269</v>
      </c>
      <c r="C4251" t="s">
        <v>5270</v>
      </c>
      <c r="D4251" s="13">
        <f>_xll.EditDistance($C$3,C4251,2)</f>
        <v>10</v>
      </c>
      <c r="E4251" s="13"/>
    </row>
    <row r="4252" spans="2:5" x14ac:dyDescent="0.2">
      <c r="B4252" t="s">
        <v>5289</v>
      </c>
      <c r="C4252" t="s">
        <v>5290</v>
      </c>
      <c r="D4252" s="13">
        <f>_xll.EditDistance($C$3,C4252,2)</f>
        <v>10</v>
      </c>
      <c r="E4252" s="13"/>
    </row>
    <row r="4253" spans="2:5" x14ac:dyDescent="0.2">
      <c r="B4253" t="s">
        <v>5505</v>
      </c>
      <c r="C4253" t="s">
        <v>5506</v>
      </c>
      <c r="D4253" s="13">
        <f>_xll.EditDistance($C$3,C4253,2)</f>
        <v>10</v>
      </c>
      <c r="E4253" s="13"/>
    </row>
    <row r="4254" spans="2:5" x14ac:dyDescent="0.2">
      <c r="B4254" t="s">
        <v>5614</v>
      </c>
      <c r="C4254" t="s">
        <v>5615</v>
      </c>
      <c r="D4254" s="13">
        <f>_xll.EditDistance($C$3,C4254,2)</f>
        <v>10</v>
      </c>
      <c r="E4254" s="13"/>
    </row>
    <row r="4255" spans="2:5" x14ac:dyDescent="0.2">
      <c r="B4255" t="s">
        <v>5628</v>
      </c>
      <c r="C4255" t="s">
        <v>5629</v>
      </c>
      <c r="D4255" s="13">
        <f>_xll.EditDistance($C$3,C4255,2)</f>
        <v>10</v>
      </c>
      <c r="E4255" s="13"/>
    </row>
    <row r="4256" spans="2:5" x14ac:dyDescent="0.2">
      <c r="B4256" t="s">
        <v>5630</v>
      </c>
      <c r="C4256" t="s">
        <v>5631</v>
      </c>
      <c r="D4256" s="13">
        <f>_xll.EditDistance($C$3,C4256,2)</f>
        <v>10</v>
      </c>
      <c r="E4256" s="13"/>
    </row>
    <row r="4257" spans="2:5" x14ac:dyDescent="0.2">
      <c r="B4257" t="s">
        <v>5640</v>
      </c>
      <c r="C4257" t="s">
        <v>5641</v>
      </c>
      <c r="D4257" s="13">
        <f>_xll.EditDistance($C$3,C4257,2)</f>
        <v>10</v>
      </c>
      <c r="E4257" s="13"/>
    </row>
    <row r="4258" spans="2:5" x14ac:dyDescent="0.2">
      <c r="B4258" t="s">
        <v>5783</v>
      </c>
      <c r="C4258" t="s">
        <v>5784</v>
      </c>
      <c r="D4258" s="13">
        <f>_xll.EditDistance($C$3,C4258,2)</f>
        <v>10</v>
      </c>
      <c r="E4258" s="13"/>
    </row>
    <row r="4259" spans="2:5" x14ac:dyDescent="0.2">
      <c r="B4259" t="s">
        <v>5940</v>
      </c>
      <c r="C4259" t="s">
        <v>5941</v>
      </c>
      <c r="D4259" s="13">
        <f>_xll.EditDistance($C$3,C4259,2)</f>
        <v>10</v>
      </c>
      <c r="E4259" s="13"/>
    </row>
    <row r="4260" spans="2:5" x14ac:dyDescent="0.2">
      <c r="B4260" t="s">
        <v>6008</v>
      </c>
      <c r="C4260" t="s">
        <v>6009</v>
      </c>
      <c r="D4260" s="13">
        <f>_xll.EditDistance($C$3,C4260,2)</f>
        <v>10</v>
      </c>
      <c r="E4260" s="13"/>
    </row>
    <row r="4261" spans="2:5" x14ac:dyDescent="0.2">
      <c r="B4261" t="s">
        <v>6147</v>
      </c>
      <c r="C4261" t="s">
        <v>6148</v>
      </c>
      <c r="D4261" s="13">
        <f>_xll.EditDistance($C$3,C4261,2)</f>
        <v>10</v>
      </c>
      <c r="E4261" s="13"/>
    </row>
    <row r="4262" spans="2:5" x14ac:dyDescent="0.2">
      <c r="B4262" t="s">
        <v>6498</v>
      </c>
      <c r="C4262" t="s">
        <v>6499</v>
      </c>
      <c r="D4262" s="13">
        <f>_xll.EditDistance($C$3,C4262,2)</f>
        <v>20</v>
      </c>
      <c r="E4262" s="13"/>
    </row>
    <row r="4263" spans="2:5" x14ac:dyDescent="0.2">
      <c r="B4263" t="s">
        <v>6519</v>
      </c>
      <c r="C4263" t="s">
        <v>6520</v>
      </c>
      <c r="D4263" s="13">
        <f>_xll.EditDistance($C$3,C4263,2)</f>
        <v>10</v>
      </c>
      <c r="E4263" s="13"/>
    </row>
    <row r="4264" spans="2:5" x14ac:dyDescent="0.2">
      <c r="B4264" t="s">
        <v>6590</v>
      </c>
      <c r="C4264" t="s">
        <v>6591</v>
      </c>
      <c r="D4264" s="13">
        <f>_xll.EditDistance($C$3,C4264,2)</f>
        <v>10</v>
      </c>
      <c r="E4264" s="13"/>
    </row>
    <row r="4265" spans="2:5" x14ac:dyDescent="0.2">
      <c r="B4265" t="s">
        <v>6677</v>
      </c>
      <c r="C4265" t="s">
        <v>6678</v>
      </c>
      <c r="D4265" s="13">
        <f>_xll.EditDistance($C$3,C4265,2)</f>
        <v>10</v>
      </c>
      <c r="E4265" s="13"/>
    </row>
    <row r="4266" spans="2:5" x14ac:dyDescent="0.2">
      <c r="B4266" t="s">
        <v>6750</v>
      </c>
      <c r="C4266" t="s">
        <v>6751</v>
      </c>
      <c r="D4266" s="13">
        <f>_xll.EditDistance($C$3,C4266,2)</f>
        <v>10</v>
      </c>
      <c r="E4266" s="13"/>
    </row>
    <row r="4267" spans="2:5" x14ac:dyDescent="0.2">
      <c r="B4267" t="s">
        <v>6750</v>
      </c>
      <c r="C4267" t="s">
        <v>6752</v>
      </c>
      <c r="D4267" s="13">
        <f>_xll.EditDistance($C$3,C4267,2)</f>
        <v>10</v>
      </c>
      <c r="E4267" s="13"/>
    </row>
    <row r="4268" spans="2:5" x14ac:dyDescent="0.2">
      <c r="B4268" t="s">
        <v>6771</v>
      </c>
      <c r="C4268" t="s">
        <v>6772</v>
      </c>
      <c r="D4268" s="13">
        <f>_xll.EditDistance($C$3,C4268,2)</f>
        <v>10</v>
      </c>
      <c r="E4268" s="13"/>
    </row>
    <row r="4269" spans="2:5" x14ac:dyDescent="0.2">
      <c r="B4269" t="s">
        <v>6948</v>
      </c>
      <c r="C4269" t="s">
        <v>6949</v>
      </c>
      <c r="D4269" s="13">
        <f>_xll.EditDistance($C$3,C4269,2)</f>
        <v>10</v>
      </c>
      <c r="E4269" s="13"/>
    </row>
    <row r="4270" spans="2:5" x14ac:dyDescent="0.2">
      <c r="B4270" t="s">
        <v>6992</v>
      </c>
      <c r="C4270" t="s">
        <v>6993</v>
      </c>
      <c r="D4270" s="13">
        <f>_xll.EditDistance($C$3,C4270,2)</f>
        <v>10</v>
      </c>
      <c r="E4270" s="13"/>
    </row>
    <row r="4271" spans="2:5" x14ac:dyDescent="0.2">
      <c r="B4271" t="s">
        <v>7062</v>
      </c>
      <c r="C4271" t="s">
        <v>7064</v>
      </c>
      <c r="D4271" s="13">
        <f>_xll.EditDistance($C$3,C4271,2)</f>
        <v>10</v>
      </c>
      <c r="E4271" s="13"/>
    </row>
    <row r="4272" spans="2:5" x14ac:dyDescent="0.2">
      <c r="B4272" t="s">
        <v>7109</v>
      </c>
      <c r="C4272" t="s">
        <v>7110</v>
      </c>
      <c r="D4272" s="13">
        <f>_xll.EditDistance($C$3,C4272,2)</f>
        <v>10</v>
      </c>
      <c r="E4272" s="13"/>
    </row>
    <row r="4273" spans="2:5" x14ac:dyDescent="0.2">
      <c r="B4273" t="s">
        <v>7125</v>
      </c>
      <c r="C4273" t="s">
        <v>7126</v>
      </c>
      <c r="D4273" s="13">
        <f>_xll.EditDistance($C$3,C4273,2)</f>
        <v>10</v>
      </c>
      <c r="E4273" s="13"/>
    </row>
    <row r="4274" spans="2:5" x14ac:dyDescent="0.2">
      <c r="B4274" t="s">
        <v>7222</v>
      </c>
      <c r="C4274" t="s">
        <v>7223</v>
      </c>
      <c r="D4274" s="13">
        <f>_xll.EditDistance($C$3,C4274,2)</f>
        <v>10</v>
      </c>
      <c r="E4274" s="13"/>
    </row>
    <row r="4275" spans="2:5" x14ac:dyDescent="0.2">
      <c r="B4275" t="s">
        <v>7411</v>
      </c>
      <c r="C4275" t="s">
        <v>7412</v>
      </c>
      <c r="D4275" s="13">
        <f>_xll.EditDistance($C$3,C4275,2)</f>
        <v>10</v>
      </c>
      <c r="E4275" s="13"/>
    </row>
    <row r="4276" spans="2:5" x14ac:dyDescent="0.2">
      <c r="B4276" t="s">
        <v>7430</v>
      </c>
      <c r="C4276" t="s">
        <v>7431</v>
      </c>
      <c r="D4276" s="13">
        <f>_xll.EditDistance($C$3,C4276,2)</f>
        <v>10</v>
      </c>
      <c r="E4276" s="13"/>
    </row>
    <row r="4277" spans="2:5" x14ac:dyDescent="0.2">
      <c r="B4277" t="s">
        <v>7836</v>
      </c>
      <c r="C4277" t="s">
        <v>7837</v>
      </c>
      <c r="D4277" s="13">
        <f>_xll.EditDistance($C$3,C4277,2)</f>
        <v>10</v>
      </c>
      <c r="E4277" s="13"/>
    </row>
    <row r="4278" spans="2:5" x14ac:dyDescent="0.2">
      <c r="B4278" t="s">
        <v>7883</v>
      </c>
      <c r="C4278" t="s">
        <v>7884</v>
      </c>
      <c r="D4278" s="13">
        <f>_xll.EditDistance($C$3,C4278,2)</f>
        <v>10</v>
      </c>
      <c r="E4278" s="13"/>
    </row>
    <row r="4279" spans="2:5" x14ac:dyDescent="0.2">
      <c r="B4279" t="s">
        <v>8132</v>
      </c>
      <c r="C4279" t="s">
        <v>8133</v>
      </c>
      <c r="D4279" s="13">
        <f>_xll.EditDistance($C$3,C4279,2)</f>
        <v>10</v>
      </c>
      <c r="E4279" s="13"/>
    </row>
    <row r="4280" spans="2:5" x14ac:dyDescent="0.2">
      <c r="B4280" t="s">
        <v>8140</v>
      </c>
      <c r="C4280" t="s">
        <v>8141</v>
      </c>
      <c r="D4280" s="13">
        <f>_xll.EditDistance($C$3,C4280,2)</f>
        <v>10</v>
      </c>
      <c r="E4280" s="13"/>
    </row>
    <row r="4281" spans="2:5" x14ac:dyDescent="0.2">
      <c r="B4281" t="s">
        <v>8172</v>
      </c>
      <c r="C4281" t="s">
        <v>8173</v>
      </c>
      <c r="D4281" s="13">
        <f>_xll.EditDistance($C$3,C4281,2)</f>
        <v>10</v>
      </c>
      <c r="E4281" s="13"/>
    </row>
    <row r="4282" spans="2:5" x14ac:dyDescent="0.2">
      <c r="B4282" t="s">
        <v>8190</v>
      </c>
      <c r="C4282" t="s">
        <v>8191</v>
      </c>
      <c r="D4282" s="13">
        <f>_xll.EditDistance($C$3,C4282,2)</f>
        <v>10</v>
      </c>
      <c r="E4282" s="13"/>
    </row>
    <row r="4283" spans="2:5" x14ac:dyDescent="0.2">
      <c r="B4283" t="s">
        <v>8302</v>
      </c>
      <c r="C4283" t="s">
        <v>8303</v>
      </c>
      <c r="D4283" s="13">
        <f>_xll.EditDistance($C$3,C4283,2)</f>
        <v>10</v>
      </c>
      <c r="E4283" s="13"/>
    </row>
    <row r="4284" spans="2:5" x14ac:dyDescent="0.2">
      <c r="B4284" t="s">
        <v>8369</v>
      </c>
      <c r="C4284" t="s">
        <v>8370</v>
      </c>
      <c r="D4284" s="13">
        <f>_xll.EditDistance($C$3,C4284,2)</f>
        <v>10</v>
      </c>
      <c r="E4284" s="13"/>
    </row>
    <row r="4285" spans="2:5" x14ac:dyDescent="0.2">
      <c r="B4285" t="s">
        <v>8453</v>
      </c>
      <c r="C4285" t="s">
        <v>8454</v>
      </c>
      <c r="D4285" s="13">
        <f>_xll.EditDistance($C$3,C4285,2)</f>
        <v>10</v>
      </c>
      <c r="E4285" s="13"/>
    </row>
    <row r="4286" spans="2:5" x14ac:dyDescent="0.2">
      <c r="B4286" t="s">
        <v>8574</v>
      </c>
      <c r="C4286" t="s">
        <v>8575</v>
      </c>
      <c r="D4286" s="13">
        <f>_xll.EditDistance($C$3,C4286,2)</f>
        <v>10</v>
      </c>
      <c r="E4286" s="13"/>
    </row>
    <row r="4287" spans="2:5" x14ac:dyDescent="0.2">
      <c r="B4287" t="s">
        <v>8619</v>
      </c>
      <c r="C4287" t="s">
        <v>8620</v>
      </c>
      <c r="D4287" s="13">
        <f>_xll.EditDistance($C$3,C4287,2)</f>
        <v>10</v>
      </c>
      <c r="E4287" s="13"/>
    </row>
    <row r="4288" spans="2:5" x14ac:dyDescent="0.2">
      <c r="B4288" t="s">
        <v>8707</v>
      </c>
      <c r="C4288" t="s">
        <v>8708</v>
      </c>
      <c r="D4288" s="13">
        <f>_xll.EditDistance($C$3,C4288,2)</f>
        <v>10</v>
      </c>
      <c r="E4288" s="13"/>
    </row>
    <row r="4289" spans="2:5" x14ac:dyDescent="0.2">
      <c r="B4289" t="s">
        <v>303</v>
      </c>
      <c r="C4289" t="s">
        <v>304</v>
      </c>
      <c r="D4289" s="13">
        <f>_xll.EditDistance($C$3,C4289,2)</f>
        <v>10</v>
      </c>
      <c r="E4289" s="13"/>
    </row>
    <row r="4290" spans="2:5" x14ac:dyDescent="0.2">
      <c r="B4290" t="s">
        <v>474</v>
      </c>
      <c r="C4290" t="s">
        <v>475</v>
      </c>
      <c r="D4290" s="13">
        <f>_xll.EditDistance($C$3,C4290,2)</f>
        <v>10</v>
      </c>
      <c r="E4290" s="13"/>
    </row>
    <row r="4291" spans="2:5" x14ac:dyDescent="0.2">
      <c r="B4291" t="s">
        <v>1006</v>
      </c>
      <c r="C4291" t="s">
        <v>1007</v>
      </c>
      <c r="D4291" s="13">
        <f>_xll.EditDistance($C$3,C4291,2)</f>
        <v>10</v>
      </c>
      <c r="E4291" s="13"/>
    </row>
    <row r="4292" spans="2:5" x14ac:dyDescent="0.2">
      <c r="B4292" t="s">
        <v>1264</v>
      </c>
      <c r="C4292" t="s">
        <v>1266</v>
      </c>
      <c r="D4292" s="13">
        <f>_xll.EditDistance($C$3,C4292,2)</f>
        <v>10</v>
      </c>
      <c r="E4292" s="13"/>
    </row>
    <row r="4293" spans="2:5" x14ac:dyDescent="0.2">
      <c r="B4293" t="s">
        <v>1361</v>
      </c>
      <c r="C4293" t="s">
        <v>1362</v>
      </c>
      <c r="D4293" s="13">
        <f>_xll.EditDistance($C$3,C4293,2)</f>
        <v>10</v>
      </c>
      <c r="E4293" s="13"/>
    </row>
    <row r="4294" spans="2:5" x14ac:dyDescent="0.2">
      <c r="B4294" t="s">
        <v>2170</v>
      </c>
      <c r="C4294" t="s">
        <v>2172</v>
      </c>
      <c r="D4294" s="13">
        <f>_xll.EditDistance($C$3,C4294,2)</f>
        <v>10</v>
      </c>
      <c r="E4294" s="13"/>
    </row>
    <row r="4295" spans="2:5" x14ac:dyDescent="0.2">
      <c r="B4295" t="s">
        <v>2317</v>
      </c>
      <c r="C4295" t="s">
        <v>2318</v>
      </c>
      <c r="D4295" s="13">
        <f>_xll.EditDistance($C$3,C4295,2)</f>
        <v>10</v>
      </c>
      <c r="E4295" s="13"/>
    </row>
    <row r="4296" spans="2:5" x14ac:dyDescent="0.2">
      <c r="B4296" t="s">
        <v>2424</v>
      </c>
      <c r="C4296" t="s">
        <v>2425</v>
      </c>
      <c r="D4296" s="13">
        <f>_xll.EditDistance($C$3,C4296,2)</f>
        <v>10</v>
      </c>
      <c r="E4296" s="13"/>
    </row>
    <row r="4297" spans="2:5" x14ac:dyDescent="0.2">
      <c r="B4297" t="s">
        <v>2739</v>
      </c>
      <c r="C4297" t="s">
        <v>2740</v>
      </c>
      <c r="D4297" s="13">
        <f>_xll.EditDistance($C$3,C4297,2)</f>
        <v>10</v>
      </c>
      <c r="E4297" s="13"/>
    </row>
    <row r="4298" spans="2:5" x14ac:dyDescent="0.2">
      <c r="B4298" t="s">
        <v>2770</v>
      </c>
      <c r="C4298" t="s">
        <v>2771</v>
      </c>
      <c r="D4298" s="13">
        <f>_xll.EditDistance($C$3,C4298,2)</f>
        <v>10</v>
      </c>
      <c r="E4298" s="13"/>
    </row>
    <row r="4299" spans="2:5" x14ac:dyDescent="0.2">
      <c r="B4299" t="s">
        <v>4410</v>
      </c>
      <c r="C4299" t="s">
        <v>4411</v>
      </c>
      <c r="D4299" s="13">
        <f>_xll.EditDistance($C$3,C4299,2)</f>
        <v>10</v>
      </c>
      <c r="E4299" s="13"/>
    </row>
    <row r="4300" spans="2:5" x14ac:dyDescent="0.2">
      <c r="B4300" s="22" t="s">
        <v>4453</v>
      </c>
      <c r="C4300" t="s">
        <v>4455</v>
      </c>
      <c r="D4300" s="13">
        <f>_xll.EditDistance($C$3,C4300,2)</f>
        <v>10</v>
      </c>
      <c r="E4300" s="13"/>
    </row>
    <row r="4301" spans="2:5" x14ac:dyDescent="0.2">
      <c r="B4301" t="s">
        <v>4458</v>
      </c>
      <c r="C4301" t="s">
        <v>4459</v>
      </c>
      <c r="D4301" s="13">
        <f>_xll.EditDistance($C$3,C4301,2)</f>
        <v>10</v>
      </c>
      <c r="E4301" s="13"/>
    </row>
    <row r="4302" spans="2:5" x14ac:dyDescent="0.2">
      <c r="B4302" t="s">
        <v>4664</v>
      </c>
      <c r="C4302" t="s">
        <v>4665</v>
      </c>
      <c r="D4302" s="13">
        <f>_xll.EditDistance($C$3,C4302,2)</f>
        <v>10</v>
      </c>
      <c r="E4302" s="13"/>
    </row>
    <row r="4303" spans="2:5" x14ac:dyDescent="0.2">
      <c r="B4303" t="s">
        <v>4705</v>
      </c>
      <c r="C4303" t="s">
        <v>4707</v>
      </c>
      <c r="D4303" s="13">
        <f>_xll.EditDistance($C$3,C4303,2)</f>
        <v>10</v>
      </c>
      <c r="E4303" s="13"/>
    </row>
    <row r="4304" spans="2:5" x14ac:dyDescent="0.2">
      <c r="B4304" t="s">
        <v>4724</v>
      </c>
      <c r="C4304" t="s">
        <v>4725</v>
      </c>
      <c r="D4304" s="13">
        <f>_xll.EditDistance($C$3,C4304,2)</f>
        <v>10</v>
      </c>
      <c r="E4304" s="13"/>
    </row>
    <row r="4305" spans="2:5" x14ac:dyDescent="0.2">
      <c r="B4305" t="s">
        <v>5702</v>
      </c>
      <c r="C4305" t="s">
        <v>5703</v>
      </c>
      <c r="D4305" s="13">
        <f>_xll.EditDistance($C$3,C4305,2)</f>
        <v>10</v>
      </c>
      <c r="E4305" s="13"/>
    </row>
    <row r="4306" spans="2:5" x14ac:dyDescent="0.2">
      <c r="B4306" t="s">
        <v>6059</v>
      </c>
      <c r="C4306" t="s">
        <v>6060</v>
      </c>
      <c r="D4306" s="13">
        <f>_xll.EditDistance($C$3,C4306,2)</f>
        <v>10</v>
      </c>
      <c r="E4306" s="13"/>
    </row>
    <row r="4307" spans="2:5" x14ac:dyDescent="0.2">
      <c r="B4307" t="s">
        <v>6252</v>
      </c>
      <c r="C4307" t="s">
        <v>6253</v>
      </c>
      <c r="D4307" s="13">
        <f>_xll.EditDistance($C$3,C4307,2)</f>
        <v>10</v>
      </c>
      <c r="E4307" s="13"/>
    </row>
    <row r="4308" spans="2:5" x14ac:dyDescent="0.2">
      <c r="B4308" t="s">
        <v>6709</v>
      </c>
      <c r="C4308" t="s">
        <v>6710</v>
      </c>
      <c r="D4308" s="13">
        <f>_xll.EditDistance($C$3,C4308,2)</f>
        <v>10</v>
      </c>
      <c r="E4308" s="13"/>
    </row>
    <row r="4309" spans="2:5" x14ac:dyDescent="0.2">
      <c r="B4309" t="s">
        <v>6738</v>
      </c>
      <c r="C4309" t="s">
        <v>6739</v>
      </c>
      <c r="D4309" s="13">
        <f>_xll.EditDistance($C$3,C4309,2)</f>
        <v>10</v>
      </c>
      <c r="E4309" s="13"/>
    </row>
    <row r="4310" spans="2:5" x14ac:dyDescent="0.2">
      <c r="B4310" t="s">
        <v>6873</v>
      </c>
      <c r="C4310" t="s">
        <v>6874</v>
      </c>
      <c r="D4310" s="13">
        <f>_xll.EditDistance($C$3,C4310,2)</f>
        <v>10</v>
      </c>
      <c r="E4310" s="13"/>
    </row>
    <row r="4311" spans="2:5" x14ac:dyDescent="0.2">
      <c r="B4311" t="s">
        <v>6970</v>
      </c>
      <c r="C4311" t="s">
        <v>6971</v>
      </c>
      <c r="D4311" s="13">
        <f>_xll.EditDistance($C$3,C4311,2)</f>
        <v>10</v>
      </c>
      <c r="E4311" s="13"/>
    </row>
    <row r="4312" spans="2:5" x14ac:dyDescent="0.2">
      <c r="B4312" t="s">
        <v>7170</v>
      </c>
      <c r="C4312" t="s">
        <v>7171</v>
      </c>
      <c r="D4312" s="13">
        <f>_xll.EditDistance($C$3,C4312,2)</f>
        <v>10</v>
      </c>
      <c r="E4312" s="13"/>
    </row>
    <row r="4313" spans="2:5" x14ac:dyDescent="0.2">
      <c r="B4313" t="s">
        <v>7553</v>
      </c>
      <c r="C4313" t="s">
        <v>7554</v>
      </c>
      <c r="D4313" s="13">
        <f>_xll.EditDistance($C$3,C4313,2)</f>
        <v>10</v>
      </c>
      <c r="E4313" s="13"/>
    </row>
    <row r="4314" spans="2:5" x14ac:dyDescent="0.2">
      <c r="B4314" t="s">
        <v>7810</v>
      </c>
      <c r="C4314" t="s">
        <v>7811</v>
      </c>
      <c r="D4314" s="13">
        <f>_xll.EditDistance($C$3,C4314,2)</f>
        <v>10</v>
      </c>
      <c r="E4314" s="13"/>
    </row>
    <row r="4315" spans="2:5" x14ac:dyDescent="0.2">
      <c r="B4315" t="s">
        <v>8158</v>
      </c>
      <c r="C4315" t="s">
        <v>8159</v>
      </c>
      <c r="D4315" s="13">
        <f>_xll.EditDistance($C$3,C4315,2)</f>
        <v>10</v>
      </c>
      <c r="E4315" s="13"/>
    </row>
    <row r="4316" spans="2:5" x14ac:dyDescent="0.2">
      <c r="B4316" t="s">
        <v>8386</v>
      </c>
      <c r="C4316" t="s">
        <v>8387</v>
      </c>
      <c r="D4316" s="13">
        <f>_xll.EditDistance($C$3,C4316,2)</f>
        <v>10</v>
      </c>
      <c r="E4316" s="13"/>
    </row>
    <row r="4317" spans="2:5" x14ac:dyDescent="0.2">
      <c r="B4317" t="s">
        <v>309</v>
      </c>
      <c r="C4317" t="s">
        <v>310</v>
      </c>
      <c r="D4317" s="13">
        <f>_xll.EditDistance($C$3,C4317,2)</f>
        <v>10</v>
      </c>
      <c r="E4317" s="13"/>
    </row>
    <row r="4318" spans="2:5" x14ac:dyDescent="0.2">
      <c r="B4318" t="s">
        <v>754</v>
      </c>
      <c r="C4318" t="s">
        <v>755</v>
      </c>
      <c r="D4318" s="13">
        <f>_xll.EditDistance($C$3,C4318,2)</f>
        <v>10</v>
      </c>
      <c r="E4318" s="13"/>
    </row>
    <row r="4319" spans="2:5" x14ac:dyDescent="0.2">
      <c r="B4319" t="s">
        <v>1244</v>
      </c>
      <c r="C4319" t="s">
        <v>1245</v>
      </c>
      <c r="D4319" s="13">
        <f>_xll.EditDistance($C$3,C4319,2)</f>
        <v>10</v>
      </c>
      <c r="E4319" s="13"/>
    </row>
    <row r="4320" spans="2:5" x14ac:dyDescent="0.2">
      <c r="B4320" t="s">
        <v>1346</v>
      </c>
      <c r="C4320" t="s">
        <v>1347</v>
      </c>
      <c r="D4320" s="13">
        <f>_xll.EditDistance($C$3,C4320,2)</f>
        <v>10</v>
      </c>
      <c r="E4320" s="13"/>
    </row>
    <row r="4321" spans="2:5" x14ac:dyDescent="0.2">
      <c r="B4321" t="s">
        <v>1873</v>
      </c>
      <c r="C4321" t="s">
        <v>1874</v>
      </c>
      <c r="D4321" s="13">
        <f>_xll.EditDistance($C$3,C4321,2)</f>
        <v>20</v>
      </c>
      <c r="E4321" s="13"/>
    </row>
    <row r="4322" spans="2:5" x14ac:dyDescent="0.2">
      <c r="B4322" t="s">
        <v>2047</v>
      </c>
      <c r="C4322" t="s">
        <v>2048</v>
      </c>
      <c r="D4322" s="13">
        <f>_xll.EditDistance($C$3,C4322,2)</f>
        <v>10</v>
      </c>
      <c r="E4322" s="13"/>
    </row>
    <row r="4323" spans="2:5" x14ac:dyDescent="0.2">
      <c r="B4323" t="s">
        <v>3302</v>
      </c>
      <c r="C4323" t="s">
        <v>3303</v>
      </c>
      <c r="D4323" s="13">
        <f>_xll.EditDistance($C$3,C4323,2)</f>
        <v>10</v>
      </c>
      <c r="E4323" s="13"/>
    </row>
    <row r="4324" spans="2:5" x14ac:dyDescent="0.2">
      <c r="B4324" t="s">
        <v>3316</v>
      </c>
      <c r="C4324" t="s">
        <v>3317</v>
      </c>
      <c r="D4324" s="13">
        <f>_xll.EditDistance($C$3,C4324,2)</f>
        <v>10</v>
      </c>
      <c r="E4324" s="13"/>
    </row>
    <row r="4325" spans="2:5" x14ac:dyDescent="0.2">
      <c r="B4325" t="s">
        <v>3332</v>
      </c>
      <c r="C4325" t="s">
        <v>3333</v>
      </c>
      <c r="D4325" s="13">
        <f>_xll.EditDistance($C$3,C4325,2)</f>
        <v>10</v>
      </c>
      <c r="E4325" s="13"/>
    </row>
    <row r="4326" spans="2:5" x14ac:dyDescent="0.2">
      <c r="B4326" t="s">
        <v>4778</v>
      </c>
      <c r="C4326" t="s">
        <v>4779</v>
      </c>
      <c r="D4326" s="13">
        <f>_xll.EditDistance($C$3,C4326,2)</f>
        <v>10</v>
      </c>
      <c r="E4326" s="13"/>
    </row>
    <row r="4327" spans="2:5" x14ac:dyDescent="0.2">
      <c r="B4327" t="s">
        <v>4889</v>
      </c>
      <c r="C4327" t="s">
        <v>4890</v>
      </c>
      <c r="D4327" s="13">
        <f>_xll.EditDistance($C$3,C4327,2)</f>
        <v>20</v>
      </c>
      <c r="E4327" s="13"/>
    </row>
    <row r="4328" spans="2:5" x14ac:dyDescent="0.2">
      <c r="B4328" t="s">
        <v>4897</v>
      </c>
      <c r="C4328" t="s">
        <v>4898</v>
      </c>
      <c r="D4328" s="13">
        <f>_xll.EditDistance($C$3,C4328,2)</f>
        <v>20</v>
      </c>
      <c r="E4328" s="13"/>
    </row>
    <row r="4329" spans="2:5" x14ac:dyDescent="0.2">
      <c r="B4329" t="s">
        <v>6732</v>
      </c>
      <c r="C4329" t="s">
        <v>6733</v>
      </c>
      <c r="D4329" s="13">
        <f>_xll.EditDistance($C$3,C4329,2)</f>
        <v>10</v>
      </c>
      <c r="E4329" s="13"/>
    </row>
    <row r="4330" spans="2:5" x14ac:dyDescent="0.2">
      <c r="B4330" t="s">
        <v>7022</v>
      </c>
      <c r="C4330" t="s">
        <v>7023</v>
      </c>
      <c r="D4330" s="13">
        <f>_xll.EditDistance($C$3,C4330,2)</f>
        <v>10</v>
      </c>
      <c r="E4330" s="13"/>
    </row>
    <row r="4331" spans="2:5" x14ac:dyDescent="0.2">
      <c r="B4331" t="s">
        <v>7467</v>
      </c>
      <c r="C4331" t="s">
        <v>7468</v>
      </c>
      <c r="D4331" s="13">
        <f>_xll.EditDistance($C$3,C4331,2)</f>
        <v>10</v>
      </c>
      <c r="E4331" s="13"/>
    </row>
    <row r="4332" spans="2:5" x14ac:dyDescent="0.2">
      <c r="B4332" t="s">
        <v>7467</v>
      </c>
      <c r="C4332" t="s">
        <v>7469</v>
      </c>
      <c r="D4332" s="13">
        <f>_xll.EditDistance($C$3,C4332,2)</f>
        <v>10</v>
      </c>
      <c r="E4332" s="13"/>
    </row>
    <row r="4333" spans="2:5" x14ac:dyDescent="0.2">
      <c r="B4333" t="s">
        <v>8232</v>
      </c>
      <c r="C4333" t="s">
        <v>8233</v>
      </c>
      <c r="D4333" s="13">
        <f>_xll.EditDistance($C$3,C4333,2)</f>
        <v>10</v>
      </c>
      <c r="E4333" s="13"/>
    </row>
    <row r="4334" spans="2:5" x14ac:dyDescent="0.2">
      <c r="B4334" t="s">
        <v>8488</v>
      </c>
      <c r="C4334" t="s">
        <v>8491</v>
      </c>
      <c r="D4334" s="13">
        <f>_xll.EditDistance($C$3,C4334,2)</f>
        <v>20</v>
      </c>
      <c r="E4334" s="13"/>
    </row>
    <row r="4335" spans="2:5" x14ac:dyDescent="0.2">
      <c r="B4335" t="s">
        <v>194</v>
      </c>
      <c r="C4335" t="s">
        <v>195</v>
      </c>
      <c r="D4335" s="13">
        <f>_xll.EditDistance($C$3,C4335,2)</f>
        <v>10</v>
      </c>
      <c r="E4335" s="13"/>
    </row>
    <row r="4336" spans="2:5" x14ac:dyDescent="0.2">
      <c r="B4336" t="s">
        <v>1030</v>
      </c>
      <c r="C4336" t="s">
        <v>1031</v>
      </c>
      <c r="D4336" s="13">
        <f>_xll.EditDistance($C$3,C4336,2)</f>
        <v>20</v>
      </c>
      <c r="E4336" s="13"/>
    </row>
    <row r="4337" spans="2:5" x14ac:dyDescent="0.2">
      <c r="B4337" t="s">
        <v>1080</v>
      </c>
      <c r="C4337" t="s">
        <v>1081</v>
      </c>
      <c r="D4337" s="13">
        <f>_xll.EditDistance($C$3,C4337,2)</f>
        <v>10</v>
      </c>
      <c r="E4337" s="13"/>
    </row>
    <row r="4338" spans="2:5" x14ac:dyDescent="0.2">
      <c r="B4338" t="s">
        <v>1353</v>
      </c>
      <c r="C4338" t="s">
        <v>1354</v>
      </c>
      <c r="D4338" s="13">
        <f>_xll.EditDistance($C$3,C4338,2)</f>
        <v>20</v>
      </c>
      <c r="E4338" s="13"/>
    </row>
    <row r="4339" spans="2:5" x14ac:dyDescent="0.2">
      <c r="B4339" t="s">
        <v>1457</v>
      </c>
      <c r="C4339" t="s">
        <v>1459</v>
      </c>
      <c r="D4339" s="13">
        <f>_xll.EditDistance($C$3,C4339,2)</f>
        <v>10</v>
      </c>
      <c r="E4339" s="13"/>
    </row>
    <row r="4340" spans="2:5" x14ac:dyDescent="0.2">
      <c r="B4340" t="s">
        <v>3008</v>
      </c>
      <c r="C4340" t="s">
        <v>3009</v>
      </c>
      <c r="D4340" s="13">
        <f>_xll.EditDistance($C$3,C4340,2)</f>
        <v>20</v>
      </c>
      <c r="E4340" s="13"/>
    </row>
    <row r="4341" spans="2:5" x14ac:dyDescent="0.2">
      <c r="B4341" t="s">
        <v>3104</v>
      </c>
      <c r="C4341" t="s">
        <v>3105</v>
      </c>
      <c r="D4341" s="13">
        <f>_xll.EditDistance($C$3,C4341,2)</f>
        <v>20</v>
      </c>
      <c r="E4341" s="13"/>
    </row>
    <row r="4342" spans="2:5" x14ac:dyDescent="0.2">
      <c r="B4342" t="s">
        <v>3364</v>
      </c>
      <c r="C4342" t="s">
        <v>3365</v>
      </c>
      <c r="D4342" s="13">
        <f>_xll.EditDistance($C$3,C4342,2)</f>
        <v>20</v>
      </c>
      <c r="E4342" s="13"/>
    </row>
    <row r="4343" spans="2:5" x14ac:dyDescent="0.2">
      <c r="B4343" t="s">
        <v>4266</v>
      </c>
      <c r="C4343" t="s">
        <v>4267</v>
      </c>
      <c r="D4343" s="13">
        <f>_xll.EditDistance($C$3,C4343,2)</f>
        <v>20</v>
      </c>
      <c r="E4343" s="13"/>
    </row>
    <row r="4344" spans="2:5" x14ac:dyDescent="0.2">
      <c r="B4344" s="22" t="s">
        <v>4453</v>
      </c>
      <c r="C4344" t="s">
        <v>4454</v>
      </c>
      <c r="D4344" s="13">
        <f>_xll.EditDistance($C$3,C4344,2)</f>
        <v>10</v>
      </c>
      <c r="E4344" s="13"/>
    </row>
    <row r="4345" spans="2:5" x14ac:dyDescent="0.2">
      <c r="B4345" t="s">
        <v>4655</v>
      </c>
      <c r="C4345" t="s">
        <v>4657</v>
      </c>
      <c r="D4345" s="13">
        <f>_xll.EditDistance($C$3,C4345,2)</f>
        <v>10</v>
      </c>
      <c r="E4345" s="13"/>
    </row>
    <row r="4346" spans="2:5" x14ac:dyDescent="0.2">
      <c r="B4346" t="s">
        <v>4692</v>
      </c>
      <c r="C4346" t="s">
        <v>4693</v>
      </c>
      <c r="D4346" s="13">
        <f>_xll.EditDistance($C$3,C4346,2)</f>
        <v>10</v>
      </c>
      <c r="E4346" s="13"/>
    </row>
    <row r="4347" spans="2:5" x14ac:dyDescent="0.2">
      <c r="B4347" t="s">
        <v>5547</v>
      </c>
      <c r="C4347" t="s">
        <v>5549</v>
      </c>
      <c r="D4347" s="13">
        <f>_xll.EditDistance($C$3,C4347,2)</f>
        <v>10</v>
      </c>
      <c r="E4347" s="13"/>
    </row>
    <row r="4348" spans="2:5" x14ac:dyDescent="0.2">
      <c r="B4348" t="s">
        <v>5992</v>
      </c>
      <c r="C4348" t="s">
        <v>5993</v>
      </c>
      <c r="D4348" s="13">
        <f>_xll.EditDistance($C$3,C4348,2)</f>
        <v>20</v>
      </c>
      <c r="E4348" s="13"/>
    </row>
    <row r="4349" spans="2:5" x14ac:dyDescent="0.2">
      <c r="B4349" t="s">
        <v>6006</v>
      </c>
      <c r="C4349" t="s">
        <v>6007</v>
      </c>
      <c r="D4349" s="13">
        <f>_xll.EditDistance($C$3,C4349,2)</f>
        <v>20</v>
      </c>
      <c r="E4349" s="13"/>
    </row>
    <row r="4350" spans="2:5" x14ac:dyDescent="0.2">
      <c r="B4350" t="s">
        <v>7215</v>
      </c>
      <c r="C4350" t="s">
        <v>7217</v>
      </c>
      <c r="D4350" s="13">
        <f>_xll.EditDistance($C$3,C4350,2)</f>
        <v>30</v>
      </c>
      <c r="E4350" s="13"/>
    </row>
    <row r="4351" spans="2:5" x14ac:dyDescent="0.2">
      <c r="B4351" t="s">
        <v>7409</v>
      </c>
      <c r="C4351" t="s">
        <v>7410</v>
      </c>
      <c r="D4351" s="13">
        <f>_xll.EditDistance($C$3,C4351,2)</f>
        <v>20</v>
      </c>
      <c r="E4351" s="13"/>
    </row>
    <row r="4352" spans="2:5" x14ac:dyDescent="0.2">
      <c r="B4352" t="s">
        <v>7980</v>
      </c>
      <c r="C4352" t="s">
        <v>7981</v>
      </c>
      <c r="D4352" s="13">
        <f>_xll.EditDistance($C$3,C4352,2)</f>
        <v>20</v>
      </c>
      <c r="E4352" s="13"/>
    </row>
    <row r="4353" spans="2:5" x14ac:dyDescent="0.2">
      <c r="B4353" t="s">
        <v>7988</v>
      </c>
      <c r="C4353" t="s">
        <v>7989</v>
      </c>
      <c r="D4353" s="13">
        <f>_xll.EditDistance($C$3,C4353,2)</f>
        <v>10</v>
      </c>
      <c r="E4353" s="13"/>
    </row>
    <row r="4354" spans="2:5" x14ac:dyDescent="0.2">
      <c r="B4354" t="s">
        <v>8390</v>
      </c>
      <c r="C4354" t="s">
        <v>8391</v>
      </c>
      <c r="D4354" s="13">
        <f>_xll.EditDistance($C$3,C4354,2)</f>
        <v>10</v>
      </c>
      <c r="E4354" s="13"/>
    </row>
    <row r="4355" spans="2:5" x14ac:dyDescent="0.2">
      <c r="B4355" t="s">
        <v>2624</v>
      </c>
      <c r="C4355" t="s">
        <v>2625</v>
      </c>
      <c r="D4355" s="13">
        <f>_xll.EditDistance($C$3,C4355,2)</f>
        <v>10</v>
      </c>
      <c r="E4355" s="13"/>
    </row>
    <row r="4356" spans="2:5" x14ac:dyDescent="0.2">
      <c r="B4356" t="s">
        <v>3280</v>
      </c>
      <c r="C4356" t="s">
        <v>3281</v>
      </c>
      <c r="D4356" s="13">
        <f>_xll.EditDistance($C$3,C4356,2)</f>
        <v>10</v>
      </c>
      <c r="E4356" s="13"/>
    </row>
    <row r="4357" spans="2:5" x14ac:dyDescent="0.2">
      <c r="B4357" t="s">
        <v>4095</v>
      </c>
      <c r="C4357" t="s">
        <v>4096</v>
      </c>
      <c r="D4357" s="13">
        <f>_xll.EditDistance($C$3,C4357,2)</f>
        <v>10</v>
      </c>
      <c r="E4357" s="13"/>
    </row>
    <row r="4358" spans="2:5" x14ac:dyDescent="0.2">
      <c r="B4358" t="s">
        <v>668</v>
      </c>
      <c r="C4358" t="s">
        <v>669</v>
      </c>
      <c r="D4358" s="13">
        <f>_xll.EditDistance($C$3,C4358,2)</f>
        <v>10</v>
      </c>
      <c r="E4358" s="13"/>
    </row>
    <row r="4359" spans="2:5" x14ac:dyDescent="0.2">
      <c r="B4359" t="s">
        <v>1233</v>
      </c>
      <c r="C4359" t="s">
        <v>1235</v>
      </c>
      <c r="D4359" s="13">
        <f>_xll.EditDistance($C$3,C4359,2)</f>
        <v>10</v>
      </c>
      <c r="E4359" s="13"/>
    </row>
    <row r="4360" spans="2:5" x14ac:dyDescent="0.2">
      <c r="B4360" t="s">
        <v>1869</v>
      </c>
      <c r="C4360" t="s">
        <v>1870</v>
      </c>
      <c r="D4360" s="13">
        <f>_xll.EditDistance($C$3,C4360,2)</f>
        <v>10</v>
      </c>
      <c r="E4360" s="13"/>
    </row>
    <row r="4361" spans="2:5" x14ac:dyDescent="0.2">
      <c r="B4361" t="s">
        <v>1940</v>
      </c>
      <c r="C4361" t="s">
        <v>1941</v>
      </c>
      <c r="D4361" s="13">
        <f>_xll.EditDistance($C$3,C4361,2)</f>
        <v>20</v>
      </c>
      <c r="E4361" s="13"/>
    </row>
    <row r="4362" spans="2:5" x14ac:dyDescent="0.2">
      <c r="B4362" t="s">
        <v>2697</v>
      </c>
      <c r="C4362" t="s">
        <v>2698</v>
      </c>
      <c r="D4362" s="13">
        <f>_xll.EditDistance($C$3,C4362,2)</f>
        <v>20</v>
      </c>
      <c r="E4362" s="13"/>
    </row>
    <row r="4363" spans="2:5" x14ac:dyDescent="0.2">
      <c r="B4363" t="s">
        <v>3419</v>
      </c>
      <c r="C4363" t="s">
        <v>3420</v>
      </c>
      <c r="D4363" s="13">
        <f>_xll.EditDistance($C$3,C4363,2)</f>
        <v>10</v>
      </c>
      <c r="E4363" s="13"/>
    </row>
    <row r="4364" spans="2:5" x14ac:dyDescent="0.2">
      <c r="B4364" t="s">
        <v>3572</v>
      </c>
      <c r="C4364" t="s">
        <v>3573</v>
      </c>
      <c r="D4364" s="13">
        <f>_xll.EditDistance($C$3,C4364,2)</f>
        <v>10</v>
      </c>
      <c r="E4364" s="13"/>
    </row>
    <row r="4365" spans="2:5" x14ac:dyDescent="0.2">
      <c r="B4365" t="s">
        <v>5253</v>
      </c>
      <c r="C4365" t="s">
        <v>5255</v>
      </c>
      <c r="D4365" s="13">
        <f>_xll.EditDistance($C$3,C4365,2)</f>
        <v>10</v>
      </c>
      <c r="E4365" s="13"/>
    </row>
    <row r="4366" spans="2:5" x14ac:dyDescent="0.2">
      <c r="B4366" t="s">
        <v>6512</v>
      </c>
      <c r="C4366" t="s">
        <v>6513</v>
      </c>
      <c r="D4366" s="13">
        <f>_xll.EditDistance($C$3,C4366,2)</f>
        <v>20</v>
      </c>
      <c r="E4366" s="13"/>
    </row>
    <row r="4367" spans="2:5" x14ac:dyDescent="0.2">
      <c r="B4367" t="s">
        <v>7547</v>
      </c>
      <c r="C4367" t="s">
        <v>7548</v>
      </c>
      <c r="D4367" s="13">
        <f>_xll.EditDistance($C$3,C4367,2)</f>
        <v>10</v>
      </c>
      <c r="E4367" s="13"/>
    </row>
    <row r="4368" spans="2:5" x14ac:dyDescent="0.2">
      <c r="B4368" t="s">
        <v>7964</v>
      </c>
      <c r="C4368" t="s">
        <v>7965</v>
      </c>
      <c r="D4368" s="13">
        <f>_xll.EditDistance($C$3,C4368,2)</f>
        <v>20</v>
      </c>
      <c r="E4368" s="13"/>
    </row>
    <row r="4369" spans="2:5" x14ac:dyDescent="0.2">
      <c r="B4369" t="s">
        <v>8048</v>
      </c>
      <c r="C4369" t="s">
        <v>8049</v>
      </c>
      <c r="D4369" s="13">
        <f>_xll.EditDistance($C$3,C4369,2)</f>
        <v>10</v>
      </c>
      <c r="E4369" s="13"/>
    </row>
    <row r="4370" spans="2:5" x14ac:dyDescent="0.2">
      <c r="B4370" t="s">
        <v>8711</v>
      </c>
      <c r="C4370" t="s">
        <v>8712</v>
      </c>
      <c r="D4370" s="13">
        <f>_xll.EditDistance($C$3,C4370,2)</f>
        <v>10</v>
      </c>
      <c r="E4370" s="13"/>
    </row>
    <row r="4371" spans="2:5" x14ac:dyDescent="0.2">
      <c r="B4371" t="s">
        <v>1204</v>
      </c>
      <c r="C4371" t="s">
        <v>1205</v>
      </c>
      <c r="D4371" s="13">
        <f>_xll.EditDistance($C$3,C4371,2)</f>
        <v>10</v>
      </c>
      <c r="E4371" s="13"/>
    </row>
    <row r="4372" spans="2:5" x14ac:dyDescent="0.2">
      <c r="B4372" t="s">
        <v>1515</v>
      </c>
      <c r="C4372" t="s">
        <v>1516</v>
      </c>
      <c r="D4372" s="13">
        <f>_xll.EditDistance($C$3,C4372,2)</f>
        <v>10</v>
      </c>
      <c r="E4372" s="13"/>
    </row>
    <row r="4373" spans="2:5" x14ac:dyDescent="0.2">
      <c r="B4373" t="s">
        <v>1816</v>
      </c>
      <c r="C4373" t="s">
        <v>1817</v>
      </c>
      <c r="D4373" s="13">
        <f>_xll.EditDistance($C$3,C4373,2)</f>
        <v>10</v>
      </c>
      <c r="E4373" s="13"/>
    </row>
    <row r="4374" spans="2:5" x14ac:dyDescent="0.2">
      <c r="B4374" t="s">
        <v>1927</v>
      </c>
      <c r="C4374" t="s">
        <v>1928</v>
      </c>
      <c r="D4374" s="13">
        <f>_xll.EditDistance($C$3,C4374,2)</f>
        <v>18</v>
      </c>
      <c r="E4374" s="13"/>
    </row>
    <row r="4375" spans="2:5" x14ac:dyDescent="0.2">
      <c r="B4375" t="s">
        <v>3064</v>
      </c>
      <c r="C4375" t="s">
        <v>3066</v>
      </c>
      <c r="D4375" s="13">
        <f>_xll.EditDistance($C$3,C4375,2)</f>
        <v>10</v>
      </c>
      <c r="E4375" s="13"/>
    </row>
    <row r="4376" spans="2:5" x14ac:dyDescent="0.2">
      <c r="B4376" s="22" t="s">
        <v>3191</v>
      </c>
      <c r="C4376" t="s">
        <v>3192</v>
      </c>
      <c r="D4376" s="13">
        <f>_xll.EditDistance($C$3,C4376,2)</f>
        <v>10</v>
      </c>
      <c r="E4376" s="13"/>
    </row>
    <row r="4377" spans="2:5" x14ac:dyDescent="0.2">
      <c r="B4377" t="s">
        <v>3934</v>
      </c>
      <c r="C4377" t="s">
        <v>3935</v>
      </c>
      <c r="D4377" s="13">
        <f>_xll.EditDistance($C$3,C4377,2)</f>
        <v>20</v>
      </c>
      <c r="E4377" s="13"/>
    </row>
    <row r="4378" spans="2:5" x14ac:dyDescent="0.2">
      <c r="B4378" t="s">
        <v>4038</v>
      </c>
      <c r="C4378" t="s">
        <v>4039</v>
      </c>
      <c r="D4378" s="13">
        <f>_xll.EditDistance($C$3,C4378,2)</f>
        <v>20</v>
      </c>
      <c r="E4378" s="13"/>
    </row>
    <row r="4379" spans="2:5" x14ac:dyDescent="0.2">
      <c r="B4379" t="s">
        <v>4338</v>
      </c>
      <c r="C4379" t="s">
        <v>4339</v>
      </c>
      <c r="D4379" s="13">
        <f>_xll.EditDistance($C$3,C4379,2)</f>
        <v>10</v>
      </c>
      <c r="E4379" s="13"/>
    </row>
    <row r="4380" spans="2:5" x14ac:dyDescent="0.2">
      <c r="B4380" t="s">
        <v>4625</v>
      </c>
      <c r="C4380" t="s">
        <v>4626</v>
      </c>
      <c r="D4380" s="13">
        <f>_xll.EditDistance($C$3,C4380,2)</f>
        <v>10</v>
      </c>
      <c r="E4380" s="13"/>
    </row>
    <row r="4381" spans="2:5" x14ac:dyDescent="0.2">
      <c r="B4381" t="s">
        <v>4843</v>
      </c>
      <c r="C4381" t="s">
        <v>4844</v>
      </c>
      <c r="D4381" s="13">
        <f>_xll.EditDistance($C$3,C4381,2)</f>
        <v>10</v>
      </c>
      <c r="E4381" s="13"/>
    </row>
    <row r="4382" spans="2:5" x14ac:dyDescent="0.2">
      <c r="B4382" t="s">
        <v>5156</v>
      </c>
      <c r="C4382" t="s">
        <v>5157</v>
      </c>
      <c r="D4382" s="13">
        <f>_xll.EditDistance($C$3,C4382,2)</f>
        <v>10</v>
      </c>
      <c r="E4382" s="13"/>
    </row>
    <row r="4383" spans="2:5" x14ac:dyDescent="0.2">
      <c r="B4383" t="s">
        <v>5302</v>
      </c>
      <c r="C4383" t="s">
        <v>5303</v>
      </c>
      <c r="D4383" s="13">
        <f>_xll.EditDistance($C$3,C4383,2)</f>
        <v>10</v>
      </c>
      <c r="E4383" s="13"/>
    </row>
    <row r="4384" spans="2:5" x14ac:dyDescent="0.2">
      <c r="B4384" t="s">
        <v>5777</v>
      </c>
      <c r="C4384" t="s">
        <v>5778</v>
      </c>
      <c r="D4384" s="13">
        <f>_xll.EditDistance($C$3,C4384,2)</f>
        <v>10</v>
      </c>
      <c r="E4384" s="13"/>
    </row>
    <row r="4385" spans="2:5" x14ac:dyDescent="0.2">
      <c r="B4385" t="s">
        <v>6326</v>
      </c>
      <c r="C4385" t="s">
        <v>6327</v>
      </c>
      <c r="D4385" s="13">
        <f>_xll.EditDistance($C$3,C4385,2)</f>
        <v>10</v>
      </c>
      <c r="E4385" s="13"/>
    </row>
    <row r="4386" spans="2:5" x14ac:dyDescent="0.2">
      <c r="B4386" t="s">
        <v>6719</v>
      </c>
      <c r="C4386" t="s">
        <v>6720</v>
      </c>
      <c r="D4386" s="13">
        <f>_xll.EditDistance($C$3,C4386,2)</f>
        <v>10</v>
      </c>
      <c r="E4386" s="13"/>
    </row>
    <row r="4387" spans="2:5" x14ac:dyDescent="0.2">
      <c r="B4387" t="s">
        <v>7339</v>
      </c>
      <c r="C4387" t="s">
        <v>7340</v>
      </c>
      <c r="D4387" s="13">
        <f>_xll.EditDistance($C$3,C4387,2)</f>
        <v>10</v>
      </c>
      <c r="E4387" s="13"/>
    </row>
    <row r="4388" spans="2:5" x14ac:dyDescent="0.2">
      <c r="B4388" t="s">
        <v>8376</v>
      </c>
      <c r="C4388" t="s">
        <v>8377</v>
      </c>
      <c r="D4388" s="13">
        <f>_xll.EditDistance($C$3,C4388,2)</f>
        <v>10</v>
      </c>
      <c r="E4388" s="13"/>
    </row>
    <row r="4389" spans="2:5" x14ac:dyDescent="0.2">
      <c r="B4389" t="s">
        <v>8686</v>
      </c>
      <c r="C4389" t="s">
        <v>8687</v>
      </c>
      <c r="D4389" s="13">
        <f>_xll.EditDistance($C$3,C4389,2)</f>
        <v>10</v>
      </c>
      <c r="E4389" s="13"/>
    </row>
    <row r="4390" spans="2:5" x14ac:dyDescent="0.2">
      <c r="B4390" t="s">
        <v>204</v>
      </c>
      <c r="C4390" t="s">
        <v>205</v>
      </c>
      <c r="D4390" s="13">
        <f>_xll.EditDistance($C$3,C4390,2)</f>
        <v>10</v>
      </c>
      <c r="E4390" s="13"/>
    </row>
    <row r="4391" spans="2:5" x14ac:dyDescent="0.2">
      <c r="B4391" t="s">
        <v>3116</v>
      </c>
      <c r="C4391" t="s">
        <v>3117</v>
      </c>
      <c r="D4391" s="13">
        <f>_xll.EditDistance($C$3,C4391,2)</f>
        <v>10</v>
      </c>
      <c r="E4391" s="13"/>
    </row>
    <row r="4392" spans="2:5" x14ac:dyDescent="0.2">
      <c r="B4392" t="s">
        <v>7551</v>
      </c>
      <c r="C4392" t="s">
        <v>7552</v>
      </c>
      <c r="D4392" s="13">
        <f>_xll.EditDistance($C$3,C4392,2)</f>
        <v>10</v>
      </c>
      <c r="E4392" s="13"/>
    </row>
    <row r="4393" spans="2:5" x14ac:dyDescent="0.2">
      <c r="B4393" t="s">
        <v>8032</v>
      </c>
      <c r="C4393" t="s">
        <v>8033</v>
      </c>
      <c r="D4393" s="13">
        <f>_xll.EditDistance($C$3,C4393,2)</f>
        <v>10</v>
      </c>
      <c r="E4393" s="13"/>
    </row>
    <row r="4394" spans="2:5" x14ac:dyDescent="0.2">
      <c r="B4394" t="s">
        <v>926</v>
      </c>
      <c r="C4394" t="s">
        <v>927</v>
      </c>
      <c r="D4394" s="13">
        <f>_xll.EditDistance($C$3,C4394,2)</f>
        <v>10</v>
      </c>
      <c r="E4394" s="13"/>
    </row>
    <row r="4395" spans="2:5" x14ac:dyDescent="0.2">
      <c r="B4395" t="s">
        <v>1078</v>
      </c>
      <c r="C4395" t="s">
        <v>1079</v>
      </c>
      <c r="D4395" s="13">
        <f>_xll.EditDistance($C$3,C4395,2)</f>
        <v>20</v>
      </c>
      <c r="E4395" s="13"/>
    </row>
    <row r="4396" spans="2:5" x14ac:dyDescent="0.2">
      <c r="B4396" t="s">
        <v>4643</v>
      </c>
      <c r="C4396" t="s">
        <v>4644</v>
      </c>
      <c r="D4396" s="13">
        <f>_xll.EditDistance($C$3,C4396,2)</f>
        <v>10</v>
      </c>
      <c r="E4396" s="13"/>
    </row>
    <row r="4397" spans="2:5" x14ac:dyDescent="0.2">
      <c r="B4397" t="s">
        <v>5363</v>
      </c>
      <c r="C4397" t="s">
        <v>5364</v>
      </c>
      <c r="D4397" s="13">
        <f>_xll.EditDistance($C$3,C4397,2)</f>
        <v>10</v>
      </c>
      <c r="E4397" s="13"/>
    </row>
    <row r="4398" spans="2:5" x14ac:dyDescent="0.2">
      <c r="B4398" t="s">
        <v>2152</v>
      </c>
      <c r="C4398" t="s">
        <v>2153</v>
      </c>
      <c r="D4398" s="13">
        <f>_xll.EditDistance($C$3,C4398,2)</f>
        <v>10</v>
      </c>
      <c r="E4398" s="13"/>
    </row>
    <row r="4399" spans="2:5" x14ac:dyDescent="0.2">
      <c r="B4399" t="s">
        <v>2846</v>
      </c>
      <c r="C4399" t="s">
        <v>2847</v>
      </c>
      <c r="D4399" s="13">
        <f>_xll.EditDistance($C$3,C4399,2)</f>
        <v>10</v>
      </c>
      <c r="E4399" s="13"/>
    </row>
    <row r="4400" spans="2:5" x14ac:dyDescent="0.2">
      <c r="B4400" t="s">
        <v>3760</v>
      </c>
      <c r="C4400" t="s">
        <v>3761</v>
      </c>
      <c r="D4400" s="13">
        <f>_xll.EditDistance($C$3,C4400,2)</f>
        <v>10</v>
      </c>
      <c r="E4400" s="13"/>
    </row>
    <row r="4401" spans="2:5" x14ac:dyDescent="0.2">
      <c r="B4401" t="s">
        <v>5150</v>
      </c>
      <c r="C4401" t="s">
        <v>5151</v>
      </c>
      <c r="D4401" s="13">
        <f>_xll.EditDistance($C$3,C4401,2)</f>
        <v>10</v>
      </c>
      <c r="E4401" s="13"/>
    </row>
    <row r="4402" spans="2:5" x14ac:dyDescent="0.2">
      <c r="B4402" t="s">
        <v>5588</v>
      </c>
      <c r="C4402" t="s">
        <v>5589</v>
      </c>
      <c r="D4402" s="13">
        <f>_xll.EditDistance($C$3,C4402,2)</f>
        <v>10</v>
      </c>
      <c r="E4402" s="13"/>
    </row>
    <row r="4403" spans="2:5" x14ac:dyDescent="0.2">
      <c r="B4403" t="s">
        <v>6512</v>
      </c>
      <c r="C4403" t="s">
        <v>6514</v>
      </c>
      <c r="D4403" s="13">
        <f>_xll.EditDistance($C$3,C4403,2)</f>
        <v>20</v>
      </c>
      <c r="E4403" s="13"/>
    </row>
    <row r="4404" spans="2:5" x14ac:dyDescent="0.2">
      <c r="B4404" t="s">
        <v>6757</v>
      </c>
      <c r="C4404" t="s">
        <v>6758</v>
      </c>
      <c r="D4404" s="13">
        <f>_xll.EditDistance($C$3,C4404,2)</f>
        <v>10</v>
      </c>
      <c r="E4404" s="13"/>
    </row>
    <row r="4405" spans="2:5" x14ac:dyDescent="0.2">
      <c r="B4405" t="s">
        <v>7673</v>
      </c>
      <c r="C4405" t="s">
        <v>7674</v>
      </c>
      <c r="D4405" s="13">
        <f>_xll.EditDistance($C$3,C4405,2)</f>
        <v>10</v>
      </c>
      <c r="E4405" s="13"/>
    </row>
    <row r="4406" spans="2:5" x14ac:dyDescent="0.2">
      <c r="B4406" t="s">
        <v>8388</v>
      </c>
      <c r="C4406" t="s">
        <v>8389</v>
      </c>
      <c r="D4406" s="13">
        <f>_xll.EditDistance($C$3,C4406,2)</f>
        <v>10</v>
      </c>
      <c r="E4406" s="13"/>
    </row>
    <row r="4407" spans="2:5" x14ac:dyDescent="0.2">
      <c r="B4407" t="s">
        <v>2049</v>
      </c>
      <c r="C4407" t="s">
        <v>2050</v>
      </c>
      <c r="D4407" s="13">
        <f>_xll.EditDistance($C$3,C4407,2)</f>
        <v>20</v>
      </c>
      <c r="E4407" s="13"/>
    </row>
    <row r="4408" spans="2:5" x14ac:dyDescent="0.2">
      <c r="B4408" t="s">
        <v>2307</v>
      </c>
      <c r="C4408" t="s">
        <v>2308</v>
      </c>
      <c r="D4408" s="13">
        <f>_xll.EditDistance($C$3,C4408,2)</f>
        <v>20</v>
      </c>
      <c r="E4408" s="13"/>
    </row>
    <row r="4409" spans="2:5" x14ac:dyDescent="0.2">
      <c r="B4409" t="s">
        <v>2776</v>
      </c>
      <c r="C4409" t="s">
        <v>2777</v>
      </c>
      <c r="D4409" s="13">
        <f>_xll.EditDistance($C$3,C4409,2)</f>
        <v>10</v>
      </c>
      <c r="E4409" s="13"/>
    </row>
    <row r="4410" spans="2:5" x14ac:dyDescent="0.2">
      <c r="B4410" t="s">
        <v>3568</v>
      </c>
      <c r="C4410" t="s">
        <v>3569</v>
      </c>
      <c r="D4410" s="13">
        <f>_xll.EditDistance($C$3,C4410,2)</f>
        <v>10</v>
      </c>
      <c r="E4410" s="13"/>
    </row>
    <row r="4411" spans="2:5" x14ac:dyDescent="0.2">
      <c r="B4411" t="s">
        <v>5963</v>
      </c>
      <c r="C4411" t="s">
        <v>5964</v>
      </c>
      <c r="D4411" s="13">
        <f>_xll.EditDistance($C$3,C4411,2)</f>
        <v>10</v>
      </c>
      <c r="E4411" s="13"/>
    </row>
    <row r="4412" spans="2:5" x14ac:dyDescent="0.2">
      <c r="B4412" t="s">
        <v>6103</v>
      </c>
      <c r="C4412" t="s">
        <v>6104</v>
      </c>
      <c r="D4412" s="13">
        <f>_xll.EditDistance($C$3,C4412,2)</f>
        <v>10</v>
      </c>
      <c r="E4412" s="13"/>
    </row>
    <row r="4413" spans="2:5" x14ac:dyDescent="0.2">
      <c r="B4413" t="s">
        <v>6808</v>
      </c>
      <c r="C4413" t="s">
        <v>6809</v>
      </c>
      <c r="D4413" s="13">
        <f>_xll.EditDistance($C$3,C4413,2)</f>
        <v>10</v>
      </c>
      <c r="E4413" s="13"/>
    </row>
    <row r="4414" spans="2:5" x14ac:dyDescent="0.2">
      <c r="B4414" t="s">
        <v>504</v>
      </c>
      <c r="C4414" t="s">
        <v>505</v>
      </c>
      <c r="D4414" s="13">
        <f>_xll.EditDistance($C$3,C4414,2)</f>
        <v>10</v>
      </c>
      <c r="E4414" s="13"/>
    </row>
    <row r="4415" spans="2:5" x14ac:dyDescent="0.2">
      <c r="B4415" t="s">
        <v>2024</v>
      </c>
      <c r="C4415" t="s">
        <v>2025</v>
      </c>
      <c r="D4415" s="13">
        <f>_xll.EditDistance($C$3,C4415,2)</f>
        <v>10</v>
      </c>
      <c r="E4415" s="13"/>
    </row>
    <row r="4416" spans="2:5" x14ac:dyDescent="0.2">
      <c r="B4416" t="s">
        <v>5708</v>
      </c>
      <c r="C4416" t="s">
        <v>5709</v>
      </c>
      <c r="D4416" s="13">
        <f>_xll.EditDistance($C$3,C4416,2)</f>
        <v>10</v>
      </c>
      <c r="E4416" s="13"/>
    </row>
    <row r="4417" spans="2:5" x14ac:dyDescent="0.2">
      <c r="B4417" t="s">
        <v>5822</v>
      </c>
      <c r="C4417" t="s">
        <v>5823</v>
      </c>
      <c r="D4417" s="13">
        <f>_xll.EditDistance($C$3,C4417,2)</f>
        <v>10</v>
      </c>
      <c r="E4417" s="13"/>
    </row>
    <row r="4418" spans="2:5" x14ac:dyDescent="0.2">
      <c r="B4418" t="s">
        <v>7192</v>
      </c>
      <c r="C4418" t="s">
        <v>7193</v>
      </c>
      <c r="D4418" s="13">
        <f>_xll.EditDistance($C$3,C4418,2)</f>
        <v>20</v>
      </c>
      <c r="E4418" s="13"/>
    </row>
    <row r="4419" spans="2:5" x14ac:dyDescent="0.2">
      <c r="B4419" t="s">
        <v>151</v>
      </c>
      <c r="C4419" t="s">
        <v>152</v>
      </c>
      <c r="D4419" s="13">
        <f>_xll.EditDistance($C$3,C4419,2)</f>
        <v>10</v>
      </c>
      <c r="E4419" s="13"/>
    </row>
    <row r="4420" spans="2:5" x14ac:dyDescent="0.2">
      <c r="B4420" t="s">
        <v>1383</v>
      </c>
      <c r="C4420" t="s">
        <v>1384</v>
      </c>
      <c r="D4420" s="13">
        <f>_xll.EditDistance($C$3,C4420,2)</f>
        <v>20</v>
      </c>
      <c r="E4420" s="13"/>
    </row>
    <row r="4421" spans="2:5" x14ac:dyDescent="0.2">
      <c r="B4421" t="s">
        <v>7369</v>
      </c>
      <c r="C4421" t="s">
        <v>7371</v>
      </c>
      <c r="D4421" s="13">
        <f>_xll.EditDistance($C$3,C4421,2)</f>
        <v>10</v>
      </c>
      <c r="E4421" s="13"/>
    </row>
    <row r="4422" spans="2:5" x14ac:dyDescent="0.2">
      <c r="B4422" t="s">
        <v>7607</v>
      </c>
      <c r="C4422" t="s">
        <v>7608</v>
      </c>
      <c r="D4422" s="13">
        <f>_xll.EditDistance($C$3,C4422,2)</f>
        <v>10</v>
      </c>
      <c r="E4422" s="13"/>
    </row>
    <row r="4423" spans="2:5" x14ac:dyDescent="0.2">
      <c r="B4423" t="s">
        <v>1737</v>
      </c>
      <c r="C4423" t="s">
        <v>1738</v>
      </c>
      <c r="D4423" s="13">
        <f>_xll.EditDistance($C$3,C4423,2)</f>
        <v>20</v>
      </c>
      <c r="E4423" s="13"/>
    </row>
    <row r="4424" spans="2:5" x14ac:dyDescent="0.2">
      <c r="B4424" t="s">
        <v>6794</v>
      </c>
      <c r="C4424" t="s">
        <v>6795</v>
      </c>
      <c r="D4424" s="13">
        <f>_xll.EditDistance($C$3,C4424,2)</f>
        <v>10</v>
      </c>
      <c r="E4424" s="13"/>
    </row>
    <row r="4425" spans="2:5" x14ac:dyDescent="0.2">
      <c r="B4425" t="s">
        <v>1595</v>
      </c>
      <c r="C4425" t="s">
        <v>1597</v>
      </c>
      <c r="D4425" s="13">
        <f>_xll.EditDistance($C$3,C4425,2)</f>
        <v>20</v>
      </c>
      <c r="E4425" s="13"/>
    </row>
    <row r="4426" spans="2:5" x14ac:dyDescent="0.2">
      <c r="B4426" t="s">
        <v>2482</v>
      </c>
      <c r="C4426" t="s">
        <v>2483</v>
      </c>
      <c r="D4426" s="13">
        <f>_xll.EditDistance($C$3,C4426,2)</f>
        <v>10</v>
      </c>
      <c r="E4426" s="13"/>
    </row>
    <row r="4427" spans="2:5" x14ac:dyDescent="0.2">
      <c r="B4427" s="22" t="s">
        <v>5077</v>
      </c>
      <c r="C4427" t="s">
        <v>5078</v>
      </c>
      <c r="D4427" s="13">
        <f>_xll.EditDistance($C$3,C4427,2)</f>
        <v>10</v>
      </c>
      <c r="E4427" s="13"/>
    </row>
    <row r="4428" spans="2:5" x14ac:dyDescent="0.2">
      <c r="B4428" t="s">
        <v>6041</v>
      </c>
      <c r="C4428" t="s">
        <v>6042</v>
      </c>
      <c r="D4428" s="13">
        <f>_xll.EditDistance($C$3,C4428,2)</f>
        <v>10</v>
      </c>
      <c r="E4428" s="13"/>
    </row>
    <row r="4429" spans="2:5" x14ac:dyDescent="0.2">
      <c r="B4429" t="s">
        <v>2508</v>
      </c>
      <c r="C4429" t="s">
        <v>2509</v>
      </c>
      <c r="D4429" s="13">
        <f>_xll.EditDistance($C$3,C4429,2)</f>
        <v>10</v>
      </c>
      <c r="E4429" s="13"/>
    </row>
    <row r="4430" spans="2:5" x14ac:dyDescent="0.2">
      <c r="B4430" t="s">
        <v>5537</v>
      </c>
      <c r="C4430" t="s">
        <v>5538</v>
      </c>
      <c r="D4430" s="13">
        <f>_xll.EditDistance($C$3,C4430,2)</f>
        <v>10</v>
      </c>
      <c r="E4430" s="13"/>
    </row>
    <row r="4431" spans="2:5" x14ac:dyDescent="0.2">
      <c r="B4431" t="s">
        <v>6301</v>
      </c>
      <c r="C4431" t="s">
        <v>6303</v>
      </c>
      <c r="D4431" s="13">
        <f>_xll.EditDistance($C$3,C4431,2)</f>
        <v>20</v>
      </c>
      <c r="E4431" s="13"/>
    </row>
    <row r="4432" spans="2:5" x14ac:dyDescent="0.2">
      <c r="B4432" t="s">
        <v>2576</v>
      </c>
      <c r="C4432" t="s">
        <v>2577</v>
      </c>
      <c r="D4432" s="13">
        <f>_xll.EditDistance($C$3,C4432,2)</f>
        <v>10</v>
      </c>
      <c r="E4432" s="13"/>
    </row>
    <row r="4433" spans="2:5" x14ac:dyDescent="0.2">
      <c r="B4433" t="s">
        <v>6570</v>
      </c>
      <c r="C4433" t="s">
        <v>6571</v>
      </c>
      <c r="D4433" s="13">
        <f>_xll.EditDistance($C$3,C4433,2)</f>
        <v>10</v>
      </c>
      <c r="E4433" s="13"/>
    </row>
    <row r="4434" spans="2:5" x14ac:dyDescent="0.2">
      <c r="B4434" t="s">
        <v>1844</v>
      </c>
      <c r="C4434" t="s">
        <v>1845</v>
      </c>
      <c r="D4434" s="13">
        <f>_xll.EditDistance($C$3,C4434,2)</f>
        <v>10</v>
      </c>
      <c r="E4434" s="13"/>
    </row>
    <row r="4435" spans="2:5" x14ac:dyDescent="0.2">
      <c r="B4435" t="s">
        <v>8168</v>
      </c>
      <c r="C4435" t="s">
        <v>8169</v>
      </c>
      <c r="D4435" s="13">
        <f>_xll.EditDistance($C$3,C4435,2)</f>
        <v>10</v>
      </c>
      <c r="E4435" s="13"/>
    </row>
    <row r="4436" spans="2:5" x14ac:dyDescent="0.2">
      <c r="B4436" t="s">
        <v>8517</v>
      </c>
      <c r="C4436" t="s">
        <v>8519</v>
      </c>
      <c r="D4436" s="13">
        <f>_xll.EditDistance($C$3,C4436,2)</f>
        <v>20</v>
      </c>
      <c r="E4436" s="13"/>
    </row>
    <row r="4437" spans="2:5" x14ac:dyDescent="0.2">
      <c r="B4437" t="s">
        <v>117</v>
      </c>
      <c r="C4437" t="s">
        <v>118</v>
      </c>
      <c r="D4437" s="13">
        <f>_xll.EditDistance($C$3,C4437,2)</f>
        <v>10</v>
      </c>
      <c r="E4437" s="13"/>
    </row>
    <row r="4438" spans="2:5" x14ac:dyDescent="0.2">
      <c r="B4438" t="s">
        <v>359</v>
      </c>
      <c r="C4438" t="s">
        <v>360</v>
      </c>
      <c r="D4438" s="13">
        <f>_xll.EditDistance($C$3,C4438,2)</f>
        <v>10</v>
      </c>
      <c r="E4438" s="13"/>
    </row>
    <row r="4439" spans="2:5" x14ac:dyDescent="0.2">
      <c r="B4439" t="s">
        <v>359</v>
      </c>
      <c r="C4439" t="s">
        <v>361</v>
      </c>
      <c r="D4439" s="13">
        <f>_xll.EditDistance($C$3,C4439,2)</f>
        <v>10</v>
      </c>
      <c r="E4439" s="13"/>
    </row>
    <row r="4440" spans="2:5" x14ac:dyDescent="0.2">
      <c r="B4440" t="s">
        <v>406</v>
      </c>
      <c r="C4440" t="s">
        <v>407</v>
      </c>
      <c r="D4440" s="13">
        <f>_xll.EditDistance($C$3,C4440,2)</f>
        <v>10</v>
      </c>
      <c r="E4440" s="13"/>
    </row>
    <row r="4441" spans="2:5" x14ac:dyDescent="0.2">
      <c r="B4441" t="s">
        <v>810</v>
      </c>
      <c r="C4441" t="s">
        <v>811</v>
      </c>
      <c r="D4441" s="13">
        <f>_xll.EditDistance($C$3,C4441,2)</f>
        <v>20</v>
      </c>
      <c r="E4441" s="13"/>
    </row>
    <row r="4442" spans="2:5" x14ac:dyDescent="0.2">
      <c r="B4442" t="s">
        <v>936</v>
      </c>
      <c r="C4442" t="s">
        <v>937</v>
      </c>
      <c r="D4442" s="13">
        <f>_xll.EditDistance($C$3,C4442,2)</f>
        <v>10</v>
      </c>
      <c r="E4442" s="13"/>
    </row>
    <row r="4443" spans="2:5" x14ac:dyDescent="0.2">
      <c r="B4443" t="s">
        <v>1056</v>
      </c>
      <c r="C4443" t="s">
        <v>1057</v>
      </c>
      <c r="D4443" s="13">
        <f>_xll.EditDistance($C$3,C4443,2)</f>
        <v>10</v>
      </c>
      <c r="E4443" s="13"/>
    </row>
    <row r="4444" spans="2:5" x14ac:dyDescent="0.2">
      <c r="B4444" t="s">
        <v>1254</v>
      </c>
      <c r="C4444" t="s">
        <v>1255</v>
      </c>
      <c r="D4444" s="13">
        <f>_xll.EditDistance($C$3,C4444,2)</f>
        <v>10</v>
      </c>
      <c r="E4444" s="13"/>
    </row>
    <row r="4445" spans="2:5" x14ac:dyDescent="0.2">
      <c r="B4445" t="s">
        <v>1391</v>
      </c>
      <c r="C4445" t="s">
        <v>1392</v>
      </c>
      <c r="D4445" s="13">
        <f>_xll.EditDistance($C$3,C4445,2)</f>
        <v>10</v>
      </c>
      <c r="E4445" s="13"/>
    </row>
    <row r="4446" spans="2:5" x14ac:dyDescent="0.2">
      <c r="B4446" t="s">
        <v>1564</v>
      </c>
      <c r="C4446" t="s">
        <v>1565</v>
      </c>
      <c r="D4446" s="13">
        <f>_xll.EditDistance($C$3,C4446,2)</f>
        <v>10</v>
      </c>
      <c r="E4446" s="13"/>
    </row>
    <row r="4447" spans="2:5" x14ac:dyDescent="0.2">
      <c r="B4447" t="s">
        <v>1604</v>
      </c>
      <c r="C4447" t="s">
        <v>1605</v>
      </c>
      <c r="D4447" s="13">
        <f>_xll.EditDistance($C$3,C4447,2)</f>
        <v>10</v>
      </c>
      <c r="E4447" s="13"/>
    </row>
    <row r="4448" spans="2:5" x14ac:dyDescent="0.2">
      <c r="B4448" t="s">
        <v>1895</v>
      </c>
      <c r="C4448" t="s">
        <v>1896</v>
      </c>
      <c r="D4448" s="13">
        <f>_xll.EditDistance($C$3,C4448,2)</f>
        <v>10</v>
      </c>
      <c r="E4448" s="13"/>
    </row>
    <row r="4449" spans="2:5" x14ac:dyDescent="0.2">
      <c r="B4449" t="s">
        <v>2012</v>
      </c>
      <c r="C4449" t="s">
        <v>2013</v>
      </c>
      <c r="D4449" s="13">
        <f>_xll.EditDistance($C$3,C4449,2)</f>
        <v>10</v>
      </c>
      <c r="E4449" s="13"/>
    </row>
    <row r="4450" spans="2:5" x14ac:dyDescent="0.2">
      <c r="B4450" t="s">
        <v>2357</v>
      </c>
      <c r="C4450" t="s">
        <v>2358</v>
      </c>
      <c r="D4450" s="13">
        <f>_xll.EditDistance($C$3,C4450,2)</f>
        <v>20</v>
      </c>
      <c r="E4450" s="13"/>
    </row>
    <row r="4451" spans="2:5" x14ac:dyDescent="0.2">
      <c r="B4451" t="s">
        <v>2367</v>
      </c>
      <c r="C4451" t="s">
        <v>2368</v>
      </c>
      <c r="D4451" s="13">
        <f>_xll.EditDistance($C$3,C4451,2)</f>
        <v>10</v>
      </c>
      <c r="E4451" s="13"/>
    </row>
    <row r="4452" spans="2:5" x14ac:dyDescent="0.2">
      <c r="B4452" t="s">
        <v>2602</v>
      </c>
      <c r="C4452" t="s">
        <v>2603</v>
      </c>
      <c r="D4452" s="13">
        <f>_xll.EditDistance($C$3,C4452,2)</f>
        <v>10</v>
      </c>
      <c r="E4452" s="13"/>
    </row>
    <row r="4453" spans="2:5" x14ac:dyDescent="0.2">
      <c r="B4453" t="s">
        <v>3136</v>
      </c>
      <c r="C4453" t="s">
        <v>3137</v>
      </c>
      <c r="D4453" s="13">
        <f>_xll.EditDistance($C$3,C4453,2)</f>
        <v>10</v>
      </c>
      <c r="E4453" s="13"/>
    </row>
    <row r="4454" spans="2:5" x14ac:dyDescent="0.2">
      <c r="B4454" t="s">
        <v>3564</v>
      </c>
      <c r="C4454" t="s">
        <v>3565</v>
      </c>
      <c r="D4454" s="13">
        <f>_xll.EditDistance($C$3,C4454,2)</f>
        <v>10</v>
      </c>
      <c r="E4454" s="13"/>
    </row>
    <row r="4455" spans="2:5" x14ac:dyDescent="0.2">
      <c r="B4455" t="s">
        <v>3856</v>
      </c>
      <c r="C4455" t="s">
        <v>3857</v>
      </c>
      <c r="D4455" s="13">
        <f>_xll.EditDistance($C$3,C4455,2)</f>
        <v>10</v>
      </c>
      <c r="E4455" s="13"/>
    </row>
    <row r="4456" spans="2:5" x14ac:dyDescent="0.2">
      <c r="B4456" t="s">
        <v>3961</v>
      </c>
      <c r="C4456" t="s">
        <v>3962</v>
      </c>
      <c r="D4456" s="13">
        <f>_xll.EditDistance($C$3,C4456,2)</f>
        <v>18</v>
      </c>
      <c r="E4456" s="13"/>
    </row>
    <row r="4457" spans="2:5" x14ac:dyDescent="0.2">
      <c r="B4457" t="s">
        <v>3989</v>
      </c>
      <c r="C4457" t="s">
        <v>3990</v>
      </c>
      <c r="D4457" s="13">
        <f>_xll.EditDistance($C$3,C4457,2)</f>
        <v>10</v>
      </c>
      <c r="E4457" s="13"/>
    </row>
    <row r="4458" spans="2:5" x14ac:dyDescent="0.2">
      <c r="B4458" t="s">
        <v>4144</v>
      </c>
      <c r="C4458" t="s">
        <v>4145</v>
      </c>
      <c r="D4458" s="13">
        <f>_xll.EditDistance($C$3,C4458,2)</f>
        <v>10</v>
      </c>
      <c r="E4458" s="13"/>
    </row>
    <row r="4459" spans="2:5" x14ac:dyDescent="0.2">
      <c r="B4459" t="s">
        <v>4191</v>
      </c>
      <c r="C4459" t="s">
        <v>4192</v>
      </c>
      <c r="D4459" s="13">
        <f>_xll.EditDistance($C$3,C4459,2)</f>
        <v>30</v>
      </c>
      <c r="E4459" s="13"/>
    </row>
    <row r="4460" spans="2:5" x14ac:dyDescent="0.2">
      <c r="B4460" t="s">
        <v>4404</v>
      </c>
      <c r="C4460" t="s">
        <v>4405</v>
      </c>
      <c r="D4460" s="13">
        <f>_xll.EditDistance($C$3,C4460,2)</f>
        <v>10</v>
      </c>
      <c r="E4460" s="13"/>
    </row>
    <row r="4461" spans="2:5" x14ac:dyDescent="0.2">
      <c r="B4461" t="s">
        <v>4653</v>
      </c>
      <c r="C4461" t="s">
        <v>4654</v>
      </c>
      <c r="D4461" s="13">
        <f>_xll.EditDistance($C$3,C4461,2)</f>
        <v>10</v>
      </c>
      <c r="E4461" s="13"/>
    </row>
    <row r="4462" spans="2:5" x14ac:dyDescent="0.2">
      <c r="B4462" t="s">
        <v>4945</v>
      </c>
      <c r="C4462" t="s">
        <v>4946</v>
      </c>
      <c r="D4462" s="13">
        <f>_xll.EditDistance($C$3,C4462,2)</f>
        <v>10</v>
      </c>
      <c r="E4462" s="13"/>
    </row>
    <row r="4463" spans="2:5" x14ac:dyDescent="0.2">
      <c r="B4463" t="s">
        <v>4945</v>
      </c>
      <c r="C4463" t="s">
        <v>4947</v>
      </c>
      <c r="D4463" s="13">
        <f>_xll.EditDistance($C$3,C4463,2)</f>
        <v>10</v>
      </c>
      <c r="E4463" s="13"/>
    </row>
    <row r="4464" spans="2:5" x14ac:dyDescent="0.2">
      <c r="B4464" t="s">
        <v>5079</v>
      </c>
      <c r="C4464" t="s">
        <v>5080</v>
      </c>
      <c r="D4464" s="13">
        <f>_xll.EditDistance($C$3,C4464,2)</f>
        <v>10</v>
      </c>
      <c r="E4464" s="13"/>
    </row>
    <row r="4465" spans="2:5" x14ac:dyDescent="0.2">
      <c r="B4465" t="s">
        <v>5279</v>
      </c>
      <c r="C4465" t="s">
        <v>5280</v>
      </c>
      <c r="D4465" s="13">
        <f>_xll.EditDistance($C$3,C4465,2)</f>
        <v>10</v>
      </c>
      <c r="E4465" s="13"/>
    </row>
    <row r="4466" spans="2:5" x14ac:dyDescent="0.2">
      <c r="B4466" t="s">
        <v>5344</v>
      </c>
      <c r="C4466" t="s">
        <v>5345</v>
      </c>
      <c r="D4466" s="13">
        <f>_xll.EditDistance($C$3,C4466,2)</f>
        <v>10</v>
      </c>
      <c r="E4466" s="13"/>
    </row>
    <row r="4467" spans="2:5" x14ac:dyDescent="0.2">
      <c r="B4467" t="s">
        <v>5598</v>
      </c>
      <c r="C4467" t="s">
        <v>5599</v>
      </c>
      <c r="D4467" s="13">
        <f>_xll.EditDistance($C$3,C4467,2)</f>
        <v>20</v>
      </c>
      <c r="E4467" s="13"/>
    </row>
    <row r="4468" spans="2:5" x14ac:dyDescent="0.2">
      <c r="B4468" t="s">
        <v>6061</v>
      </c>
      <c r="C4468" t="s">
        <v>6062</v>
      </c>
      <c r="D4468" s="13">
        <f>_xll.EditDistance($C$3,C4468,2)</f>
        <v>10</v>
      </c>
      <c r="E4468" s="13"/>
    </row>
    <row r="4469" spans="2:5" x14ac:dyDescent="0.2">
      <c r="B4469" t="s">
        <v>6081</v>
      </c>
      <c r="C4469" t="s">
        <v>6082</v>
      </c>
      <c r="D4469" s="13">
        <f>_xll.EditDistance($C$3,C4469,2)</f>
        <v>20</v>
      </c>
      <c r="E4469" s="13"/>
    </row>
    <row r="4470" spans="2:5" x14ac:dyDescent="0.2">
      <c r="B4470" t="s">
        <v>6312</v>
      </c>
      <c r="C4470" t="s">
        <v>6313</v>
      </c>
      <c r="D4470" s="13">
        <f>_xll.EditDistance($C$3,C4470,2)</f>
        <v>10</v>
      </c>
      <c r="E4470" s="13"/>
    </row>
    <row r="4471" spans="2:5" x14ac:dyDescent="0.2">
      <c r="B4471" t="s">
        <v>6328</v>
      </c>
      <c r="C4471" t="s">
        <v>6329</v>
      </c>
      <c r="D4471" s="13">
        <f>_xll.EditDistance($C$3,C4471,2)</f>
        <v>10</v>
      </c>
      <c r="E4471" s="13"/>
    </row>
    <row r="4472" spans="2:5" x14ac:dyDescent="0.2">
      <c r="B4472" t="s">
        <v>6662</v>
      </c>
      <c r="C4472" t="s">
        <v>6663</v>
      </c>
      <c r="D4472" s="13">
        <f>_xll.EditDistance($C$3,C4472,2)</f>
        <v>10</v>
      </c>
      <c r="E4472" s="13"/>
    </row>
    <row r="4473" spans="2:5" x14ac:dyDescent="0.2">
      <c r="B4473" t="s">
        <v>6695</v>
      </c>
      <c r="C4473" t="s">
        <v>6696</v>
      </c>
      <c r="D4473" s="13">
        <f>_xll.EditDistance($C$3,C4473,2)</f>
        <v>20</v>
      </c>
      <c r="E4473" s="13"/>
    </row>
    <row r="4474" spans="2:5" x14ac:dyDescent="0.2">
      <c r="B4474" t="s">
        <v>7014</v>
      </c>
      <c r="C4474" t="s">
        <v>7015</v>
      </c>
      <c r="D4474" s="13">
        <f>_xll.EditDistance($C$3,C4474,2)</f>
        <v>10</v>
      </c>
      <c r="E4474" s="13"/>
    </row>
    <row r="4475" spans="2:5" x14ac:dyDescent="0.2">
      <c r="B4475" t="s">
        <v>7592</v>
      </c>
      <c r="C4475" t="s">
        <v>7593</v>
      </c>
      <c r="D4475" s="13">
        <f>_xll.EditDistance($C$3,C4475,2)</f>
        <v>10</v>
      </c>
      <c r="E4475" s="13"/>
    </row>
    <row r="4476" spans="2:5" x14ac:dyDescent="0.2">
      <c r="B4476" t="s">
        <v>8323</v>
      </c>
      <c r="C4476" t="s">
        <v>8324</v>
      </c>
      <c r="D4476" s="13">
        <f>_xll.EditDistance($C$3,C4476,2)</f>
        <v>10</v>
      </c>
      <c r="E4476" s="13"/>
    </row>
    <row r="4477" spans="2:5" x14ac:dyDescent="0.2">
      <c r="B4477" t="s">
        <v>8406</v>
      </c>
      <c r="C4477" t="s">
        <v>8407</v>
      </c>
      <c r="D4477" s="13">
        <f>_xll.EditDistance($C$3,C4477,2)</f>
        <v>10</v>
      </c>
      <c r="E4477" s="13"/>
    </row>
    <row r="4478" spans="2:5" x14ac:dyDescent="0.2">
      <c r="B4478" t="s">
        <v>8457</v>
      </c>
      <c r="C4478" t="s">
        <v>8458</v>
      </c>
      <c r="D4478" s="13">
        <f>_xll.EditDistance($C$3,C4478,2)</f>
        <v>10</v>
      </c>
      <c r="E4478" s="13"/>
    </row>
  </sheetData>
  <sortState ref="B10:D4478">
    <sortCondition ref="D10:D4478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D4471"/>
  <sheetViews>
    <sheetView topLeftCell="A4432" workbookViewId="0">
      <selection activeCell="C4462" sqref="C4462"/>
    </sheetView>
  </sheetViews>
  <sheetFormatPr defaultRowHeight="12.75" x14ac:dyDescent="0.2"/>
  <cols>
    <col min="3" max="3" width="93.5703125" customWidth="1"/>
    <col min="4" max="4" width="25.5703125" customWidth="1"/>
  </cols>
  <sheetData>
    <row r="3" spans="3:4" x14ac:dyDescent="0.2">
      <c r="C3" t="s">
        <v>2005</v>
      </c>
      <c r="D3" s="13">
        <v>10</v>
      </c>
    </row>
    <row r="4" spans="3:4" x14ac:dyDescent="0.2">
      <c r="C4" t="s">
        <v>4154</v>
      </c>
      <c r="D4" s="13">
        <v>10</v>
      </c>
    </row>
    <row r="5" spans="3:4" x14ac:dyDescent="0.2">
      <c r="C5" t="s">
        <v>4212</v>
      </c>
      <c r="D5" s="13">
        <v>10</v>
      </c>
    </row>
    <row r="6" spans="3:4" x14ac:dyDescent="0.2">
      <c r="C6" t="s">
        <v>7591</v>
      </c>
      <c r="D6" s="13">
        <v>10</v>
      </c>
    </row>
    <row r="7" spans="3:4" x14ac:dyDescent="0.2">
      <c r="C7" t="s">
        <v>7690</v>
      </c>
      <c r="D7" s="13">
        <v>10</v>
      </c>
    </row>
    <row r="8" spans="3:4" x14ac:dyDescent="0.2">
      <c r="C8" t="s">
        <v>2845</v>
      </c>
      <c r="D8" s="13">
        <v>10</v>
      </c>
    </row>
    <row r="9" spans="3:4" x14ac:dyDescent="0.2">
      <c r="C9" t="s">
        <v>4147</v>
      </c>
      <c r="D9" s="13">
        <v>10</v>
      </c>
    </row>
    <row r="10" spans="3:4" x14ac:dyDescent="0.2">
      <c r="C10" t="s">
        <v>8198</v>
      </c>
      <c r="D10" s="13">
        <v>10</v>
      </c>
    </row>
    <row r="11" spans="3:4" x14ac:dyDescent="0.2">
      <c r="C11" t="s">
        <v>7851</v>
      </c>
      <c r="D11" s="13">
        <v>10</v>
      </c>
    </row>
    <row r="12" spans="3:4" x14ac:dyDescent="0.2">
      <c r="C12" t="s">
        <v>733</v>
      </c>
      <c r="D12" s="13">
        <v>10</v>
      </c>
    </row>
    <row r="13" spans="3:4" x14ac:dyDescent="0.2">
      <c r="C13" t="s">
        <v>3433</v>
      </c>
      <c r="D13" s="13">
        <v>10</v>
      </c>
    </row>
    <row r="14" spans="3:4" x14ac:dyDescent="0.2">
      <c r="C14" t="s">
        <v>5141</v>
      </c>
      <c r="D14" s="13">
        <v>10</v>
      </c>
    </row>
    <row r="15" spans="3:4" x14ac:dyDescent="0.2">
      <c r="C15" t="s">
        <v>519</v>
      </c>
      <c r="D15" s="13">
        <v>10</v>
      </c>
    </row>
    <row r="16" spans="3:4" x14ac:dyDescent="0.2">
      <c r="C16" t="s">
        <v>3627</v>
      </c>
      <c r="D16" s="13">
        <v>10</v>
      </c>
    </row>
    <row r="17" spans="3:4" x14ac:dyDescent="0.2">
      <c r="C17" t="s">
        <v>3705</v>
      </c>
      <c r="D17" s="13">
        <v>10</v>
      </c>
    </row>
    <row r="18" spans="3:4" x14ac:dyDescent="0.2">
      <c r="C18" t="s">
        <v>6551</v>
      </c>
      <c r="D18" s="13">
        <v>10</v>
      </c>
    </row>
    <row r="19" spans="3:4" x14ac:dyDescent="0.2">
      <c r="C19" t="s">
        <v>318</v>
      </c>
      <c r="D19" s="13">
        <v>10</v>
      </c>
    </row>
    <row r="20" spans="3:4" x14ac:dyDescent="0.2">
      <c r="C20" t="s">
        <v>586</v>
      </c>
      <c r="D20" s="13">
        <v>10</v>
      </c>
    </row>
    <row r="21" spans="3:4" x14ac:dyDescent="0.2">
      <c r="C21" t="s">
        <v>2449</v>
      </c>
      <c r="D21" s="13">
        <v>10</v>
      </c>
    </row>
    <row r="22" spans="3:4" x14ac:dyDescent="0.2">
      <c r="C22" t="s">
        <v>4025</v>
      </c>
      <c r="D22" s="13">
        <v>10</v>
      </c>
    </row>
    <row r="23" spans="3:4" x14ac:dyDescent="0.2">
      <c r="C23" t="s">
        <v>5060</v>
      </c>
      <c r="D23" s="13">
        <v>10</v>
      </c>
    </row>
    <row r="24" spans="3:4" x14ac:dyDescent="0.2">
      <c r="C24" t="s">
        <v>5061</v>
      </c>
      <c r="D24" s="13">
        <v>10</v>
      </c>
    </row>
    <row r="25" spans="3:4" x14ac:dyDescent="0.2">
      <c r="C25" t="s">
        <v>5901</v>
      </c>
      <c r="D25" s="13">
        <v>10</v>
      </c>
    </row>
    <row r="26" spans="3:4" x14ac:dyDescent="0.2">
      <c r="C26" t="s">
        <v>5949</v>
      </c>
      <c r="D26" s="13">
        <v>10</v>
      </c>
    </row>
    <row r="27" spans="3:4" x14ac:dyDescent="0.2">
      <c r="C27" t="s">
        <v>6870</v>
      </c>
      <c r="D27" s="13">
        <v>10</v>
      </c>
    </row>
    <row r="28" spans="3:4" x14ac:dyDescent="0.2">
      <c r="C28" t="s">
        <v>7061</v>
      </c>
      <c r="D28" s="13">
        <v>10</v>
      </c>
    </row>
    <row r="29" spans="3:4" x14ac:dyDescent="0.2">
      <c r="C29" t="s">
        <v>8499</v>
      </c>
      <c r="D29" s="13">
        <v>10</v>
      </c>
    </row>
    <row r="30" spans="3:4" x14ac:dyDescent="0.2">
      <c r="C30" t="s">
        <v>1191</v>
      </c>
      <c r="D30" s="13">
        <v>10</v>
      </c>
    </row>
    <row r="31" spans="3:4" x14ac:dyDescent="0.2">
      <c r="C31" t="s">
        <v>1563</v>
      </c>
      <c r="D31" s="13">
        <v>10</v>
      </c>
    </row>
    <row r="32" spans="3:4" x14ac:dyDescent="0.2">
      <c r="C32" t="s">
        <v>3164</v>
      </c>
      <c r="D32" s="13">
        <v>10</v>
      </c>
    </row>
    <row r="33" spans="3:4" x14ac:dyDescent="0.2">
      <c r="C33" t="s">
        <v>3402</v>
      </c>
      <c r="D33" s="13">
        <v>10</v>
      </c>
    </row>
    <row r="34" spans="3:4" x14ac:dyDescent="0.2">
      <c r="C34" t="s">
        <v>3972</v>
      </c>
      <c r="D34" s="13">
        <v>10</v>
      </c>
    </row>
    <row r="35" spans="3:4" x14ac:dyDescent="0.2">
      <c r="C35" t="s">
        <v>6983</v>
      </c>
      <c r="D35" s="13">
        <v>10</v>
      </c>
    </row>
    <row r="36" spans="3:4" x14ac:dyDescent="0.2">
      <c r="C36" t="s">
        <v>2689</v>
      </c>
      <c r="D36" s="13">
        <v>10</v>
      </c>
    </row>
    <row r="37" spans="3:4" x14ac:dyDescent="0.2">
      <c r="C37" t="s">
        <v>5564</v>
      </c>
      <c r="D37" s="13">
        <v>10</v>
      </c>
    </row>
    <row r="38" spans="3:4" x14ac:dyDescent="0.2">
      <c r="C38" t="s">
        <v>2522</v>
      </c>
      <c r="D38" s="13">
        <v>10</v>
      </c>
    </row>
    <row r="39" spans="3:4" x14ac:dyDescent="0.2">
      <c r="C39" t="s">
        <v>3396</v>
      </c>
      <c r="D39" s="13">
        <v>10</v>
      </c>
    </row>
    <row r="40" spans="3:4" x14ac:dyDescent="0.2">
      <c r="C40" t="s">
        <v>4323</v>
      </c>
      <c r="D40" s="13">
        <v>10</v>
      </c>
    </row>
    <row r="41" spans="3:4" x14ac:dyDescent="0.2">
      <c r="C41" t="s">
        <v>5374</v>
      </c>
      <c r="D41" s="13">
        <v>10</v>
      </c>
    </row>
    <row r="42" spans="3:4" x14ac:dyDescent="0.2">
      <c r="C42" t="s">
        <v>2511</v>
      </c>
      <c r="D42" s="13">
        <v>10</v>
      </c>
    </row>
    <row r="43" spans="3:4" x14ac:dyDescent="0.2">
      <c r="C43" t="s">
        <v>4377</v>
      </c>
      <c r="D43" s="13">
        <v>10</v>
      </c>
    </row>
    <row r="44" spans="3:4" x14ac:dyDescent="0.2">
      <c r="C44" t="s">
        <v>286</v>
      </c>
      <c r="D44" s="13">
        <v>10</v>
      </c>
    </row>
    <row r="45" spans="3:4" x14ac:dyDescent="0.2">
      <c r="C45" t="s">
        <v>348</v>
      </c>
      <c r="D45" s="13">
        <v>10</v>
      </c>
    </row>
    <row r="46" spans="3:4" x14ac:dyDescent="0.2">
      <c r="C46" t="s">
        <v>349</v>
      </c>
      <c r="D46" s="13">
        <v>10</v>
      </c>
    </row>
    <row r="47" spans="3:4" x14ac:dyDescent="0.2">
      <c r="C47" t="s">
        <v>604</v>
      </c>
      <c r="D47" s="13">
        <v>10</v>
      </c>
    </row>
    <row r="48" spans="3:4" x14ac:dyDescent="0.2">
      <c r="C48" t="s">
        <v>935</v>
      </c>
      <c r="D48" s="13">
        <v>10</v>
      </c>
    </row>
    <row r="49" spans="3:4" x14ac:dyDescent="0.2">
      <c r="C49" t="s">
        <v>957</v>
      </c>
      <c r="D49" s="13">
        <v>10</v>
      </c>
    </row>
    <row r="50" spans="3:4" x14ac:dyDescent="0.2">
      <c r="C50" t="s">
        <v>1366</v>
      </c>
      <c r="D50" s="13">
        <v>10</v>
      </c>
    </row>
    <row r="51" spans="3:4" x14ac:dyDescent="0.2">
      <c r="C51" t="s">
        <v>1372</v>
      </c>
      <c r="D51" s="13">
        <v>10</v>
      </c>
    </row>
    <row r="52" spans="3:4" x14ac:dyDescent="0.2">
      <c r="C52" t="s">
        <v>1529</v>
      </c>
      <c r="D52" s="13">
        <v>10</v>
      </c>
    </row>
    <row r="53" spans="3:4" x14ac:dyDescent="0.2">
      <c r="C53" t="s">
        <v>1858</v>
      </c>
      <c r="D53" s="13">
        <v>10</v>
      </c>
    </row>
    <row r="54" spans="3:4" x14ac:dyDescent="0.2">
      <c r="C54" t="s">
        <v>2040</v>
      </c>
      <c r="D54" s="13">
        <v>10</v>
      </c>
    </row>
    <row r="55" spans="3:4" x14ac:dyDescent="0.2">
      <c r="C55" t="s">
        <v>2453</v>
      </c>
      <c r="D55" s="13">
        <v>10</v>
      </c>
    </row>
    <row r="56" spans="3:4" x14ac:dyDescent="0.2">
      <c r="C56" t="s">
        <v>2512</v>
      </c>
      <c r="D56" s="13">
        <v>10</v>
      </c>
    </row>
    <row r="57" spans="3:4" x14ac:dyDescent="0.2">
      <c r="C57" t="s">
        <v>2513</v>
      </c>
      <c r="D57" s="13">
        <v>10</v>
      </c>
    </row>
    <row r="58" spans="3:4" x14ac:dyDescent="0.2">
      <c r="C58" t="s">
        <v>2609</v>
      </c>
      <c r="D58" s="13">
        <v>10</v>
      </c>
    </row>
    <row r="59" spans="3:4" x14ac:dyDescent="0.2">
      <c r="C59" t="s">
        <v>2714</v>
      </c>
      <c r="D59" s="13">
        <v>10</v>
      </c>
    </row>
    <row r="60" spans="3:4" x14ac:dyDescent="0.2">
      <c r="C60" t="s">
        <v>3024</v>
      </c>
      <c r="D60" s="13">
        <v>10</v>
      </c>
    </row>
    <row r="61" spans="3:4" x14ac:dyDescent="0.2">
      <c r="C61" t="s">
        <v>3070</v>
      </c>
      <c r="D61" s="13">
        <v>10</v>
      </c>
    </row>
    <row r="62" spans="3:4" x14ac:dyDescent="0.2">
      <c r="C62" t="s">
        <v>3135</v>
      </c>
      <c r="D62" s="13">
        <v>10</v>
      </c>
    </row>
    <row r="63" spans="3:4" x14ac:dyDescent="0.2">
      <c r="C63" t="s">
        <v>3198</v>
      </c>
      <c r="D63" s="13">
        <v>10</v>
      </c>
    </row>
    <row r="64" spans="3:4" x14ac:dyDescent="0.2">
      <c r="C64" t="s">
        <v>3208</v>
      </c>
      <c r="D64" s="13">
        <v>10</v>
      </c>
    </row>
    <row r="65" spans="3:4" x14ac:dyDescent="0.2">
      <c r="C65" t="s">
        <v>3210</v>
      </c>
      <c r="D65" s="13">
        <v>10</v>
      </c>
    </row>
    <row r="66" spans="3:4" x14ac:dyDescent="0.2">
      <c r="C66" t="s">
        <v>3447</v>
      </c>
      <c r="D66" s="13">
        <v>10</v>
      </c>
    </row>
    <row r="67" spans="3:4" x14ac:dyDescent="0.2">
      <c r="C67" t="s">
        <v>3737</v>
      </c>
      <c r="D67" s="13">
        <v>10</v>
      </c>
    </row>
    <row r="68" spans="3:4" x14ac:dyDescent="0.2">
      <c r="C68" t="s">
        <v>3832</v>
      </c>
      <c r="D68" s="13">
        <v>10</v>
      </c>
    </row>
    <row r="69" spans="3:4" x14ac:dyDescent="0.2">
      <c r="C69" t="s">
        <v>3881</v>
      </c>
      <c r="D69" s="13">
        <v>10</v>
      </c>
    </row>
    <row r="70" spans="3:4" x14ac:dyDescent="0.2">
      <c r="C70" t="s">
        <v>4210</v>
      </c>
      <c r="D70" s="13">
        <v>10</v>
      </c>
    </row>
    <row r="71" spans="3:4" x14ac:dyDescent="0.2">
      <c r="C71" t="s">
        <v>4397</v>
      </c>
      <c r="D71" s="13">
        <v>10</v>
      </c>
    </row>
    <row r="72" spans="3:4" x14ac:dyDescent="0.2">
      <c r="C72" t="s">
        <v>4448</v>
      </c>
      <c r="D72" s="13">
        <v>10</v>
      </c>
    </row>
    <row r="73" spans="3:4" x14ac:dyDescent="0.2">
      <c r="C73" t="s">
        <v>4463</v>
      </c>
      <c r="D73" s="13">
        <v>10</v>
      </c>
    </row>
    <row r="74" spans="3:4" x14ac:dyDescent="0.2">
      <c r="C74" t="s">
        <v>4465</v>
      </c>
      <c r="D74" s="13">
        <v>10</v>
      </c>
    </row>
    <row r="75" spans="3:4" x14ac:dyDescent="0.2">
      <c r="C75" t="s">
        <v>4493</v>
      </c>
      <c r="D75" s="13">
        <v>10</v>
      </c>
    </row>
    <row r="76" spans="3:4" x14ac:dyDescent="0.2">
      <c r="C76" t="s">
        <v>4638</v>
      </c>
      <c r="D76" s="13">
        <v>10</v>
      </c>
    </row>
    <row r="77" spans="3:4" x14ac:dyDescent="0.2">
      <c r="C77" t="s">
        <v>5307</v>
      </c>
      <c r="D77" s="13">
        <v>10</v>
      </c>
    </row>
    <row r="78" spans="3:4" x14ac:dyDescent="0.2">
      <c r="C78" t="s">
        <v>5510</v>
      </c>
      <c r="D78" s="13">
        <v>10</v>
      </c>
    </row>
    <row r="79" spans="3:4" x14ac:dyDescent="0.2">
      <c r="C79" t="s">
        <v>5540</v>
      </c>
      <c r="D79" s="13">
        <v>10</v>
      </c>
    </row>
    <row r="80" spans="3:4" x14ac:dyDescent="0.2">
      <c r="C80" t="s">
        <v>5548</v>
      </c>
      <c r="D80" s="13">
        <v>10</v>
      </c>
    </row>
    <row r="81" spans="3:4" x14ac:dyDescent="0.2">
      <c r="C81" t="s">
        <v>5555</v>
      </c>
      <c r="D81" s="13">
        <v>10</v>
      </c>
    </row>
    <row r="82" spans="3:4" x14ac:dyDescent="0.2">
      <c r="C82" t="s">
        <v>5601</v>
      </c>
      <c r="D82" s="13">
        <v>10</v>
      </c>
    </row>
    <row r="83" spans="3:4" x14ac:dyDescent="0.2">
      <c r="C83" t="s">
        <v>5841</v>
      </c>
      <c r="D83" s="13">
        <v>10</v>
      </c>
    </row>
    <row r="84" spans="3:4" x14ac:dyDescent="0.2">
      <c r="C84" t="s">
        <v>6090</v>
      </c>
      <c r="D84" s="13">
        <v>10</v>
      </c>
    </row>
    <row r="85" spans="3:4" x14ac:dyDescent="0.2">
      <c r="C85" t="s">
        <v>6201</v>
      </c>
      <c r="D85" s="13">
        <v>10</v>
      </c>
    </row>
    <row r="86" spans="3:4" x14ac:dyDescent="0.2">
      <c r="C86" t="s">
        <v>6428</v>
      </c>
      <c r="D86" s="13">
        <v>10</v>
      </c>
    </row>
    <row r="87" spans="3:4" x14ac:dyDescent="0.2">
      <c r="C87" t="s">
        <v>6481</v>
      </c>
      <c r="D87" s="13">
        <v>10</v>
      </c>
    </row>
    <row r="88" spans="3:4" x14ac:dyDescent="0.2">
      <c r="C88" t="s">
        <v>6505</v>
      </c>
      <c r="D88" s="13">
        <v>10</v>
      </c>
    </row>
    <row r="89" spans="3:4" x14ac:dyDescent="0.2">
      <c r="C89" t="s">
        <v>6921</v>
      </c>
      <c r="D89" s="13">
        <v>10</v>
      </c>
    </row>
    <row r="90" spans="3:4" x14ac:dyDescent="0.2">
      <c r="C90" t="s">
        <v>6937</v>
      </c>
      <c r="D90" s="13">
        <v>10</v>
      </c>
    </row>
    <row r="91" spans="3:4" x14ac:dyDescent="0.2">
      <c r="C91" t="s">
        <v>7095</v>
      </c>
      <c r="D91" s="13">
        <v>10</v>
      </c>
    </row>
    <row r="92" spans="3:4" x14ac:dyDescent="0.2">
      <c r="C92" t="s">
        <v>7342</v>
      </c>
      <c r="D92" s="13">
        <v>10</v>
      </c>
    </row>
    <row r="93" spans="3:4" x14ac:dyDescent="0.2">
      <c r="C93" t="s">
        <v>7343</v>
      </c>
      <c r="D93" s="13">
        <v>10</v>
      </c>
    </row>
    <row r="94" spans="3:4" x14ac:dyDescent="0.2">
      <c r="C94" t="s">
        <v>7487</v>
      </c>
      <c r="D94" s="13">
        <v>10</v>
      </c>
    </row>
    <row r="95" spans="3:4" x14ac:dyDescent="0.2">
      <c r="C95" t="s">
        <v>7530</v>
      </c>
      <c r="D95" s="13">
        <v>10</v>
      </c>
    </row>
    <row r="96" spans="3:4" x14ac:dyDescent="0.2">
      <c r="C96" t="s">
        <v>7570</v>
      </c>
      <c r="D96" s="13">
        <v>10</v>
      </c>
    </row>
    <row r="97" spans="3:4" x14ac:dyDescent="0.2">
      <c r="C97" t="s">
        <v>7979</v>
      </c>
      <c r="D97" s="13">
        <v>10</v>
      </c>
    </row>
    <row r="98" spans="3:4" x14ac:dyDescent="0.2">
      <c r="C98" t="s">
        <v>8275</v>
      </c>
      <c r="D98" s="13">
        <v>10</v>
      </c>
    </row>
    <row r="99" spans="3:4" x14ac:dyDescent="0.2">
      <c r="C99" t="s">
        <v>8593</v>
      </c>
      <c r="D99" s="13">
        <v>10</v>
      </c>
    </row>
    <row r="100" spans="3:4" x14ac:dyDescent="0.2">
      <c r="C100" t="s">
        <v>1776</v>
      </c>
      <c r="D100" s="13">
        <v>10</v>
      </c>
    </row>
    <row r="101" spans="3:4" x14ac:dyDescent="0.2">
      <c r="C101" t="s">
        <v>2388</v>
      </c>
      <c r="D101" s="13">
        <v>10</v>
      </c>
    </row>
    <row r="102" spans="3:4" x14ac:dyDescent="0.2">
      <c r="C102" t="s">
        <v>2804</v>
      </c>
      <c r="D102" s="13">
        <v>10</v>
      </c>
    </row>
    <row r="103" spans="3:4" x14ac:dyDescent="0.2">
      <c r="C103" t="s">
        <v>3170</v>
      </c>
      <c r="D103" s="13">
        <v>10</v>
      </c>
    </row>
    <row r="104" spans="3:4" x14ac:dyDescent="0.2">
      <c r="C104" t="s">
        <v>5484</v>
      </c>
      <c r="D104" s="13">
        <v>10</v>
      </c>
    </row>
    <row r="105" spans="3:4" x14ac:dyDescent="0.2">
      <c r="C105" t="s">
        <v>6675</v>
      </c>
      <c r="D105" s="13">
        <v>10</v>
      </c>
    </row>
    <row r="106" spans="3:4" x14ac:dyDescent="0.2">
      <c r="C106" t="s">
        <v>6942</v>
      </c>
      <c r="D106" s="13">
        <v>10</v>
      </c>
    </row>
    <row r="107" spans="3:4" x14ac:dyDescent="0.2">
      <c r="C107" t="s">
        <v>7975</v>
      </c>
      <c r="D107" s="13">
        <v>10</v>
      </c>
    </row>
    <row r="108" spans="3:4" x14ac:dyDescent="0.2">
      <c r="C108" t="s">
        <v>280</v>
      </c>
      <c r="D108" s="13">
        <v>10</v>
      </c>
    </row>
    <row r="109" spans="3:4" x14ac:dyDescent="0.2">
      <c r="C109" t="s">
        <v>393</v>
      </c>
      <c r="D109" s="13">
        <v>10</v>
      </c>
    </row>
    <row r="110" spans="3:4" x14ac:dyDescent="0.2">
      <c r="C110" t="s">
        <v>1775</v>
      </c>
      <c r="D110" s="13">
        <v>10</v>
      </c>
    </row>
    <row r="111" spans="3:4" x14ac:dyDescent="0.2">
      <c r="C111" t="s">
        <v>2312</v>
      </c>
      <c r="D111" s="13">
        <v>10</v>
      </c>
    </row>
    <row r="112" spans="3:4" x14ac:dyDescent="0.2">
      <c r="C112" t="s">
        <v>2372</v>
      </c>
      <c r="D112" s="13">
        <v>10</v>
      </c>
    </row>
    <row r="113" spans="3:4" x14ac:dyDescent="0.2">
      <c r="C113" t="s">
        <v>3469</v>
      </c>
      <c r="D113" s="13">
        <v>10</v>
      </c>
    </row>
    <row r="114" spans="3:4" x14ac:dyDescent="0.2">
      <c r="C114" t="s">
        <v>3585</v>
      </c>
      <c r="D114" s="13">
        <v>10</v>
      </c>
    </row>
    <row r="115" spans="3:4" x14ac:dyDescent="0.2">
      <c r="C115" t="s">
        <v>4508</v>
      </c>
      <c r="D115" s="13">
        <v>10</v>
      </c>
    </row>
    <row r="116" spans="3:4" x14ac:dyDescent="0.2">
      <c r="C116" t="s">
        <v>4870</v>
      </c>
      <c r="D116" s="13">
        <v>10</v>
      </c>
    </row>
    <row r="117" spans="3:4" x14ac:dyDescent="0.2">
      <c r="C117" t="s">
        <v>5076</v>
      </c>
      <c r="D117" s="13">
        <v>10</v>
      </c>
    </row>
    <row r="118" spans="3:4" x14ac:dyDescent="0.2">
      <c r="C118" t="s">
        <v>5576</v>
      </c>
      <c r="D118" s="13">
        <v>10</v>
      </c>
    </row>
    <row r="119" spans="3:4" x14ac:dyDescent="0.2">
      <c r="C119" t="s">
        <v>5829</v>
      </c>
      <c r="D119" s="13">
        <v>10</v>
      </c>
    </row>
    <row r="120" spans="3:4" x14ac:dyDescent="0.2">
      <c r="C120" t="s">
        <v>6375</v>
      </c>
      <c r="D120" s="13">
        <v>10</v>
      </c>
    </row>
    <row r="121" spans="3:4" x14ac:dyDescent="0.2">
      <c r="C121" t="s">
        <v>7426</v>
      </c>
      <c r="D121" s="13">
        <v>10</v>
      </c>
    </row>
    <row r="122" spans="3:4" x14ac:dyDescent="0.2">
      <c r="C122" t="s">
        <v>7727</v>
      </c>
      <c r="D122" s="13">
        <v>10</v>
      </c>
    </row>
    <row r="123" spans="3:4" x14ac:dyDescent="0.2">
      <c r="C123" t="s">
        <v>7865</v>
      </c>
      <c r="D123" s="13">
        <v>10</v>
      </c>
    </row>
    <row r="124" spans="3:4" x14ac:dyDescent="0.2">
      <c r="C124" t="s">
        <v>7939</v>
      </c>
      <c r="D124" s="13">
        <v>10</v>
      </c>
    </row>
    <row r="125" spans="3:4" x14ac:dyDescent="0.2">
      <c r="C125" t="s">
        <v>8504</v>
      </c>
      <c r="D125" s="13">
        <v>10</v>
      </c>
    </row>
    <row r="126" spans="3:4" x14ac:dyDescent="0.2">
      <c r="C126" t="s">
        <v>8638</v>
      </c>
      <c r="D126" s="13">
        <v>10</v>
      </c>
    </row>
    <row r="127" spans="3:4" x14ac:dyDescent="0.2">
      <c r="C127" t="s">
        <v>421</v>
      </c>
      <c r="D127" s="13">
        <v>10</v>
      </c>
    </row>
    <row r="128" spans="3:4" x14ac:dyDescent="0.2">
      <c r="C128" t="s">
        <v>571</v>
      </c>
      <c r="D128" s="13">
        <v>10</v>
      </c>
    </row>
    <row r="129" spans="3:4" x14ac:dyDescent="0.2">
      <c r="C129" t="s">
        <v>817</v>
      </c>
      <c r="D129" s="13">
        <v>10</v>
      </c>
    </row>
    <row r="130" spans="3:4" x14ac:dyDescent="0.2">
      <c r="C130" t="s">
        <v>1021</v>
      </c>
      <c r="D130" s="13">
        <v>10</v>
      </c>
    </row>
    <row r="131" spans="3:4" x14ac:dyDescent="0.2">
      <c r="C131" t="s">
        <v>1075</v>
      </c>
      <c r="D131" s="13">
        <v>10</v>
      </c>
    </row>
    <row r="132" spans="3:4" x14ac:dyDescent="0.2">
      <c r="C132" t="s">
        <v>1193</v>
      </c>
      <c r="D132" s="13">
        <v>10</v>
      </c>
    </row>
    <row r="133" spans="3:4" x14ac:dyDescent="0.2">
      <c r="C133" t="s">
        <v>1635</v>
      </c>
      <c r="D133" s="13">
        <v>10</v>
      </c>
    </row>
    <row r="134" spans="3:4" x14ac:dyDescent="0.2">
      <c r="C134" t="s">
        <v>1934</v>
      </c>
      <c r="D134" s="13">
        <v>10</v>
      </c>
    </row>
    <row r="135" spans="3:4" x14ac:dyDescent="0.2">
      <c r="C135" t="s">
        <v>2081</v>
      </c>
      <c r="D135" s="13">
        <v>10</v>
      </c>
    </row>
    <row r="136" spans="3:4" x14ac:dyDescent="0.2">
      <c r="C136" t="s">
        <v>2090</v>
      </c>
      <c r="D136" s="13">
        <v>10</v>
      </c>
    </row>
    <row r="137" spans="3:4" x14ac:dyDescent="0.2">
      <c r="C137" t="s">
        <v>2320</v>
      </c>
      <c r="D137" s="13">
        <v>10</v>
      </c>
    </row>
    <row r="138" spans="3:4" x14ac:dyDescent="0.2">
      <c r="C138" t="s">
        <v>2597</v>
      </c>
      <c r="D138" s="13">
        <v>10</v>
      </c>
    </row>
    <row r="139" spans="3:4" x14ac:dyDescent="0.2">
      <c r="C139" t="s">
        <v>2621</v>
      </c>
      <c r="D139" s="13">
        <v>10</v>
      </c>
    </row>
    <row r="140" spans="3:4" x14ac:dyDescent="0.2">
      <c r="C140" t="s">
        <v>3174</v>
      </c>
      <c r="D140" s="13">
        <v>10</v>
      </c>
    </row>
    <row r="141" spans="3:4" x14ac:dyDescent="0.2">
      <c r="C141" t="s">
        <v>3184</v>
      </c>
      <c r="D141" s="13">
        <v>10</v>
      </c>
    </row>
    <row r="142" spans="3:4" x14ac:dyDescent="0.2">
      <c r="C142" t="s">
        <v>3763</v>
      </c>
      <c r="D142" s="13">
        <v>10</v>
      </c>
    </row>
    <row r="143" spans="3:4" x14ac:dyDescent="0.2">
      <c r="C143" t="s">
        <v>3783</v>
      </c>
      <c r="D143" s="13">
        <v>10</v>
      </c>
    </row>
    <row r="144" spans="3:4" x14ac:dyDescent="0.2">
      <c r="C144" t="s">
        <v>4084</v>
      </c>
      <c r="D144" s="13">
        <v>10</v>
      </c>
    </row>
    <row r="145" spans="3:4" x14ac:dyDescent="0.2">
      <c r="C145" t="s">
        <v>4164</v>
      </c>
      <c r="D145" s="13">
        <v>10</v>
      </c>
    </row>
    <row r="146" spans="3:4" x14ac:dyDescent="0.2">
      <c r="C146" t="s">
        <v>4333</v>
      </c>
      <c r="D146" s="13">
        <v>10</v>
      </c>
    </row>
    <row r="147" spans="3:4" x14ac:dyDescent="0.2">
      <c r="C147" t="s">
        <v>4403</v>
      </c>
      <c r="D147" s="13">
        <v>10</v>
      </c>
    </row>
    <row r="148" spans="3:4" x14ac:dyDescent="0.2">
      <c r="C148" t="s">
        <v>4594</v>
      </c>
      <c r="D148" s="13">
        <v>10</v>
      </c>
    </row>
    <row r="149" spans="3:4" x14ac:dyDescent="0.2">
      <c r="C149" t="s">
        <v>5301</v>
      </c>
      <c r="D149" s="13">
        <v>10</v>
      </c>
    </row>
    <row r="150" spans="3:4" x14ac:dyDescent="0.2">
      <c r="C150" t="s">
        <v>5456</v>
      </c>
      <c r="D150" s="13">
        <v>10</v>
      </c>
    </row>
    <row r="151" spans="3:4" x14ac:dyDescent="0.2">
      <c r="C151" t="s">
        <v>6195</v>
      </c>
      <c r="D151" s="13">
        <v>10</v>
      </c>
    </row>
    <row r="152" spans="3:4" x14ac:dyDescent="0.2">
      <c r="C152" t="s">
        <v>6365</v>
      </c>
      <c r="D152" s="13">
        <v>10</v>
      </c>
    </row>
    <row r="153" spans="3:4" x14ac:dyDescent="0.2">
      <c r="C153" t="s">
        <v>6497</v>
      </c>
      <c r="D153" s="13">
        <v>10</v>
      </c>
    </row>
    <row r="154" spans="3:4" x14ac:dyDescent="0.2">
      <c r="C154" t="s">
        <v>6624</v>
      </c>
      <c r="D154" s="13">
        <v>10</v>
      </c>
    </row>
    <row r="155" spans="3:4" x14ac:dyDescent="0.2">
      <c r="C155" t="s">
        <v>6760</v>
      </c>
      <c r="D155" s="13">
        <v>10</v>
      </c>
    </row>
    <row r="156" spans="3:4" x14ac:dyDescent="0.2">
      <c r="C156" t="s">
        <v>6892</v>
      </c>
      <c r="D156" s="13">
        <v>10</v>
      </c>
    </row>
    <row r="157" spans="3:4" x14ac:dyDescent="0.2">
      <c r="C157" t="s">
        <v>6927</v>
      </c>
      <c r="D157" s="13">
        <v>10</v>
      </c>
    </row>
    <row r="158" spans="3:4" x14ac:dyDescent="0.2">
      <c r="C158" t="s">
        <v>7099</v>
      </c>
      <c r="D158" s="13">
        <v>10</v>
      </c>
    </row>
    <row r="159" spans="3:4" x14ac:dyDescent="0.2">
      <c r="C159" t="s">
        <v>7225</v>
      </c>
      <c r="D159" s="13">
        <v>10</v>
      </c>
    </row>
    <row r="160" spans="3:4" x14ac:dyDescent="0.2">
      <c r="C160" t="s">
        <v>7473</v>
      </c>
      <c r="D160" s="13">
        <v>10</v>
      </c>
    </row>
    <row r="161" spans="3:4" x14ac:dyDescent="0.2">
      <c r="C161" t="s">
        <v>7779</v>
      </c>
      <c r="D161" s="13">
        <v>10</v>
      </c>
    </row>
    <row r="162" spans="3:4" x14ac:dyDescent="0.2">
      <c r="C162" t="s">
        <v>7916</v>
      </c>
      <c r="D162" s="13">
        <v>10</v>
      </c>
    </row>
    <row r="163" spans="3:4" x14ac:dyDescent="0.2">
      <c r="C163" t="s">
        <v>8031</v>
      </c>
      <c r="D163" s="13">
        <v>10</v>
      </c>
    </row>
    <row r="164" spans="3:4" x14ac:dyDescent="0.2">
      <c r="C164" t="s">
        <v>8726</v>
      </c>
      <c r="D164" s="13">
        <v>10</v>
      </c>
    </row>
    <row r="165" spans="3:4" x14ac:dyDescent="0.2">
      <c r="C165" t="s">
        <v>491</v>
      </c>
      <c r="D165" s="13">
        <v>10</v>
      </c>
    </row>
    <row r="166" spans="3:4" x14ac:dyDescent="0.2">
      <c r="C166" t="s">
        <v>565</v>
      </c>
      <c r="D166" s="13">
        <v>10</v>
      </c>
    </row>
    <row r="167" spans="3:4" x14ac:dyDescent="0.2">
      <c r="C167" t="s">
        <v>874</v>
      </c>
      <c r="D167" s="13">
        <v>10</v>
      </c>
    </row>
    <row r="168" spans="3:4" x14ac:dyDescent="0.2">
      <c r="C168" t="s">
        <v>1213</v>
      </c>
      <c r="D168" s="13">
        <v>10</v>
      </c>
    </row>
    <row r="169" spans="3:4" x14ac:dyDescent="0.2">
      <c r="C169" t="s">
        <v>1251</v>
      </c>
      <c r="D169" s="13">
        <v>10</v>
      </c>
    </row>
    <row r="170" spans="3:4" x14ac:dyDescent="0.2">
      <c r="C170" t="s">
        <v>1319</v>
      </c>
      <c r="D170" s="13">
        <v>10</v>
      </c>
    </row>
    <row r="171" spans="3:4" x14ac:dyDescent="0.2">
      <c r="C171" t="s">
        <v>1345</v>
      </c>
      <c r="D171" s="13">
        <v>10</v>
      </c>
    </row>
    <row r="172" spans="3:4" x14ac:dyDescent="0.2">
      <c r="C172" t="s">
        <v>1398</v>
      </c>
      <c r="D172" s="13">
        <v>10</v>
      </c>
    </row>
    <row r="173" spans="3:4" x14ac:dyDescent="0.2">
      <c r="C173" t="s">
        <v>1947</v>
      </c>
      <c r="D173" s="13">
        <v>10</v>
      </c>
    </row>
    <row r="174" spans="3:4" x14ac:dyDescent="0.2">
      <c r="C174" t="s">
        <v>1951</v>
      </c>
      <c r="D174" s="13">
        <v>10</v>
      </c>
    </row>
    <row r="175" spans="3:4" x14ac:dyDescent="0.2">
      <c r="C175" t="s">
        <v>2035</v>
      </c>
      <c r="D175" s="13">
        <v>10</v>
      </c>
    </row>
    <row r="176" spans="3:4" x14ac:dyDescent="0.2">
      <c r="C176" t="s">
        <v>2046</v>
      </c>
      <c r="D176" s="13">
        <v>10</v>
      </c>
    </row>
    <row r="177" spans="3:4" x14ac:dyDescent="0.2">
      <c r="C177" t="s">
        <v>2232</v>
      </c>
      <c r="D177" s="13">
        <v>10</v>
      </c>
    </row>
    <row r="178" spans="3:4" x14ac:dyDescent="0.2">
      <c r="C178" t="s">
        <v>2306</v>
      </c>
      <c r="D178" s="13">
        <v>10</v>
      </c>
    </row>
    <row r="179" spans="3:4" x14ac:dyDescent="0.2">
      <c r="C179" t="s">
        <v>2413</v>
      </c>
      <c r="D179" s="13">
        <v>10</v>
      </c>
    </row>
    <row r="180" spans="3:4" x14ac:dyDescent="0.2">
      <c r="C180" t="s">
        <v>2579</v>
      </c>
      <c r="D180" s="13">
        <v>10</v>
      </c>
    </row>
    <row r="181" spans="3:4" x14ac:dyDescent="0.2">
      <c r="C181" t="s">
        <v>2668</v>
      </c>
      <c r="D181" s="13">
        <v>10</v>
      </c>
    </row>
    <row r="182" spans="3:4" x14ac:dyDescent="0.2">
      <c r="C182" t="s">
        <v>2669</v>
      </c>
      <c r="D182" s="13">
        <v>10</v>
      </c>
    </row>
    <row r="183" spans="3:4" x14ac:dyDescent="0.2">
      <c r="C183" t="s">
        <v>2814</v>
      </c>
      <c r="D183" s="13">
        <v>10</v>
      </c>
    </row>
    <row r="184" spans="3:4" x14ac:dyDescent="0.2">
      <c r="C184" t="s">
        <v>3220</v>
      </c>
      <c r="D184" s="13">
        <v>10</v>
      </c>
    </row>
    <row r="185" spans="3:4" x14ac:dyDescent="0.2">
      <c r="C185" t="s">
        <v>3329</v>
      </c>
      <c r="D185" s="13">
        <v>10</v>
      </c>
    </row>
    <row r="186" spans="3:4" x14ac:dyDescent="0.2">
      <c r="C186" t="s">
        <v>3418</v>
      </c>
      <c r="D186" s="13">
        <v>10</v>
      </c>
    </row>
    <row r="187" spans="3:4" x14ac:dyDescent="0.2">
      <c r="C187" t="s">
        <v>3427</v>
      </c>
      <c r="D187" s="13">
        <v>10</v>
      </c>
    </row>
    <row r="188" spans="3:4" x14ac:dyDescent="0.2">
      <c r="C188" t="s">
        <v>3429</v>
      </c>
      <c r="D188" s="13">
        <v>10</v>
      </c>
    </row>
    <row r="189" spans="3:4" x14ac:dyDescent="0.2">
      <c r="C189" t="s">
        <v>3519</v>
      </c>
      <c r="D189" s="13">
        <v>10</v>
      </c>
    </row>
    <row r="190" spans="3:4" x14ac:dyDescent="0.2">
      <c r="C190" t="s">
        <v>3574</v>
      </c>
      <c r="D190" s="13">
        <v>10</v>
      </c>
    </row>
    <row r="191" spans="3:4" x14ac:dyDescent="0.2">
      <c r="C191" t="s">
        <v>4003</v>
      </c>
      <c r="D191" s="13">
        <v>10</v>
      </c>
    </row>
    <row r="192" spans="3:4" x14ac:dyDescent="0.2">
      <c r="C192" t="s">
        <v>4045</v>
      </c>
      <c r="D192" s="13">
        <v>10</v>
      </c>
    </row>
    <row r="193" spans="3:4" x14ac:dyDescent="0.2">
      <c r="C193" t="s">
        <v>4086</v>
      </c>
      <c r="D193" s="13">
        <v>10</v>
      </c>
    </row>
    <row r="194" spans="3:4" x14ac:dyDescent="0.2">
      <c r="C194" t="s">
        <v>4098</v>
      </c>
      <c r="D194" s="13">
        <v>10</v>
      </c>
    </row>
    <row r="195" spans="3:4" x14ac:dyDescent="0.2">
      <c r="C195" t="s">
        <v>4393</v>
      </c>
      <c r="D195" s="13">
        <v>10</v>
      </c>
    </row>
    <row r="196" spans="3:4" x14ac:dyDescent="0.2">
      <c r="C196" t="s">
        <v>4399</v>
      </c>
      <c r="D196" s="13">
        <v>10</v>
      </c>
    </row>
    <row r="197" spans="3:4" x14ac:dyDescent="0.2">
      <c r="C197" t="s">
        <v>4469</v>
      </c>
      <c r="D197" s="13">
        <v>10</v>
      </c>
    </row>
    <row r="198" spans="3:4" x14ac:dyDescent="0.2">
      <c r="C198" t="s">
        <v>4789</v>
      </c>
      <c r="D198" s="13">
        <v>10</v>
      </c>
    </row>
    <row r="199" spans="3:4" x14ac:dyDescent="0.2">
      <c r="C199" t="s">
        <v>4799</v>
      </c>
      <c r="D199" s="13">
        <v>10</v>
      </c>
    </row>
    <row r="200" spans="3:4" x14ac:dyDescent="0.2">
      <c r="C200" t="s">
        <v>5188</v>
      </c>
      <c r="D200" s="13">
        <v>10</v>
      </c>
    </row>
    <row r="201" spans="3:4" x14ac:dyDescent="0.2">
      <c r="C201" t="s">
        <v>5496</v>
      </c>
      <c r="D201" s="13">
        <v>10</v>
      </c>
    </row>
    <row r="202" spans="3:4" x14ac:dyDescent="0.2">
      <c r="C202" t="s">
        <v>5586</v>
      </c>
      <c r="D202" s="13">
        <v>10</v>
      </c>
    </row>
    <row r="203" spans="3:4" x14ac:dyDescent="0.2">
      <c r="C203" t="s">
        <v>5869</v>
      </c>
      <c r="D203" s="13">
        <v>10</v>
      </c>
    </row>
    <row r="204" spans="3:4" x14ac:dyDescent="0.2">
      <c r="C204" t="s">
        <v>5932</v>
      </c>
      <c r="D204" s="13">
        <v>10</v>
      </c>
    </row>
    <row r="205" spans="3:4" x14ac:dyDescent="0.2">
      <c r="C205" t="s">
        <v>5982</v>
      </c>
      <c r="D205" s="13">
        <v>10</v>
      </c>
    </row>
    <row r="206" spans="3:4" x14ac:dyDescent="0.2">
      <c r="C206" t="s">
        <v>6158</v>
      </c>
      <c r="D206" s="13">
        <v>10</v>
      </c>
    </row>
    <row r="207" spans="3:4" x14ac:dyDescent="0.2">
      <c r="C207" t="s">
        <v>6684</v>
      </c>
      <c r="D207" s="13">
        <v>10</v>
      </c>
    </row>
    <row r="208" spans="3:4" x14ac:dyDescent="0.2">
      <c r="C208" t="s">
        <v>6686</v>
      </c>
      <c r="D208" s="13">
        <v>10</v>
      </c>
    </row>
    <row r="209" spans="3:4" x14ac:dyDescent="0.2">
      <c r="C209" t="s">
        <v>6823</v>
      </c>
      <c r="D209" s="13">
        <v>10</v>
      </c>
    </row>
    <row r="210" spans="3:4" x14ac:dyDescent="0.2">
      <c r="C210" t="s">
        <v>6833</v>
      </c>
      <c r="D210" s="13">
        <v>10</v>
      </c>
    </row>
    <row r="211" spans="3:4" x14ac:dyDescent="0.2">
      <c r="C211" t="s">
        <v>6940</v>
      </c>
      <c r="D211" s="13">
        <v>10</v>
      </c>
    </row>
    <row r="212" spans="3:4" x14ac:dyDescent="0.2">
      <c r="C212" t="s">
        <v>7074</v>
      </c>
      <c r="D212" s="13">
        <v>10</v>
      </c>
    </row>
    <row r="213" spans="3:4" x14ac:dyDescent="0.2">
      <c r="C213" t="s">
        <v>7152</v>
      </c>
      <c r="D213" s="13">
        <v>10</v>
      </c>
    </row>
    <row r="214" spans="3:4" x14ac:dyDescent="0.2">
      <c r="C214" t="s">
        <v>7309</v>
      </c>
      <c r="D214" s="13">
        <v>10</v>
      </c>
    </row>
    <row r="215" spans="3:4" x14ac:dyDescent="0.2">
      <c r="C215" t="s">
        <v>8055</v>
      </c>
      <c r="D215" s="13">
        <v>10</v>
      </c>
    </row>
    <row r="216" spans="3:4" x14ac:dyDescent="0.2">
      <c r="C216" t="s">
        <v>8115</v>
      </c>
      <c r="D216" s="13">
        <v>10</v>
      </c>
    </row>
    <row r="217" spans="3:4" x14ac:dyDescent="0.2">
      <c r="C217" t="s">
        <v>8203</v>
      </c>
      <c r="D217" s="13">
        <v>10</v>
      </c>
    </row>
    <row r="218" spans="3:4" x14ac:dyDescent="0.2">
      <c r="C218" t="s">
        <v>8289</v>
      </c>
      <c r="D218" s="13">
        <v>10</v>
      </c>
    </row>
    <row r="219" spans="3:4" x14ac:dyDescent="0.2">
      <c r="C219" t="s">
        <v>8348</v>
      </c>
      <c r="D219" s="13">
        <v>10</v>
      </c>
    </row>
    <row r="220" spans="3:4" x14ac:dyDescent="0.2">
      <c r="C220" t="s">
        <v>8677</v>
      </c>
      <c r="D220" s="13">
        <v>10</v>
      </c>
    </row>
    <row r="221" spans="3:4" x14ac:dyDescent="0.2">
      <c r="C221" t="s">
        <v>116</v>
      </c>
      <c r="D221" s="13">
        <v>10</v>
      </c>
    </row>
    <row r="222" spans="3:4" x14ac:dyDescent="0.2">
      <c r="C222" t="s">
        <v>509</v>
      </c>
      <c r="D222" s="13">
        <v>10</v>
      </c>
    </row>
    <row r="223" spans="3:4" x14ac:dyDescent="0.2">
      <c r="C223" t="s">
        <v>914</v>
      </c>
      <c r="D223" s="13">
        <v>10</v>
      </c>
    </row>
    <row r="224" spans="3:4" x14ac:dyDescent="0.2">
      <c r="C224" t="s">
        <v>1086</v>
      </c>
      <c r="D224" s="13">
        <v>10</v>
      </c>
    </row>
    <row r="225" spans="3:4" x14ac:dyDescent="0.2">
      <c r="C225" t="s">
        <v>1142</v>
      </c>
      <c r="D225" s="13">
        <v>10</v>
      </c>
    </row>
    <row r="226" spans="3:4" x14ac:dyDescent="0.2">
      <c r="C226" t="s">
        <v>1152</v>
      </c>
      <c r="D226" s="13">
        <v>10</v>
      </c>
    </row>
    <row r="227" spans="3:4" x14ac:dyDescent="0.2">
      <c r="C227" t="s">
        <v>1321</v>
      </c>
      <c r="D227" s="13">
        <v>10</v>
      </c>
    </row>
    <row r="228" spans="3:4" x14ac:dyDescent="0.2">
      <c r="C228" t="s">
        <v>1629</v>
      </c>
      <c r="D228" s="13">
        <v>10</v>
      </c>
    </row>
    <row r="229" spans="3:4" x14ac:dyDescent="0.2">
      <c r="C229" t="s">
        <v>1852</v>
      </c>
      <c r="D229" s="13">
        <v>10</v>
      </c>
    </row>
    <row r="230" spans="3:4" x14ac:dyDescent="0.2">
      <c r="C230" t="s">
        <v>1860</v>
      </c>
      <c r="D230" s="13">
        <v>10</v>
      </c>
    </row>
    <row r="231" spans="3:4" x14ac:dyDescent="0.2">
      <c r="C231" t="s">
        <v>1920</v>
      </c>
      <c r="D231" s="13">
        <v>10</v>
      </c>
    </row>
    <row r="232" spans="3:4" x14ac:dyDescent="0.2">
      <c r="C232" t="s">
        <v>1924</v>
      </c>
      <c r="D232" s="13">
        <v>10</v>
      </c>
    </row>
    <row r="233" spans="3:4" x14ac:dyDescent="0.2">
      <c r="C233" t="s">
        <v>1973</v>
      </c>
      <c r="D233" s="13">
        <v>10</v>
      </c>
    </row>
    <row r="234" spans="3:4" x14ac:dyDescent="0.2">
      <c r="C234" t="s">
        <v>2102</v>
      </c>
      <c r="D234" s="13">
        <v>10</v>
      </c>
    </row>
    <row r="235" spans="3:4" x14ac:dyDescent="0.2">
      <c r="C235" t="s">
        <v>2114</v>
      </c>
      <c r="D235" s="13">
        <v>10</v>
      </c>
    </row>
    <row r="236" spans="3:4" x14ac:dyDescent="0.2">
      <c r="C236" t="s">
        <v>2207</v>
      </c>
      <c r="D236" s="13">
        <v>10</v>
      </c>
    </row>
    <row r="237" spans="3:4" x14ac:dyDescent="0.2">
      <c r="C237" t="s">
        <v>2248</v>
      </c>
      <c r="D237" s="13">
        <v>10</v>
      </c>
    </row>
    <row r="238" spans="3:4" x14ac:dyDescent="0.2">
      <c r="C238" t="s">
        <v>2290</v>
      </c>
      <c r="D238" s="13">
        <v>10</v>
      </c>
    </row>
    <row r="239" spans="3:4" x14ac:dyDescent="0.2">
      <c r="C239" t="s">
        <v>2551</v>
      </c>
      <c r="D239" s="13">
        <v>10</v>
      </c>
    </row>
    <row r="240" spans="3:4" x14ac:dyDescent="0.2">
      <c r="C240" t="s">
        <v>2631</v>
      </c>
      <c r="D240" s="13">
        <v>10</v>
      </c>
    </row>
    <row r="241" spans="3:4" x14ac:dyDescent="0.2">
      <c r="C241" t="s">
        <v>2794</v>
      </c>
      <c r="D241" s="13">
        <v>10</v>
      </c>
    </row>
    <row r="242" spans="3:4" x14ac:dyDescent="0.2">
      <c r="C242" t="s">
        <v>2826</v>
      </c>
      <c r="D242" s="13">
        <v>10</v>
      </c>
    </row>
    <row r="243" spans="3:4" x14ac:dyDescent="0.2">
      <c r="C243" t="s">
        <v>2934</v>
      </c>
      <c r="D243" s="13">
        <v>10</v>
      </c>
    </row>
    <row r="244" spans="3:4" x14ac:dyDescent="0.2">
      <c r="C244" t="s">
        <v>2983</v>
      </c>
      <c r="D244" s="13">
        <v>10</v>
      </c>
    </row>
    <row r="245" spans="3:4" x14ac:dyDescent="0.2">
      <c r="C245" t="s">
        <v>3489</v>
      </c>
      <c r="D245" s="13">
        <v>10</v>
      </c>
    </row>
    <row r="246" spans="3:4" x14ac:dyDescent="0.2">
      <c r="C246" t="s">
        <v>3739</v>
      </c>
      <c r="D246" s="13">
        <v>10</v>
      </c>
    </row>
    <row r="247" spans="3:4" x14ac:dyDescent="0.2">
      <c r="C247" t="s">
        <v>3769</v>
      </c>
      <c r="D247" s="13">
        <v>10</v>
      </c>
    </row>
    <row r="248" spans="3:4" x14ac:dyDescent="0.2">
      <c r="C248" t="s">
        <v>3923</v>
      </c>
      <c r="D248" s="13">
        <v>10</v>
      </c>
    </row>
    <row r="249" spans="3:4" x14ac:dyDescent="0.2">
      <c r="C249" t="s">
        <v>3945</v>
      </c>
      <c r="D249" s="13">
        <v>10</v>
      </c>
    </row>
    <row r="250" spans="3:4" x14ac:dyDescent="0.2">
      <c r="C250" t="s">
        <v>4272</v>
      </c>
      <c r="D250" s="13">
        <v>10</v>
      </c>
    </row>
    <row r="251" spans="3:4" x14ac:dyDescent="0.2">
      <c r="C251" t="s">
        <v>5108</v>
      </c>
      <c r="D251" s="13">
        <v>10</v>
      </c>
    </row>
    <row r="252" spans="3:4" x14ac:dyDescent="0.2">
      <c r="C252" t="s">
        <v>5593</v>
      </c>
      <c r="D252" s="13">
        <v>10</v>
      </c>
    </row>
    <row r="253" spans="3:4" x14ac:dyDescent="0.2">
      <c r="C253" t="s">
        <v>6011</v>
      </c>
      <c r="D253" s="13">
        <v>10</v>
      </c>
    </row>
    <row r="254" spans="3:4" x14ac:dyDescent="0.2">
      <c r="C254" t="s">
        <v>6652</v>
      </c>
      <c r="D254" s="13">
        <v>10</v>
      </c>
    </row>
    <row r="255" spans="3:4" x14ac:dyDescent="0.2">
      <c r="C255" t="s">
        <v>6912</v>
      </c>
      <c r="D255" s="13">
        <v>10</v>
      </c>
    </row>
    <row r="256" spans="3:4" x14ac:dyDescent="0.2">
      <c r="C256" t="s">
        <v>6913</v>
      </c>
      <c r="D256" s="13">
        <v>10</v>
      </c>
    </row>
    <row r="257" spans="3:4" x14ac:dyDescent="0.2">
      <c r="C257" t="s">
        <v>7089</v>
      </c>
      <c r="D257" s="13">
        <v>10</v>
      </c>
    </row>
    <row r="258" spans="3:4" x14ac:dyDescent="0.2">
      <c r="C258" t="s">
        <v>7112</v>
      </c>
      <c r="D258" s="13">
        <v>10</v>
      </c>
    </row>
    <row r="259" spans="3:4" x14ac:dyDescent="0.2">
      <c r="C259" t="s">
        <v>7729</v>
      </c>
      <c r="D259" s="13">
        <v>10</v>
      </c>
    </row>
    <row r="260" spans="3:4" x14ac:dyDescent="0.2">
      <c r="C260" t="s">
        <v>7731</v>
      </c>
      <c r="D260" s="13">
        <v>10</v>
      </c>
    </row>
    <row r="261" spans="3:4" x14ac:dyDescent="0.2">
      <c r="C261" t="s">
        <v>8036</v>
      </c>
      <c r="D261" s="13">
        <v>10</v>
      </c>
    </row>
    <row r="262" spans="3:4" x14ac:dyDescent="0.2">
      <c r="C262" t="s">
        <v>8081</v>
      </c>
      <c r="D262" s="13">
        <v>10</v>
      </c>
    </row>
    <row r="263" spans="3:4" x14ac:dyDescent="0.2">
      <c r="C263" t="s">
        <v>8131</v>
      </c>
      <c r="D263" s="13">
        <v>10</v>
      </c>
    </row>
    <row r="264" spans="3:4" x14ac:dyDescent="0.2">
      <c r="C264" t="s">
        <v>8215</v>
      </c>
      <c r="D264" s="13">
        <v>10</v>
      </c>
    </row>
    <row r="265" spans="3:4" x14ac:dyDescent="0.2">
      <c r="C265" t="s">
        <v>8630</v>
      </c>
      <c r="D265" s="13">
        <v>10</v>
      </c>
    </row>
    <row r="266" spans="3:4" x14ac:dyDescent="0.2">
      <c r="C266" t="s">
        <v>150</v>
      </c>
      <c r="D266" s="13">
        <v>10</v>
      </c>
    </row>
    <row r="267" spans="3:4" x14ac:dyDescent="0.2">
      <c r="C267" t="s">
        <v>483</v>
      </c>
      <c r="D267" s="13">
        <v>10</v>
      </c>
    </row>
    <row r="268" spans="3:4" x14ac:dyDescent="0.2">
      <c r="C268" t="s">
        <v>518</v>
      </c>
      <c r="D268" s="13">
        <v>10</v>
      </c>
    </row>
    <row r="269" spans="3:4" x14ac:dyDescent="0.2">
      <c r="C269" t="s">
        <v>542</v>
      </c>
      <c r="D269" s="13">
        <v>10</v>
      </c>
    </row>
    <row r="270" spans="3:4" x14ac:dyDescent="0.2">
      <c r="C270" t="s">
        <v>921</v>
      </c>
      <c r="D270" s="13">
        <v>10</v>
      </c>
    </row>
    <row r="271" spans="3:4" x14ac:dyDescent="0.2">
      <c r="C271" t="s">
        <v>943</v>
      </c>
      <c r="D271" s="13">
        <v>10</v>
      </c>
    </row>
    <row r="272" spans="3:4" x14ac:dyDescent="0.2">
      <c r="C272" t="s">
        <v>1234</v>
      </c>
      <c r="D272" s="13">
        <v>10</v>
      </c>
    </row>
    <row r="273" spans="3:4" x14ac:dyDescent="0.2">
      <c r="C273" t="s">
        <v>1247</v>
      </c>
      <c r="D273" s="13">
        <v>10</v>
      </c>
    </row>
    <row r="274" spans="3:4" x14ac:dyDescent="0.2">
      <c r="C274" t="s">
        <v>1522</v>
      </c>
      <c r="D274" s="13">
        <v>10</v>
      </c>
    </row>
    <row r="275" spans="3:4" x14ac:dyDescent="0.2">
      <c r="C275" t="s">
        <v>1567</v>
      </c>
      <c r="D275" s="13">
        <v>10</v>
      </c>
    </row>
    <row r="276" spans="3:4" x14ac:dyDescent="0.2">
      <c r="C276" t="s">
        <v>1792</v>
      </c>
      <c r="D276" s="13">
        <v>10</v>
      </c>
    </row>
    <row r="277" spans="3:4" x14ac:dyDescent="0.2">
      <c r="C277" t="s">
        <v>1819</v>
      </c>
      <c r="D277" s="13">
        <v>10</v>
      </c>
    </row>
    <row r="278" spans="3:4" x14ac:dyDescent="0.2">
      <c r="C278" t="s">
        <v>1849</v>
      </c>
      <c r="D278" s="13">
        <v>10</v>
      </c>
    </row>
    <row r="279" spans="3:4" x14ac:dyDescent="0.2">
      <c r="C279" t="s">
        <v>2193</v>
      </c>
      <c r="D279" s="13">
        <v>10</v>
      </c>
    </row>
    <row r="280" spans="3:4" x14ac:dyDescent="0.2">
      <c r="C280" t="s">
        <v>3311</v>
      </c>
      <c r="D280" s="13">
        <v>10</v>
      </c>
    </row>
    <row r="281" spans="3:4" x14ac:dyDescent="0.2">
      <c r="C281" t="s">
        <v>3888</v>
      </c>
      <c r="D281" s="13">
        <v>10</v>
      </c>
    </row>
    <row r="282" spans="3:4" x14ac:dyDescent="0.2">
      <c r="C282" t="s">
        <v>3982</v>
      </c>
      <c r="D282" s="13">
        <v>10</v>
      </c>
    </row>
    <row r="283" spans="3:4" x14ac:dyDescent="0.2">
      <c r="C283" t="s">
        <v>4224</v>
      </c>
      <c r="D283" s="13">
        <v>10</v>
      </c>
    </row>
    <row r="284" spans="3:4" x14ac:dyDescent="0.2">
      <c r="C284" t="s">
        <v>4282</v>
      </c>
      <c r="D284" s="13">
        <v>10</v>
      </c>
    </row>
    <row r="285" spans="3:4" x14ac:dyDescent="0.2">
      <c r="C285" t="s">
        <v>4287</v>
      </c>
      <c r="D285" s="13">
        <v>10</v>
      </c>
    </row>
    <row r="286" spans="3:4" x14ac:dyDescent="0.2">
      <c r="C286" t="s">
        <v>4642</v>
      </c>
      <c r="D286" s="13">
        <v>10</v>
      </c>
    </row>
    <row r="287" spans="3:4" x14ac:dyDescent="0.2">
      <c r="C287" t="s">
        <v>4892</v>
      </c>
      <c r="D287" s="13">
        <v>10</v>
      </c>
    </row>
    <row r="288" spans="3:4" x14ac:dyDescent="0.2">
      <c r="C288" t="s">
        <v>4902</v>
      </c>
      <c r="D288" s="13">
        <v>10</v>
      </c>
    </row>
    <row r="289" spans="3:4" x14ac:dyDescent="0.2">
      <c r="C289" t="s">
        <v>5231</v>
      </c>
      <c r="D289" s="13">
        <v>10</v>
      </c>
    </row>
    <row r="290" spans="3:4" x14ac:dyDescent="0.2">
      <c r="C290" t="s">
        <v>5482</v>
      </c>
      <c r="D290" s="13">
        <v>10</v>
      </c>
    </row>
    <row r="291" spans="3:4" x14ac:dyDescent="0.2">
      <c r="C291" t="s">
        <v>5667</v>
      </c>
      <c r="D291" s="13">
        <v>10</v>
      </c>
    </row>
    <row r="292" spans="3:4" x14ac:dyDescent="0.2">
      <c r="C292" t="s">
        <v>6070</v>
      </c>
      <c r="D292" s="13">
        <v>10</v>
      </c>
    </row>
    <row r="293" spans="3:4" x14ac:dyDescent="0.2">
      <c r="C293" t="s">
        <v>6552</v>
      </c>
      <c r="D293" s="13">
        <v>10</v>
      </c>
    </row>
    <row r="294" spans="3:4" x14ac:dyDescent="0.2">
      <c r="C294" t="s">
        <v>6575</v>
      </c>
      <c r="D294" s="13">
        <v>10</v>
      </c>
    </row>
    <row r="295" spans="3:4" x14ac:dyDescent="0.2">
      <c r="C295" t="s">
        <v>6770</v>
      </c>
      <c r="D295" s="13">
        <v>10</v>
      </c>
    </row>
    <row r="296" spans="3:4" x14ac:dyDescent="0.2">
      <c r="C296" t="s">
        <v>6846</v>
      </c>
      <c r="D296" s="13">
        <v>10</v>
      </c>
    </row>
    <row r="297" spans="3:4" x14ac:dyDescent="0.2">
      <c r="C297" t="s">
        <v>7189</v>
      </c>
      <c r="D297" s="13">
        <v>10</v>
      </c>
    </row>
    <row r="298" spans="3:4" x14ac:dyDescent="0.2">
      <c r="C298" t="s">
        <v>7237</v>
      </c>
      <c r="D298" s="13">
        <v>10</v>
      </c>
    </row>
    <row r="299" spans="3:4" x14ac:dyDescent="0.2">
      <c r="C299" t="s">
        <v>8017</v>
      </c>
      <c r="D299" s="13">
        <v>10</v>
      </c>
    </row>
    <row r="300" spans="3:4" x14ac:dyDescent="0.2">
      <c r="C300" t="s">
        <v>8113</v>
      </c>
      <c r="D300" s="13">
        <v>10</v>
      </c>
    </row>
    <row r="301" spans="3:4" x14ac:dyDescent="0.2">
      <c r="C301" t="s">
        <v>8299</v>
      </c>
      <c r="D301" s="13">
        <v>10</v>
      </c>
    </row>
    <row r="302" spans="3:4" x14ac:dyDescent="0.2">
      <c r="C302" t="s">
        <v>8305</v>
      </c>
      <c r="D302" s="13">
        <v>10</v>
      </c>
    </row>
    <row r="303" spans="3:4" x14ac:dyDescent="0.2">
      <c r="C303" t="s">
        <v>8354</v>
      </c>
      <c r="D303" s="13">
        <v>10</v>
      </c>
    </row>
    <row r="304" spans="3:4" x14ac:dyDescent="0.2">
      <c r="C304" t="s">
        <v>8533</v>
      </c>
      <c r="D304" s="13">
        <v>10</v>
      </c>
    </row>
    <row r="305" spans="3:4" x14ac:dyDescent="0.2">
      <c r="C305" t="s">
        <v>156</v>
      </c>
      <c r="D305" s="13">
        <v>10</v>
      </c>
    </row>
    <row r="306" spans="3:4" x14ac:dyDescent="0.2">
      <c r="C306" t="s">
        <v>183</v>
      </c>
      <c r="D306" s="13">
        <v>10</v>
      </c>
    </row>
    <row r="307" spans="3:4" x14ac:dyDescent="0.2">
      <c r="C307" t="s">
        <v>276</v>
      </c>
      <c r="D307" s="13">
        <v>10</v>
      </c>
    </row>
    <row r="308" spans="3:4" x14ac:dyDescent="0.2">
      <c r="C308" t="s">
        <v>363</v>
      </c>
      <c r="D308" s="13">
        <v>10</v>
      </c>
    </row>
    <row r="309" spans="3:4" x14ac:dyDescent="0.2">
      <c r="C309" t="s">
        <v>379</v>
      </c>
      <c r="D309" s="13">
        <v>10</v>
      </c>
    </row>
    <row r="310" spans="3:4" x14ac:dyDescent="0.2">
      <c r="C310" t="s">
        <v>401</v>
      </c>
      <c r="D310" s="13">
        <v>10</v>
      </c>
    </row>
    <row r="311" spans="3:4" x14ac:dyDescent="0.2">
      <c r="C311" t="s">
        <v>445</v>
      </c>
      <c r="D311" s="13">
        <v>10</v>
      </c>
    </row>
    <row r="312" spans="3:4" x14ac:dyDescent="0.2">
      <c r="C312" t="s">
        <v>467</v>
      </c>
      <c r="D312" s="13">
        <v>10</v>
      </c>
    </row>
    <row r="313" spans="3:4" x14ac:dyDescent="0.2">
      <c r="C313" t="s">
        <v>477</v>
      </c>
      <c r="D313" s="13">
        <v>10</v>
      </c>
    </row>
    <row r="314" spans="3:4" x14ac:dyDescent="0.2">
      <c r="C314" t="s">
        <v>529</v>
      </c>
      <c r="D314" s="13">
        <v>10</v>
      </c>
    </row>
    <row r="315" spans="3:4" x14ac:dyDescent="0.2">
      <c r="C315" t="s">
        <v>567</v>
      </c>
      <c r="D315" s="13">
        <v>10</v>
      </c>
    </row>
    <row r="316" spans="3:4" x14ac:dyDescent="0.2">
      <c r="C316" t="s">
        <v>637</v>
      </c>
      <c r="D316" s="13">
        <v>10</v>
      </c>
    </row>
    <row r="317" spans="3:4" x14ac:dyDescent="0.2">
      <c r="C317" t="s">
        <v>638</v>
      </c>
      <c r="D317" s="13">
        <v>10</v>
      </c>
    </row>
    <row r="318" spans="3:4" x14ac:dyDescent="0.2">
      <c r="C318" t="s">
        <v>650</v>
      </c>
      <c r="D318" s="13">
        <v>10</v>
      </c>
    </row>
    <row r="319" spans="3:4" x14ac:dyDescent="0.2">
      <c r="C319" t="s">
        <v>671</v>
      </c>
      <c r="D319" s="13">
        <v>10</v>
      </c>
    </row>
    <row r="320" spans="3:4" x14ac:dyDescent="0.2">
      <c r="C320" t="s">
        <v>703</v>
      </c>
      <c r="D320" s="13">
        <v>10</v>
      </c>
    </row>
    <row r="321" spans="3:4" x14ac:dyDescent="0.2">
      <c r="C321" t="s">
        <v>705</v>
      </c>
      <c r="D321" s="13">
        <v>10</v>
      </c>
    </row>
    <row r="322" spans="3:4" x14ac:dyDescent="0.2">
      <c r="C322" t="s">
        <v>757</v>
      </c>
      <c r="D322" s="13">
        <v>10</v>
      </c>
    </row>
    <row r="323" spans="3:4" x14ac:dyDescent="0.2">
      <c r="C323" t="s">
        <v>758</v>
      </c>
      <c r="D323" s="13">
        <v>10</v>
      </c>
    </row>
    <row r="324" spans="3:4" x14ac:dyDescent="0.2">
      <c r="C324" t="s">
        <v>778</v>
      </c>
      <c r="D324" s="13">
        <v>10</v>
      </c>
    </row>
    <row r="325" spans="3:4" x14ac:dyDescent="0.2">
      <c r="C325" t="s">
        <v>792</v>
      </c>
      <c r="D325" s="13">
        <v>10</v>
      </c>
    </row>
    <row r="326" spans="3:4" x14ac:dyDescent="0.2">
      <c r="C326" t="s">
        <v>793</v>
      </c>
      <c r="D326" s="13">
        <v>10</v>
      </c>
    </row>
    <row r="327" spans="3:4" x14ac:dyDescent="0.2">
      <c r="C327" t="s">
        <v>798</v>
      </c>
      <c r="D327" s="13">
        <v>10</v>
      </c>
    </row>
    <row r="328" spans="3:4" x14ac:dyDescent="0.2">
      <c r="C328" t="s">
        <v>833</v>
      </c>
      <c r="D328" s="13">
        <v>10</v>
      </c>
    </row>
    <row r="329" spans="3:4" x14ac:dyDescent="0.2">
      <c r="C329" t="s">
        <v>872</v>
      </c>
      <c r="D329" s="13">
        <v>10</v>
      </c>
    </row>
    <row r="330" spans="3:4" x14ac:dyDescent="0.2">
      <c r="C330" t="s">
        <v>916</v>
      </c>
      <c r="D330" s="13">
        <v>10</v>
      </c>
    </row>
    <row r="331" spans="3:4" x14ac:dyDescent="0.2">
      <c r="C331" t="s">
        <v>917</v>
      </c>
      <c r="D331" s="13">
        <v>10</v>
      </c>
    </row>
    <row r="332" spans="3:4" x14ac:dyDescent="0.2">
      <c r="C332" t="s">
        <v>951</v>
      </c>
      <c r="D332" s="13">
        <v>10</v>
      </c>
    </row>
    <row r="333" spans="3:4" x14ac:dyDescent="0.2">
      <c r="C333" t="s">
        <v>987</v>
      </c>
      <c r="D333" s="13">
        <v>10</v>
      </c>
    </row>
    <row r="334" spans="3:4" x14ac:dyDescent="0.2">
      <c r="C334" t="s">
        <v>1027</v>
      </c>
      <c r="D334" s="13">
        <v>10</v>
      </c>
    </row>
    <row r="335" spans="3:4" x14ac:dyDescent="0.2">
      <c r="C335" t="s">
        <v>1134</v>
      </c>
      <c r="D335" s="13">
        <v>10</v>
      </c>
    </row>
    <row r="336" spans="3:4" x14ac:dyDescent="0.2">
      <c r="C336" t="s">
        <v>1201</v>
      </c>
      <c r="D336" s="13">
        <v>10</v>
      </c>
    </row>
    <row r="337" spans="3:4" x14ac:dyDescent="0.2">
      <c r="C337" t="s">
        <v>1209</v>
      </c>
      <c r="D337" s="13">
        <v>10</v>
      </c>
    </row>
    <row r="338" spans="3:4" x14ac:dyDescent="0.2">
      <c r="C338" t="s">
        <v>1268</v>
      </c>
      <c r="D338" s="13">
        <v>10</v>
      </c>
    </row>
    <row r="339" spans="3:4" x14ac:dyDescent="0.2">
      <c r="C339" t="s">
        <v>1286</v>
      </c>
      <c r="D339" s="13">
        <v>10</v>
      </c>
    </row>
    <row r="340" spans="3:4" x14ac:dyDescent="0.2">
      <c r="C340" t="s">
        <v>1325</v>
      </c>
      <c r="D340" s="13">
        <v>10</v>
      </c>
    </row>
    <row r="341" spans="3:4" x14ac:dyDescent="0.2">
      <c r="C341" t="s">
        <v>1471</v>
      </c>
      <c r="D341" s="13">
        <v>10</v>
      </c>
    </row>
    <row r="342" spans="3:4" x14ac:dyDescent="0.2">
      <c r="C342" t="s">
        <v>1489</v>
      </c>
      <c r="D342" s="13">
        <v>10</v>
      </c>
    </row>
    <row r="343" spans="3:4" x14ac:dyDescent="0.2">
      <c r="C343" t="s">
        <v>1510</v>
      </c>
      <c r="D343" s="13">
        <v>10</v>
      </c>
    </row>
    <row r="344" spans="3:4" x14ac:dyDescent="0.2">
      <c r="C344" t="s">
        <v>1525</v>
      </c>
      <c r="D344" s="13">
        <v>10</v>
      </c>
    </row>
    <row r="345" spans="3:4" x14ac:dyDescent="0.2">
      <c r="C345" t="s">
        <v>1557</v>
      </c>
      <c r="D345" s="13">
        <v>10</v>
      </c>
    </row>
    <row r="346" spans="3:4" x14ac:dyDescent="0.2">
      <c r="C346" t="s">
        <v>1561</v>
      </c>
      <c r="D346" s="13">
        <v>10</v>
      </c>
    </row>
    <row r="347" spans="3:4" x14ac:dyDescent="0.2">
      <c r="C347" t="s">
        <v>1599</v>
      </c>
      <c r="D347" s="13">
        <v>10</v>
      </c>
    </row>
    <row r="348" spans="3:4" x14ac:dyDescent="0.2">
      <c r="C348" t="s">
        <v>1637</v>
      </c>
      <c r="D348" s="13">
        <v>10</v>
      </c>
    </row>
    <row r="349" spans="3:4" x14ac:dyDescent="0.2">
      <c r="C349" t="s">
        <v>1685</v>
      </c>
      <c r="D349" s="13">
        <v>10</v>
      </c>
    </row>
    <row r="350" spans="3:4" x14ac:dyDescent="0.2">
      <c r="C350" t="s">
        <v>1717</v>
      </c>
      <c r="D350" s="13">
        <v>10</v>
      </c>
    </row>
    <row r="351" spans="3:4" x14ac:dyDescent="0.2">
      <c r="C351" t="s">
        <v>1729</v>
      </c>
      <c r="D351" s="13">
        <v>10</v>
      </c>
    </row>
    <row r="352" spans="3:4" x14ac:dyDescent="0.2">
      <c r="C352" t="s">
        <v>1769</v>
      </c>
      <c r="D352" s="13">
        <v>10</v>
      </c>
    </row>
    <row r="353" spans="3:4" x14ac:dyDescent="0.2">
      <c r="C353" t="s">
        <v>1773</v>
      </c>
      <c r="D353" s="13">
        <v>10</v>
      </c>
    </row>
    <row r="354" spans="3:4" x14ac:dyDescent="0.2">
      <c r="C354" t="s">
        <v>1809</v>
      </c>
      <c r="D354" s="13">
        <v>10</v>
      </c>
    </row>
    <row r="355" spans="3:4" x14ac:dyDescent="0.2">
      <c r="C355" t="s">
        <v>1850</v>
      </c>
      <c r="D355" s="13">
        <v>10</v>
      </c>
    </row>
    <row r="356" spans="3:4" x14ac:dyDescent="0.2">
      <c r="C356" t="s">
        <v>1894</v>
      </c>
      <c r="D356" s="13">
        <v>10</v>
      </c>
    </row>
    <row r="357" spans="3:4" x14ac:dyDescent="0.2">
      <c r="C357" t="s">
        <v>1922</v>
      </c>
      <c r="D357" s="13">
        <v>10</v>
      </c>
    </row>
    <row r="358" spans="3:4" x14ac:dyDescent="0.2">
      <c r="C358" t="s">
        <v>1977</v>
      </c>
      <c r="D358" s="13">
        <v>10</v>
      </c>
    </row>
    <row r="359" spans="3:4" x14ac:dyDescent="0.2">
      <c r="C359" t="s">
        <v>1981</v>
      </c>
      <c r="D359" s="13">
        <v>10</v>
      </c>
    </row>
    <row r="360" spans="3:4" x14ac:dyDescent="0.2">
      <c r="C360" t="s">
        <v>2003</v>
      </c>
      <c r="D360" s="13">
        <v>10</v>
      </c>
    </row>
    <row r="361" spans="3:4" x14ac:dyDescent="0.2">
      <c r="C361" t="s">
        <v>2071</v>
      </c>
      <c r="D361" s="13">
        <v>10</v>
      </c>
    </row>
    <row r="362" spans="3:4" x14ac:dyDescent="0.2">
      <c r="C362" t="s">
        <v>2075</v>
      </c>
      <c r="D362" s="13">
        <v>10</v>
      </c>
    </row>
    <row r="363" spans="3:4" x14ac:dyDescent="0.2">
      <c r="C363" t="s">
        <v>2085</v>
      </c>
      <c r="D363" s="13">
        <v>10</v>
      </c>
    </row>
    <row r="364" spans="3:4" x14ac:dyDescent="0.2">
      <c r="C364" t="s">
        <v>2088</v>
      </c>
      <c r="D364" s="13">
        <v>10</v>
      </c>
    </row>
    <row r="365" spans="3:4" x14ac:dyDescent="0.2">
      <c r="C365" t="s">
        <v>2092</v>
      </c>
      <c r="D365" s="13">
        <v>10</v>
      </c>
    </row>
    <row r="366" spans="3:4" x14ac:dyDescent="0.2">
      <c r="C366" t="s">
        <v>2282</v>
      </c>
      <c r="D366" s="13">
        <v>10</v>
      </c>
    </row>
    <row r="367" spans="3:4" x14ac:dyDescent="0.2">
      <c r="C367" t="s">
        <v>2395</v>
      </c>
      <c r="D367" s="13">
        <v>10</v>
      </c>
    </row>
    <row r="368" spans="3:4" x14ac:dyDescent="0.2">
      <c r="C368" t="s">
        <v>2439</v>
      </c>
      <c r="D368" s="13">
        <v>10</v>
      </c>
    </row>
    <row r="369" spans="3:4" x14ac:dyDescent="0.2">
      <c r="C369" t="s">
        <v>2447</v>
      </c>
      <c r="D369" s="13">
        <v>10</v>
      </c>
    </row>
    <row r="370" spans="3:4" x14ac:dyDescent="0.2">
      <c r="C370" t="s">
        <v>2451</v>
      </c>
      <c r="D370" s="13">
        <v>10</v>
      </c>
    </row>
    <row r="371" spans="3:4" x14ac:dyDescent="0.2">
      <c r="C371" t="s">
        <v>2469</v>
      </c>
      <c r="D371" s="13">
        <v>10</v>
      </c>
    </row>
    <row r="372" spans="3:4" x14ac:dyDescent="0.2">
      <c r="C372" t="s">
        <v>2571</v>
      </c>
      <c r="D372" s="13">
        <v>10</v>
      </c>
    </row>
    <row r="373" spans="3:4" x14ac:dyDescent="0.2">
      <c r="C373" t="s">
        <v>2651</v>
      </c>
      <c r="D373" s="13">
        <v>10</v>
      </c>
    </row>
    <row r="374" spans="3:4" x14ac:dyDescent="0.2">
      <c r="C374" t="s">
        <v>2761</v>
      </c>
      <c r="D374" s="13">
        <v>10</v>
      </c>
    </row>
    <row r="375" spans="3:4" x14ac:dyDescent="0.2">
      <c r="C375" t="s">
        <v>2769</v>
      </c>
      <c r="D375" s="13">
        <v>10</v>
      </c>
    </row>
    <row r="376" spans="3:4" x14ac:dyDescent="0.2">
      <c r="C376" t="s">
        <v>2866</v>
      </c>
      <c r="D376" s="13">
        <v>10</v>
      </c>
    </row>
    <row r="377" spans="3:4" x14ac:dyDescent="0.2">
      <c r="C377" t="s">
        <v>2872</v>
      </c>
      <c r="D377" s="13">
        <v>10</v>
      </c>
    </row>
    <row r="378" spans="3:4" x14ac:dyDescent="0.2">
      <c r="C378" t="s">
        <v>2876</v>
      </c>
      <c r="D378" s="13">
        <v>10</v>
      </c>
    </row>
    <row r="379" spans="3:4" x14ac:dyDescent="0.2">
      <c r="C379" t="s">
        <v>2879</v>
      </c>
      <c r="D379" s="13">
        <v>10</v>
      </c>
    </row>
    <row r="380" spans="3:4" x14ac:dyDescent="0.2">
      <c r="C380" t="s">
        <v>2912</v>
      </c>
      <c r="D380" s="13">
        <v>10</v>
      </c>
    </row>
    <row r="381" spans="3:4" x14ac:dyDescent="0.2">
      <c r="C381" t="s">
        <v>2922</v>
      </c>
      <c r="D381" s="13">
        <v>10</v>
      </c>
    </row>
    <row r="382" spans="3:4" x14ac:dyDescent="0.2">
      <c r="C382" t="s">
        <v>2952</v>
      </c>
      <c r="D382" s="13">
        <v>10</v>
      </c>
    </row>
    <row r="383" spans="3:4" x14ac:dyDescent="0.2">
      <c r="C383" t="s">
        <v>3099</v>
      </c>
      <c r="D383" s="13">
        <v>10</v>
      </c>
    </row>
    <row r="384" spans="3:4" x14ac:dyDescent="0.2">
      <c r="C384" t="s">
        <v>3103</v>
      </c>
      <c r="D384" s="13">
        <v>10</v>
      </c>
    </row>
    <row r="385" spans="3:4" x14ac:dyDescent="0.2">
      <c r="C385" t="s">
        <v>3166</v>
      </c>
      <c r="D385" s="13">
        <v>10</v>
      </c>
    </row>
    <row r="386" spans="3:4" x14ac:dyDescent="0.2">
      <c r="C386" t="s">
        <v>3172</v>
      </c>
      <c r="D386" s="13">
        <v>10</v>
      </c>
    </row>
    <row r="387" spans="3:4" x14ac:dyDescent="0.2">
      <c r="C387" t="s">
        <v>3190</v>
      </c>
      <c r="D387" s="13">
        <v>10</v>
      </c>
    </row>
    <row r="388" spans="3:4" x14ac:dyDescent="0.2">
      <c r="C388" t="s">
        <v>3244</v>
      </c>
      <c r="D388" s="13">
        <v>10</v>
      </c>
    </row>
    <row r="389" spans="3:4" x14ac:dyDescent="0.2">
      <c r="C389" t="s">
        <v>3268</v>
      </c>
      <c r="D389" s="13">
        <v>10</v>
      </c>
    </row>
    <row r="390" spans="3:4" x14ac:dyDescent="0.2">
      <c r="C390" t="s">
        <v>3285</v>
      </c>
      <c r="D390" s="13">
        <v>10</v>
      </c>
    </row>
    <row r="391" spans="3:4" x14ac:dyDescent="0.2">
      <c r="C391" t="s">
        <v>3289</v>
      </c>
      <c r="D391" s="13">
        <v>10</v>
      </c>
    </row>
    <row r="392" spans="3:4" x14ac:dyDescent="0.2">
      <c r="C392" t="s">
        <v>3295</v>
      </c>
      <c r="D392" s="13">
        <v>10</v>
      </c>
    </row>
    <row r="393" spans="3:4" x14ac:dyDescent="0.2">
      <c r="C393" t="s">
        <v>3387</v>
      </c>
      <c r="D393" s="13">
        <v>10</v>
      </c>
    </row>
    <row r="394" spans="3:4" x14ac:dyDescent="0.2">
      <c r="C394" t="s">
        <v>3412</v>
      </c>
      <c r="D394" s="13">
        <v>10</v>
      </c>
    </row>
    <row r="395" spans="3:4" x14ac:dyDescent="0.2">
      <c r="C395" t="s">
        <v>3471</v>
      </c>
      <c r="D395" s="13">
        <v>10</v>
      </c>
    </row>
    <row r="396" spans="3:4" x14ac:dyDescent="0.2">
      <c r="C396" t="s">
        <v>3537</v>
      </c>
      <c r="D396" s="13">
        <v>10</v>
      </c>
    </row>
    <row r="397" spans="3:4" x14ac:dyDescent="0.2">
      <c r="C397" t="s">
        <v>3654</v>
      </c>
      <c r="D397" s="13">
        <v>10</v>
      </c>
    </row>
    <row r="398" spans="3:4" x14ac:dyDescent="0.2">
      <c r="C398" t="s">
        <v>3662</v>
      </c>
      <c r="D398" s="13">
        <v>10</v>
      </c>
    </row>
    <row r="399" spans="3:4" x14ac:dyDescent="0.2">
      <c r="C399" t="s">
        <v>3701</v>
      </c>
      <c r="D399" s="13">
        <v>10</v>
      </c>
    </row>
    <row r="400" spans="3:4" x14ac:dyDescent="0.2">
      <c r="C400" t="s">
        <v>3757</v>
      </c>
      <c r="D400" s="13">
        <v>10</v>
      </c>
    </row>
    <row r="401" spans="3:4" x14ac:dyDescent="0.2">
      <c r="C401" t="s">
        <v>3785</v>
      </c>
      <c r="D401" s="13">
        <v>10</v>
      </c>
    </row>
    <row r="402" spans="3:4" x14ac:dyDescent="0.2">
      <c r="C402" t="s">
        <v>3801</v>
      </c>
      <c r="D402" s="13">
        <v>10</v>
      </c>
    </row>
    <row r="403" spans="3:4" x14ac:dyDescent="0.2">
      <c r="C403" t="s">
        <v>3828</v>
      </c>
      <c r="D403" s="13">
        <v>10</v>
      </c>
    </row>
    <row r="404" spans="3:4" x14ac:dyDescent="0.2">
      <c r="C404" t="s">
        <v>3843</v>
      </c>
      <c r="D404" s="13">
        <v>10</v>
      </c>
    </row>
    <row r="405" spans="3:4" x14ac:dyDescent="0.2">
      <c r="C405" t="s">
        <v>3851</v>
      </c>
      <c r="D405" s="13">
        <v>10</v>
      </c>
    </row>
    <row r="406" spans="3:4" x14ac:dyDescent="0.2">
      <c r="C406" t="s">
        <v>3956</v>
      </c>
      <c r="D406" s="13">
        <v>10</v>
      </c>
    </row>
    <row r="407" spans="3:4" x14ac:dyDescent="0.2">
      <c r="C407" t="s">
        <v>4066</v>
      </c>
      <c r="D407" s="13">
        <v>10</v>
      </c>
    </row>
    <row r="408" spans="3:4" x14ac:dyDescent="0.2">
      <c r="C408" t="s">
        <v>4082</v>
      </c>
      <c r="D408" s="13">
        <v>10</v>
      </c>
    </row>
    <row r="409" spans="3:4" x14ac:dyDescent="0.2">
      <c r="C409" t="s">
        <v>4123</v>
      </c>
      <c r="D409" s="13">
        <v>10</v>
      </c>
    </row>
    <row r="410" spans="3:4" x14ac:dyDescent="0.2">
      <c r="C410" t="s">
        <v>4131</v>
      </c>
      <c r="D410" s="13">
        <v>10</v>
      </c>
    </row>
    <row r="411" spans="3:4" x14ac:dyDescent="0.2">
      <c r="C411" t="s">
        <v>4143</v>
      </c>
      <c r="D411" s="13">
        <v>10</v>
      </c>
    </row>
    <row r="412" spans="3:4" x14ac:dyDescent="0.2">
      <c r="C412" t="s">
        <v>4194</v>
      </c>
      <c r="D412" s="13">
        <v>10</v>
      </c>
    </row>
    <row r="413" spans="3:4" x14ac:dyDescent="0.2">
      <c r="C413" t="s">
        <v>4200</v>
      </c>
      <c r="D413" s="13">
        <v>10</v>
      </c>
    </row>
    <row r="414" spans="3:4" x14ac:dyDescent="0.2">
      <c r="C414" t="s">
        <v>4226</v>
      </c>
      <c r="D414" s="13">
        <v>10</v>
      </c>
    </row>
    <row r="415" spans="3:4" x14ac:dyDescent="0.2">
      <c r="C415" t="s">
        <v>4261</v>
      </c>
      <c r="D415" s="13">
        <v>10</v>
      </c>
    </row>
    <row r="416" spans="3:4" x14ac:dyDescent="0.2">
      <c r="C416" t="s">
        <v>4274</v>
      </c>
      <c r="D416" s="13">
        <v>10</v>
      </c>
    </row>
    <row r="417" spans="3:4" x14ac:dyDescent="0.2">
      <c r="C417" t="s">
        <v>4356</v>
      </c>
      <c r="D417" s="13">
        <v>10</v>
      </c>
    </row>
    <row r="418" spans="3:4" x14ac:dyDescent="0.2">
      <c r="C418" t="s">
        <v>4415</v>
      </c>
      <c r="D418" s="13">
        <v>10</v>
      </c>
    </row>
    <row r="419" spans="3:4" x14ac:dyDescent="0.2">
      <c r="C419" t="s">
        <v>4457</v>
      </c>
      <c r="D419" s="13">
        <v>10</v>
      </c>
    </row>
    <row r="420" spans="3:4" x14ac:dyDescent="0.2">
      <c r="C420" t="s">
        <v>4551</v>
      </c>
      <c r="D420" s="13">
        <v>10</v>
      </c>
    </row>
    <row r="421" spans="3:4" x14ac:dyDescent="0.2">
      <c r="C421" t="s">
        <v>4559</v>
      </c>
      <c r="D421" s="13">
        <v>10</v>
      </c>
    </row>
    <row r="422" spans="3:4" x14ac:dyDescent="0.2">
      <c r="C422" t="s">
        <v>4667</v>
      </c>
      <c r="D422" s="13">
        <v>10</v>
      </c>
    </row>
    <row r="423" spans="3:4" x14ac:dyDescent="0.2">
      <c r="C423" t="s">
        <v>4815</v>
      </c>
      <c r="D423" s="13">
        <v>10</v>
      </c>
    </row>
    <row r="424" spans="3:4" x14ac:dyDescent="0.2">
      <c r="C424" t="s">
        <v>4939</v>
      </c>
      <c r="D424" s="13">
        <v>10</v>
      </c>
    </row>
    <row r="425" spans="3:4" x14ac:dyDescent="0.2">
      <c r="C425" t="s">
        <v>4941</v>
      </c>
      <c r="D425" s="13">
        <v>10</v>
      </c>
    </row>
    <row r="426" spans="3:4" x14ac:dyDescent="0.2">
      <c r="C426" t="s">
        <v>4965</v>
      </c>
      <c r="D426" s="13">
        <v>10</v>
      </c>
    </row>
    <row r="427" spans="3:4" x14ac:dyDescent="0.2">
      <c r="C427" t="s">
        <v>4966</v>
      </c>
      <c r="D427" s="13">
        <v>10</v>
      </c>
    </row>
    <row r="428" spans="3:4" x14ac:dyDescent="0.2">
      <c r="C428" t="s">
        <v>4994</v>
      </c>
      <c r="D428" s="13">
        <v>10</v>
      </c>
    </row>
    <row r="429" spans="3:4" x14ac:dyDescent="0.2">
      <c r="C429" t="s">
        <v>5063</v>
      </c>
      <c r="D429" s="13">
        <v>10</v>
      </c>
    </row>
    <row r="430" spans="3:4" x14ac:dyDescent="0.2">
      <c r="C430" t="s">
        <v>5094</v>
      </c>
      <c r="D430" s="13">
        <v>10</v>
      </c>
    </row>
    <row r="431" spans="3:4" x14ac:dyDescent="0.2">
      <c r="C431" t="s">
        <v>5122</v>
      </c>
      <c r="D431" s="13">
        <v>10</v>
      </c>
    </row>
    <row r="432" spans="3:4" x14ac:dyDescent="0.2">
      <c r="C432" t="s">
        <v>5123</v>
      </c>
      <c r="D432" s="13">
        <v>10</v>
      </c>
    </row>
    <row r="433" spans="3:4" x14ac:dyDescent="0.2">
      <c r="C433" t="s">
        <v>5161</v>
      </c>
      <c r="D433" s="13">
        <v>10</v>
      </c>
    </row>
    <row r="434" spans="3:4" x14ac:dyDescent="0.2">
      <c r="C434" t="s">
        <v>5196</v>
      </c>
      <c r="D434" s="13">
        <v>10</v>
      </c>
    </row>
    <row r="435" spans="3:4" x14ac:dyDescent="0.2">
      <c r="C435" t="s">
        <v>5236</v>
      </c>
      <c r="D435" s="13">
        <v>10</v>
      </c>
    </row>
    <row r="436" spans="3:4" x14ac:dyDescent="0.2">
      <c r="C436" t="s">
        <v>5252</v>
      </c>
      <c r="D436" s="13">
        <v>10</v>
      </c>
    </row>
    <row r="437" spans="3:4" x14ac:dyDescent="0.2">
      <c r="C437" t="s">
        <v>5278</v>
      </c>
      <c r="D437" s="13">
        <v>10</v>
      </c>
    </row>
    <row r="438" spans="3:4" x14ac:dyDescent="0.2">
      <c r="C438" t="s">
        <v>5298</v>
      </c>
      <c r="D438" s="13">
        <v>10</v>
      </c>
    </row>
    <row r="439" spans="3:4" x14ac:dyDescent="0.2">
      <c r="C439" t="s">
        <v>5323</v>
      </c>
      <c r="D439" s="13">
        <v>10</v>
      </c>
    </row>
    <row r="440" spans="3:4" x14ac:dyDescent="0.2">
      <c r="C440" t="s">
        <v>5331</v>
      </c>
      <c r="D440" s="13">
        <v>10</v>
      </c>
    </row>
    <row r="441" spans="3:4" x14ac:dyDescent="0.2">
      <c r="C441" t="s">
        <v>5409</v>
      </c>
      <c r="D441" s="13">
        <v>10</v>
      </c>
    </row>
    <row r="442" spans="3:4" x14ac:dyDescent="0.2">
      <c r="C442" t="s">
        <v>5418</v>
      </c>
      <c r="D442" s="13">
        <v>10</v>
      </c>
    </row>
    <row r="443" spans="3:4" x14ac:dyDescent="0.2">
      <c r="C443" t="s">
        <v>5470</v>
      </c>
      <c r="D443" s="13">
        <v>10</v>
      </c>
    </row>
    <row r="444" spans="3:4" x14ac:dyDescent="0.2">
      <c r="C444" t="s">
        <v>5474</v>
      </c>
      <c r="D444" s="13">
        <v>10</v>
      </c>
    </row>
    <row r="445" spans="3:4" x14ac:dyDescent="0.2">
      <c r="C445" t="s">
        <v>5522</v>
      </c>
      <c r="D445" s="13">
        <v>10</v>
      </c>
    </row>
    <row r="446" spans="3:4" x14ac:dyDescent="0.2">
      <c r="C446" t="s">
        <v>5536</v>
      </c>
      <c r="D446" s="13">
        <v>10</v>
      </c>
    </row>
    <row r="447" spans="3:4" x14ac:dyDescent="0.2">
      <c r="C447" t="s">
        <v>5691</v>
      </c>
      <c r="D447" s="13">
        <v>10</v>
      </c>
    </row>
    <row r="448" spans="3:4" x14ac:dyDescent="0.2">
      <c r="C448" t="s">
        <v>5699</v>
      </c>
      <c r="D448" s="13">
        <v>10</v>
      </c>
    </row>
    <row r="449" spans="3:4" x14ac:dyDescent="0.2">
      <c r="C449" t="s">
        <v>5720</v>
      </c>
      <c r="D449" s="13">
        <v>10</v>
      </c>
    </row>
    <row r="450" spans="3:4" x14ac:dyDescent="0.2">
      <c r="C450" t="s">
        <v>5721</v>
      </c>
      <c r="D450" s="13">
        <v>10</v>
      </c>
    </row>
    <row r="451" spans="3:4" x14ac:dyDescent="0.2">
      <c r="C451" t="s">
        <v>5723</v>
      </c>
      <c r="D451" s="13">
        <v>10</v>
      </c>
    </row>
    <row r="452" spans="3:4" x14ac:dyDescent="0.2">
      <c r="C452" t="s">
        <v>5780</v>
      </c>
      <c r="D452" s="13">
        <v>10</v>
      </c>
    </row>
    <row r="453" spans="3:4" x14ac:dyDescent="0.2">
      <c r="C453" t="s">
        <v>5793</v>
      </c>
      <c r="D453" s="13">
        <v>10</v>
      </c>
    </row>
    <row r="454" spans="3:4" x14ac:dyDescent="0.2">
      <c r="C454" t="s">
        <v>5809</v>
      </c>
      <c r="D454" s="13">
        <v>10</v>
      </c>
    </row>
    <row r="455" spans="3:4" x14ac:dyDescent="0.2">
      <c r="C455" t="s">
        <v>5861</v>
      </c>
      <c r="D455" s="13">
        <v>10</v>
      </c>
    </row>
    <row r="456" spans="3:4" x14ac:dyDescent="0.2">
      <c r="C456" t="s">
        <v>5871</v>
      </c>
      <c r="D456" s="13">
        <v>10</v>
      </c>
    </row>
    <row r="457" spans="3:4" x14ac:dyDescent="0.2">
      <c r="C457" t="s">
        <v>5893</v>
      </c>
      <c r="D457" s="13">
        <v>10</v>
      </c>
    </row>
    <row r="458" spans="3:4" x14ac:dyDescent="0.2">
      <c r="C458" t="s">
        <v>5974</v>
      </c>
      <c r="D458" s="13">
        <v>10</v>
      </c>
    </row>
    <row r="459" spans="3:4" x14ac:dyDescent="0.2">
      <c r="C459" t="s">
        <v>5989</v>
      </c>
      <c r="D459" s="13">
        <v>10</v>
      </c>
    </row>
    <row r="460" spans="3:4" x14ac:dyDescent="0.2">
      <c r="C460" t="s">
        <v>6044</v>
      </c>
      <c r="D460" s="13">
        <v>10</v>
      </c>
    </row>
    <row r="461" spans="3:4" x14ac:dyDescent="0.2">
      <c r="C461" t="s">
        <v>6068</v>
      </c>
      <c r="D461" s="13">
        <v>10</v>
      </c>
    </row>
    <row r="462" spans="3:4" x14ac:dyDescent="0.2">
      <c r="C462" t="s">
        <v>6091</v>
      </c>
      <c r="D462" s="13">
        <v>10</v>
      </c>
    </row>
    <row r="463" spans="3:4" x14ac:dyDescent="0.2">
      <c r="C463" t="s">
        <v>6099</v>
      </c>
      <c r="D463" s="13">
        <v>10</v>
      </c>
    </row>
    <row r="464" spans="3:4" x14ac:dyDescent="0.2">
      <c r="C464" t="s">
        <v>6116</v>
      </c>
      <c r="D464" s="13">
        <v>10</v>
      </c>
    </row>
    <row r="465" spans="3:4" x14ac:dyDescent="0.2">
      <c r="C465" t="s">
        <v>6120</v>
      </c>
      <c r="D465" s="13">
        <v>10</v>
      </c>
    </row>
    <row r="466" spans="3:4" x14ac:dyDescent="0.2">
      <c r="C466" t="s">
        <v>6269</v>
      </c>
      <c r="D466" s="13">
        <v>10</v>
      </c>
    </row>
    <row r="467" spans="3:4" x14ac:dyDescent="0.2">
      <c r="C467" t="s">
        <v>6317</v>
      </c>
      <c r="D467" s="13">
        <v>10</v>
      </c>
    </row>
    <row r="468" spans="3:4" x14ac:dyDescent="0.2">
      <c r="C468" t="s">
        <v>6337</v>
      </c>
      <c r="D468" s="13">
        <v>10</v>
      </c>
    </row>
    <row r="469" spans="3:4" x14ac:dyDescent="0.2">
      <c r="C469" t="s">
        <v>6348</v>
      </c>
      <c r="D469" s="13">
        <v>10</v>
      </c>
    </row>
    <row r="470" spans="3:4" x14ac:dyDescent="0.2">
      <c r="C470" t="s">
        <v>6389</v>
      </c>
      <c r="D470" s="13">
        <v>10</v>
      </c>
    </row>
    <row r="471" spans="3:4" x14ac:dyDescent="0.2">
      <c r="C471" t="s">
        <v>6416</v>
      </c>
      <c r="D471" s="13">
        <v>10</v>
      </c>
    </row>
    <row r="472" spans="3:4" x14ac:dyDescent="0.2">
      <c r="C472" t="s">
        <v>6429</v>
      </c>
      <c r="D472" s="13">
        <v>10</v>
      </c>
    </row>
    <row r="473" spans="3:4" x14ac:dyDescent="0.2">
      <c r="C473" t="s">
        <v>6443</v>
      </c>
      <c r="D473" s="13">
        <v>10</v>
      </c>
    </row>
    <row r="474" spans="3:4" x14ac:dyDescent="0.2">
      <c r="C474" t="s">
        <v>6577</v>
      </c>
      <c r="D474" s="13">
        <v>10</v>
      </c>
    </row>
    <row r="475" spans="3:4" x14ac:dyDescent="0.2">
      <c r="C475" t="s">
        <v>6639</v>
      </c>
      <c r="D475" s="13">
        <v>10</v>
      </c>
    </row>
    <row r="476" spans="3:4" x14ac:dyDescent="0.2">
      <c r="C476" t="s">
        <v>6694</v>
      </c>
      <c r="D476" s="13">
        <v>10</v>
      </c>
    </row>
    <row r="477" spans="3:4" x14ac:dyDescent="0.2">
      <c r="C477" t="s">
        <v>6706</v>
      </c>
      <c r="D477" s="13">
        <v>10</v>
      </c>
    </row>
    <row r="478" spans="3:4" x14ac:dyDescent="0.2">
      <c r="C478" t="s">
        <v>6716</v>
      </c>
      <c r="D478" s="13">
        <v>10</v>
      </c>
    </row>
    <row r="479" spans="3:4" x14ac:dyDescent="0.2">
      <c r="C479" t="s">
        <v>6789</v>
      </c>
      <c r="D479" s="13">
        <v>10</v>
      </c>
    </row>
    <row r="480" spans="3:4" x14ac:dyDescent="0.2">
      <c r="C480" t="s">
        <v>6834</v>
      </c>
      <c r="D480" s="13">
        <v>10</v>
      </c>
    </row>
    <row r="481" spans="3:4" x14ac:dyDescent="0.2">
      <c r="C481" t="s">
        <v>6894</v>
      </c>
      <c r="D481" s="13">
        <v>10</v>
      </c>
    </row>
    <row r="482" spans="3:4" x14ac:dyDescent="0.2">
      <c r="C482" t="s">
        <v>6933</v>
      </c>
      <c r="D482" s="13">
        <v>10</v>
      </c>
    </row>
    <row r="483" spans="3:4" x14ac:dyDescent="0.2">
      <c r="C483" t="s">
        <v>7005</v>
      </c>
      <c r="D483" s="13">
        <v>10</v>
      </c>
    </row>
    <row r="484" spans="3:4" x14ac:dyDescent="0.2">
      <c r="C484" t="s">
        <v>7037</v>
      </c>
      <c r="D484" s="13">
        <v>10</v>
      </c>
    </row>
    <row r="485" spans="3:4" x14ac:dyDescent="0.2">
      <c r="C485" t="s">
        <v>7078</v>
      </c>
      <c r="D485" s="13">
        <v>10</v>
      </c>
    </row>
    <row r="486" spans="3:4" x14ac:dyDescent="0.2">
      <c r="C486" t="s">
        <v>7091</v>
      </c>
      <c r="D486" s="13">
        <v>10</v>
      </c>
    </row>
    <row r="487" spans="3:4" x14ac:dyDescent="0.2">
      <c r="C487" t="s">
        <v>7132</v>
      </c>
      <c r="D487" s="13">
        <v>10</v>
      </c>
    </row>
    <row r="488" spans="3:4" x14ac:dyDescent="0.2">
      <c r="C488" t="s">
        <v>7144</v>
      </c>
      <c r="D488" s="13">
        <v>10</v>
      </c>
    </row>
    <row r="489" spans="3:4" x14ac:dyDescent="0.2">
      <c r="C489" t="s">
        <v>7146</v>
      </c>
      <c r="D489" s="13">
        <v>10</v>
      </c>
    </row>
    <row r="490" spans="3:4" x14ac:dyDescent="0.2">
      <c r="C490" t="s">
        <v>7154</v>
      </c>
      <c r="D490" s="13">
        <v>10</v>
      </c>
    </row>
    <row r="491" spans="3:4" x14ac:dyDescent="0.2">
      <c r="C491" t="s">
        <v>7272</v>
      </c>
      <c r="D491" s="13">
        <v>10</v>
      </c>
    </row>
    <row r="492" spans="3:4" x14ac:dyDescent="0.2">
      <c r="C492" t="s">
        <v>7278</v>
      </c>
      <c r="D492" s="13">
        <v>10</v>
      </c>
    </row>
    <row r="493" spans="3:4" x14ac:dyDescent="0.2">
      <c r="C493" t="s">
        <v>7282</v>
      </c>
      <c r="D493" s="13">
        <v>10</v>
      </c>
    </row>
    <row r="494" spans="3:4" x14ac:dyDescent="0.2">
      <c r="C494" t="s">
        <v>7335</v>
      </c>
      <c r="D494" s="13">
        <v>10</v>
      </c>
    </row>
    <row r="495" spans="3:4" x14ac:dyDescent="0.2">
      <c r="C495" t="s">
        <v>7511</v>
      </c>
      <c r="D495" s="13">
        <v>10</v>
      </c>
    </row>
    <row r="496" spans="3:4" x14ac:dyDescent="0.2">
      <c r="C496" t="s">
        <v>7574</v>
      </c>
      <c r="D496" s="13">
        <v>10</v>
      </c>
    </row>
    <row r="497" spans="3:4" x14ac:dyDescent="0.2">
      <c r="C497" t="s">
        <v>7721</v>
      </c>
      <c r="D497" s="13">
        <v>10</v>
      </c>
    </row>
    <row r="498" spans="3:4" x14ac:dyDescent="0.2">
      <c r="C498" t="s">
        <v>7763</v>
      </c>
      <c r="D498" s="13">
        <v>10</v>
      </c>
    </row>
    <row r="499" spans="3:4" x14ac:dyDescent="0.2">
      <c r="C499" t="s">
        <v>7767</v>
      </c>
      <c r="D499" s="13">
        <v>10</v>
      </c>
    </row>
    <row r="500" spans="3:4" x14ac:dyDescent="0.2">
      <c r="C500" t="s">
        <v>7823</v>
      </c>
      <c r="D500" s="13">
        <v>10</v>
      </c>
    </row>
    <row r="501" spans="3:4" x14ac:dyDescent="0.2">
      <c r="C501" t="s">
        <v>7853</v>
      </c>
      <c r="D501" s="13">
        <v>10</v>
      </c>
    </row>
    <row r="502" spans="3:4" x14ac:dyDescent="0.2">
      <c r="C502" t="s">
        <v>7872</v>
      </c>
      <c r="D502" s="13">
        <v>10</v>
      </c>
    </row>
    <row r="503" spans="3:4" x14ac:dyDescent="0.2">
      <c r="C503" t="s">
        <v>7898</v>
      </c>
      <c r="D503" s="13">
        <v>10</v>
      </c>
    </row>
    <row r="504" spans="3:4" x14ac:dyDescent="0.2">
      <c r="C504" t="s">
        <v>8040</v>
      </c>
      <c r="D504" s="13">
        <v>10</v>
      </c>
    </row>
    <row r="505" spans="3:4" x14ac:dyDescent="0.2">
      <c r="C505" t="s">
        <v>8045</v>
      </c>
      <c r="D505" s="13">
        <v>10</v>
      </c>
    </row>
    <row r="506" spans="3:4" x14ac:dyDescent="0.2">
      <c r="C506" t="s">
        <v>8067</v>
      </c>
      <c r="D506" s="13">
        <v>10</v>
      </c>
    </row>
    <row r="507" spans="3:4" x14ac:dyDescent="0.2">
      <c r="C507" t="s">
        <v>8089</v>
      </c>
      <c r="D507" s="13">
        <v>10</v>
      </c>
    </row>
    <row r="508" spans="3:4" x14ac:dyDescent="0.2">
      <c r="C508" t="s">
        <v>8109</v>
      </c>
      <c r="D508" s="13">
        <v>10</v>
      </c>
    </row>
    <row r="509" spans="3:4" x14ac:dyDescent="0.2">
      <c r="C509" t="s">
        <v>8121</v>
      </c>
      <c r="D509" s="13">
        <v>10</v>
      </c>
    </row>
    <row r="510" spans="3:4" x14ac:dyDescent="0.2">
      <c r="C510" t="s">
        <v>8201</v>
      </c>
      <c r="D510" s="13">
        <v>10</v>
      </c>
    </row>
    <row r="511" spans="3:4" x14ac:dyDescent="0.2">
      <c r="C511" t="s">
        <v>8344</v>
      </c>
      <c r="D511" s="13">
        <v>10</v>
      </c>
    </row>
    <row r="512" spans="3:4" x14ac:dyDescent="0.2">
      <c r="C512" t="s">
        <v>8430</v>
      </c>
      <c r="D512" s="13">
        <v>10</v>
      </c>
    </row>
    <row r="513" spans="3:4" x14ac:dyDescent="0.2">
      <c r="C513" t="s">
        <v>8462</v>
      </c>
      <c r="D513" s="13">
        <v>10</v>
      </c>
    </row>
    <row r="514" spans="3:4" x14ac:dyDescent="0.2">
      <c r="C514" t="s">
        <v>8468</v>
      </c>
      <c r="D514" s="13">
        <v>10</v>
      </c>
    </row>
    <row r="515" spans="3:4" x14ac:dyDescent="0.2">
      <c r="C515" t="s">
        <v>8469</v>
      </c>
      <c r="D515" s="13">
        <v>10</v>
      </c>
    </row>
    <row r="516" spans="3:4" x14ac:dyDescent="0.2">
      <c r="C516" t="s">
        <v>8538</v>
      </c>
      <c r="D516" s="13">
        <v>10</v>
      </c>
    </row>
    <row r="517" spans="3:4" x14ac:dyDescent="0.2">
      <c r="C517" t="s">
        <v>8556</v>
      </c>
      <c r="D517" s="13">
        <v>10</v>
      </c>
    </row>
    <row r="518" spans="3:4" x14ac:dyDescent="0.2">
      <c r="C518" t="s">
        <v>8571</v>
      </c>
      <c r="D518" s="13">
        <v>10</v>
      </c>
    </row>
    <row r="519" spans="3:4" x14ac:dyDescent="0.2">
      <c r="C519" t="s">
        <v>8597</v>
      </c>
      <c r="D519" s="13">
        <v>10</v>
      </c>
    </row>
    <row r="520" spans="3:4" x14ac:dyDescent="0.2">
      <c r="C520" t="s">
        <v>8660</v>
      </c>
      <c r="D520" s="13">
        <v>10</v>
      </c>
    </row>
    <row r="521" spans="3:4" x14ac:dyDescent="0.2">
      <c r="C521" t="s">
        <v>8704</v>
      </c>
      <c r="D521" s="13">
        <v>10</v>
      </c>
    </row>
    <row r="522" spans="3:4" x14ac:dyDescent="0.2">
      <c r="C522" t="s">
        <v>278</v>
      </c>
      <c r="D522" s="13">
        <v>10</v>
      </c>
    </row>
    <row r="523" spans="3:4" x14ac:dyDescent="0.2">
      <c r="C523" t="s">
        <v>487</v>
      </c>
      <c r="D523" s="13">
        <v>10</v>
      </c>
    </row>
    <row r="524" spans="3:4" x14ac:dyDescent="0.2">
      <c r="C524" t="s">
        <v>790</v>
      </c>
      <c r="D524" s="13">
        <v>10</v>
      </c>
    </row>
    <row r="525" spans="3:4" x14ac:dyDescent="0.2">
      <c r="C525" t="s">
        <v>860</v>
      </c>
      <c r="D525" s="13">
        <v>10</v>
      </c>
    </row>
    <row r="526" spans="3:4" x14ac:dyDescent="0.2">
      <c r="C526" t="s">
        <v>878</v>
      </c>
      <c r="D526" s="13">
        <v>10</v>
      </c>
    </row>
    <row r="527" spans="3:4" x14ac:dyDescent="0.2">
      <c r="C527" t="s">
        <v>1019</v>
      </c>
      <c r="D527" s="13">
        <v>10</v>
      </c>
    </row>
    <row r="528" spans="3:4" x14ac:dyDescent="0.2">
      <c r="C528" t="s">
        <v>1051</v>
      </c>
      <c r="D528" s="13">
        <v>10</v>
      </c>
    </row>
    <row r="529" spans="3:4" x14ac:dyDescent="0.2">
      <c r="C529" t="s">
        <v>1339</v>
      </c>
      <c r="D529" s="13">
        <v>10</v>
      </c>
    </row>
    <row r="530" spans="3:4" x14ac:dyDescent="0.2">
      <c r="C530" t="s">
        <v>1611</v>
      </c>
      <c r="D530" s="13">
        <v>10</v>
      </c>
    </row>
    <row r="531" spans="3:4" x14ac:dyDescent="0.2">
      <c r="C531" t="s">
        <v>2230</v>
      </c>
      <c r="D531" s="13">
        <v>10</v>
      </c>
    </row>
    <row r="532" spans="3:4" x14ac:dyDescent="0.2">
      <c r="C532" t="s">
        <v>2427</v>
      </c>
      <c r="D532" s="13">
        <v>10</v>
      </c>
    </row>
    <row r="533" spans="3:4" x14ac:dyDescent="0.2">
      <c r="C533" t="s">
        <v>2463</v>
      </c>
      <c r="D533" s="13">
        <v>10</v>
      </c>
    </row>
    <row r="534" spans="3:4" x14ac:dyDescent="0.2">
      <c r="C534" t="s">
        <v>2666</v>
      </c>
      <c r="D534" s="13">
        <v>10</v>
      </c>
    </row>
    <row r="535" spans="3:4" x14ac:dyDescent="0.2">
      <c r="C535" t="s">
        <v>2673</v>
      </c>
      <c r="D535" s="13">
        <v>10</v>
      </c>
    </row>
    <row r="536" spans="3:4" x14ac:dyDescent="0.2">
      <c r="C536" t="s">
        <v>2878</v>
      </c>
      <c r="D536" s="13">
        <v>10</v>
      </c>
    </row>
    <row r="537" spans="3:4" x14ac:dyDescent="0.2">
      <c r="C537" t="s">
        <v>3026</v>
      </c>
      <c r="D537" s="13">
        <v>10</v>
      </c>
    </row>
    <row r="538" spans="3:4" x14ac:dyDescent="0.2">
      <c r="C538" t="s">
        <v>3125</v>
      </c>
      <c r="D538" s="13">
        <v>10</v>
      </c>
    </row>
    <row r="539" spans="3:4" x14ac:dyDescent="0.2">
      <c r="C539" t="s">
        <v>3319</v>
      </c>
      <c r="D539" s="13">
        <v>10</v>
      </c>
    </row>
    <row r="540" spans="3:4" x14ac:dyDescent="0.2">
      <c r="C540" t="s">
        <v>3381</v>
      </c>
      <c r="D540" s="13">
        <v>10</v>
      </c>
    </row>
    <row r="541" spans="3:4" x14ac:dyDescent="0.2">
      <c r="C541" t="s">
        <v>3656</v>
      </c>
      <c r="D541" s="13">
        <v>10</v>
      </c>
    </row>
    <row r="542" spans="3:4" x14ac:dyDescent="0.2">
      <c r="C542" t="s">
        <v>3717</v>
      </c>
      <c r="D542" s="13">
        <v>10</v>
      </c>
    </row>
    <row r="543" spans="3:4" x14ac:dyDescent="0.2">
      <c r="C543" t="s">
        <v>4249</v>
      </c>
      <c r="D543" s="13">
        <v>10</v>
      </c>
    </row>
    <row r="544" spans="3:4" x14ac:dyDescent="0.2">
      <c r="C544" t="s">
        <v>4373</v>
      </c>
      <c r="D544" s="13">
        <v>10</v>
      </c>
    </row>
    <row r="545" spans="3:4" x14ac:dyDescent="0.2">
      <c r="C545" t="s">
        <v>4564</v>
      </c>
      <c r="D545" s="13">
        <v>10</v>
      </c>
    </row>
    <row r="546" spans="3:4" x14ac:dyDescent="0.2">
      <c r="C546" t="s">
        <v>4868</v>
      </c>
      <c r="D546" s="13">
        <v>10</v>
      </c>
    </row>
    <row r="547" spans="3:4" x14ac:dyDescent="0.2">
      <c r="C547" t="s">
        <v>4927</v>
      </c>
      <c r="D547" s="13">
        <v>10</v>
      </c>
    </row>
    <row r="548" spans="3:4" x14ac:dyDescent="0.2">
      <c r="C548" t="s">
        <v>4996</v>
      </c>
      <c r="D548" s="13">
        <v>10</v>
      </c>
    </row>
    <row r="549" spans="3:4" x14ac:dyDescent="0.2">
      <c r="C549" t="s">
        <v>5135</v>
      </c>
      <c r="D549" s="13">
        <v>10</v>
      </c>
    </row>
    <row r="550" spans="3:4" x14ac:dyDescent="0.2">
      <c r="C550" t="s">
        <v>5315</v>
      </c>
      <c r="D550" s="13">
        <v>10</v>
      </c>
    </row>
    <row r="551" spans="3:4" x14ac:dyDescent="0.2">
      <c r="C551" t="s">
        <v>5486</v>
      </c>
      <c r="D551" s="13">
        <v>10</v>
      </c>
    </row>
    <row r="552" spans="3:4" x14ac:dyDescent="0.2">
      <c r="C552" t="s">
        <v>5553</v>
      </c>
      <c r="D552" s="13">
        <v>10</v>
      </c>
    </row>
    <row r="553" spans="3:4" x14ac:dyDescent="0.2">
      <c r="C553" t="s">
        <v>5568</v>
      </c>
      <c r="D553" s="13">
        <v>10</v>
      </c>
    </row>
    <row r="554" spans="3:4" x14ac:dyDescent="0.2">
      <c r="C554" t="s">
        <v>5695</v>
      </c>
      <c r="D554" s="13">
        <v>10</v>
      </c>
    </row>
    <row r="555" spans="3:4" x14ac:dyDescent="0.2">
      <c r="C555" t="s">
        <v>5762</v>
      </c>
      <c r="D555" s="13">
        <v>10</v>
      </c>
    </row>
    <row r="556" spans="3:4" x14ac:dyDescent="0.2">
      <c r="C556" t="s">
        <v>5833</v>
      </c>
      <c r="D556" s="13">
        <v>10</v>
      </c>
    </row>
    <row r="557" spans="3:4" x14ac:dyDescent="0.2">
      <c r="C557" t="s">
        <v>6072</v>
      </c>
      <c r="D557" s="13">
        <v>10</v>
      </c>
    </row>
    <row r="558" spans="3:4" x14ac:dyDescent="0.2">
      <c r="C558" t="s">
        <v>6300</v>
      </c>
      <c r="D558" s="13">
        <v>10</v>
      </c>
    </row>
    <row r="559" spans="3:4" x14ac:dyDescent="0.2">
      <c r="C559" t="s">
        <v>6437</v>
      </c>
      <c r="D559" s="13">
        <v>10</v>
      </c>
    </row>
    <row r="560" spans="3:4" x14ac:dyDescent="0.2">
      <c r="C560" t="s">
        <v>6528</v>
      </c>
      <c r="D560" s="13">
        <v>10</v>
      </c>
    </row>
    <row r="561" spans="3:4" x14ac:dyDescent="0.2">
      <c r="C561" t="s">
        <v>6573</v>
      </c>
      <c r="D561" s="13">
        <v>10</v>
      </c>
    </row>
    <row r="562" spans="3:4" x14ac:dyDescent="0.2">
      <c r="C562" t="s">
        <v>6643</v>
      </c>
      <c r="D562" s="13">
        <v>10</v>
      </c>
    </row>
    <row r="563" spans="3:4" x14ac:dyDescent="0.2">
      <c r="C563" t="s">
        <v>6975</v>
      </c>
      <c r="D563" s="13">
        <v>10</v>
      </c>
    </row>
    <row r="564" spans="3:4" x14ac:dyDescent="0.2">
      <c r="C564" t="s">
        <v>7356</v>
      </c>
      <c r="D564" s="13">
        <v>10</v>
      </c>
    </row>
    <row r="565" spans="3:4" x14ac:dyDescent="0.2">
      <c r="C565" t="s">
        <v>7416</v>
      </c>
      <c r="D565" s="13">
        <v>10</v>
      </c>
    </row>
    <row r="566" spans="3:4" x14ac:dyDescent="0.2">
      <c r="C566" t="s">
        <v>7418</v>
      </c>
      <c r="D566" s="13">
        <v>10</v>
      </c>
    </row>
    <row r="567" spans="3:4" x14ac:dyDescent="0.2">
      <c r="C567" t="s">
        <v>7481</v>
      </c>
      <c r="D567" s="13">
        <v>10</v>
      </c>
    </row>
    <row r="568" spans="3:4" x14ac:dyDescent="0.2">
      <c r="C568" t="s">
        <v>7995</v>
      </c>
      <c r="D568" s="13">
        <v>10</v>
      </c>
    </row>
    <row r="569" spans="3:4" x14ac:dyDescent="0.2">
      <c r="C569" t="s">
        <v>8217</v>
      </c>
      <c r="D569" s="13">
        <v>10</v>
      </c>
    </row>
    <row r="570" spans="3:4" x14ac:dyDescent="0.2">
      <c r="C570" t="s">
        <v>8293</v>
      </c>
      <c r="D570" s="13">
        <v>10</v>
      </c>
    </row>
    <row r="571" spans="3:4" x14ac:dyDescent="0.2">
      <c r="C571" t="s">
        <v>8334</v>
      </c>
      <c r="D571" s="13">
        <v>10</v>
      </c>
    </row>
    <row r="572" spans="3:4" x14ac:dyDescent="0.2">
      <c r="C572" t="s">
        <v>8450</v>
      </c>
      <c r="D572" s="13">
        <v>10</v>
      </c>
    </row>
    <row r="573" spans="3:4" x14ac:dyDescent="0.2">
      <c r="C573" t="s">
        <v>8506</v>
      </c>
      <c r="D573" s="13">
        <v>10</v>
      </c>
    </row>
    <row r="574" spans="3:4" x14ac:dyDescent="0.2">
      <c r="C574" t="s">
        <v>8618</v>
      </c>
      <c r="D574" s="13">
        <v>10</v>
      </c>
    </row>
    <row r="575" spans="3:4" x14ac:dyDescent="0.2">
      <c r="C575" t="s">
        <v>268</v>
      </c>
      <c r="D575" s="13">
        <v>10</v>
      </c>
    </row>
    <row r="576" spans="3:4" x14ac:dyDescent="0.2">
      <c r="C576" t="s">
        <v>493</v>
      </c>
      <c r="D576" s="13">
        <v>10</v>
      </c>
    </row>
    <row r="577" spans="3:4" x14ac:dyDescent="0.2">
      <c r="C577" t="s">
        <v>600</v>
      </c>
      <c r="D577" s="13">
        <v>10</v>
      </c>
    </row>
    <row r="578" spans="3:4" x14ac:dyDescent="0.2">
      <c r="C578" t="s">
        <v>809</v>
      </c>
      <c r="D578" s="13">
        <v>10</v>
      </c>
    </row>
    <row r="579" spans="3:4" x14ac:dyDescent="0.2">
      <c r="C579" t="s">
        <v>837</v>
      </c>
      <c r="D579" s="13">
        <v>10</v>
      </c>
    </row>
    <row r="580" spans="3:4" x14ac:dyDescent="0.2">
      <c r="C580" t="s">
        <v>839</v>
      </c>
      <c r="D580" s="13">
        <v>10</v>
      </c>
    </row>
    <row r="581" spans="3:4" x14ac:dyDescent="0.2">
      <c r="C581" t="s">
        <v>1132</v>
      </c>
      <c r="D581" s="13">
        <v>10</v>
      </c>
    </row>
    <row r="582" spans="3:4" x14ac:dyDescent="0.2">
      <c r="C582" t="s">
        <v>1559</v>
      </c>
      <c r="D582" s="13">
        <v>10</v>
      </c>
    </row>
    <row r="583" spans="3:4" x14ac:dyDescent="0.2">
      <c r="C583" t="s">
        <v>1681</v>
      </c>
      <c r="D583" s="13">
        <v>10</v>
      </c>
    </row>
    <row r="584" spans="3:4" x14ac:dyDescent="0.2">
      <c r="C584" t="s">
        <v>1695</v>
      </c>
      <c r="D584" s="13">
        <v>10</v>
      </c>
    </row>
    <row r="585" spans="3:4" x14ac:dyDescent="0.2">
      <c r="C585" t="s">
        <v>1778</v>
      </c>
      <c r="D585" s="13">
        <v>10</v>
      </c>
    </row>
    <row r="586" spans="3:4" x14ac:dyDescent="0.2">
      <c r="C586" t="s">
        <v>1961</v>
      </c>
      <c r="D586" s="13">
        <v>10</v>
      </c>
    </row>
    <row r="587" spans="3:4" x14ac:dyDescent="0.2">
      <c r="C587" t="s">
        <v>2161</v>
      </c>
      <c r="D587" s="13">
        <v>10</v>
      </c>
    </row>
    <row r="588" spans="3:4" x14ac:dyDescent="0.2">
      <c r="C588" t="s">
        <v>2431</v>
      </c>
      <c r="D588" s="13">
        <v>10</v>
      </c>
    </row>
    <row r="589" spans="3:4" x14ac:dyDescent="0.2">
      <c r="C589" t="s">
        <v>2491</v>
      </c>
      <c r="D589" s="13">
        <v>10</v>
      </c>
    </row>
    <row r="590" spans="3:4" x14ac:dyDescent="0.2">
      <c r="C590" t="s">
        <v>2493</v>
      </c>
      <c r="D590" s="13">
        <v>10</v>
      </c>
    </row>
    <row r="591" spans="3:4" x14ac:dyDescent="0.2">
      <c r="C591" t="s">
        <v>2545</v>
      </c>
      <c r="D591" s="13">
        <v>10</v>
      </c>
    </row>
    <row r="592" spans="3:4" x14ac:dyDescent="0.2">
      <c r="C592" t="s">
        <v>2985</v>
      </c>
      <c r="D592" s="13">
        <v>10</v>
      </c>
    </row>
    <row r="593" spans="3:4" x14ac:dyDescent="0.2">
      <c r="C593" t="s">
        <v>3299</v>
      </c>
      <c r="D593" s="13">
        <v>10</v>
      </c>
    </row>
    <row r="594" spans="3:4" x14ac:dyDescent="0.2">
      <c r="C594" t="s">
        <v>3465</v>
      </c>
      <c r="D594" s="13">
        <v>10</v>
      </c>
    </row>
    <row r="595" spans="3:4" x14ac:dyDescent="0.2">
      <c r="C595" t="s">
        <v>3589</v>
      </c>
      <c r="D595" s="13">
        <v>10</v>
      </c>
    </row>
    <row r="596" spans="3:4" x14ac:dyDescent="0.2">
      <c r="C596" t="s">
        <v>3601</v>
      </c>
      <c r="D596" s="13">
        <v>10</v>
      </c>
    </row>
    <row r="597" spans="3:4" x14ac:dyDescent="0.2">
      <c r="C597" t="s">
        <v>3996</v>
      </c>
      <c r="D597" s="13">
        <v>10</v>
      </c>
    </row>
    <row r="598" spans="3:4" x14ac:dyDescent="0.2">
      <c r="C598" t="s">
        <v>3997</v>
      </c>
      <c r="D598" s="13">
        <v>10</v>
      </c>
    </row>
    <row r="599" spans="3:4" x14ac:dyDescent="0.2">
      <c r="C599" t="s">
        <v>4068</v>
      </c>
      <c r="D599" s="13">
        <v>10</v>
      </c>
    </row>
    <row r="600" spans="3:4" x14ac:dyDescent="0.2">
      <c r="C600" t="s">
        <v>4111</v>
      </c>
      <c r="D600" s="13">
        <v>10</v>
      </c>
    </row>
    <row r="601" spans="3:4" x14ac:dyDescent="0.2">
      <c r="C601" t="s">
        <v>4343</v>
      </c>
      <c r="D601" s="13">
        <v>10</v>
      </c>
    </row>
    <row r="602" spans="3:4" x14ac:dyDescent="0.2">
      <c r="C602" t="s">
        <v>4648</v>
      </c>
      <c r="D602" s="13">
        <v>10</v>
      </c>
    </row>
    <row r="603" spans="3:4" x14ac:dyDescent="0.2">
      <c r="C603" t="s">
        <v>5145</v>
      </c>
      <c r="D603" s="13">
        <v>10</v>
      </c>
    </row>
    <row r="604" spans="3:4" x14ac:dyDescent="0.2">
      <c r="C604" t="s">
        <v>5292</v>
      </c>
      <c r="D604" s="13">
        <v>10</v>
      </c>
    </row>
    <row r="605" spans="3:4" x14ac:dyDescent="0.2">
      <c r="C605" t="s">
        <v>5333</v>
      </c>
      <c r="D605" s="13">
        <v>10</v>
      </c>
    </row>
    <row r="606" spans="3:4" x14ac:dyDescent="0.2">
      <c r="C606" t="s">
        <v>5368</v>
      </c>
      <c r="D606" s="13">
        <v>10</v>
      </c>
    </row>
    <row r="607" spans="3:4" x14ac:dyDescent="0.2">
      <c r="C607" t="s">
        <v>5595</v>
      </c>
      <c r="D607" s="13">
        <v>10</v>
      </c>
    </row>
    <row r="608" spans="3:4" x14ac:dyDescent="0.2">
      <c r="C608" t="s">
        <v>5693</v>
      </c>
      <c r="D608" s="13">
        <v>10</v>
      </c>
    </row>
    <row r="609" spans="3:4" x14ac:dyDescent="0.2">
      <c r="C609" t="s">
        <v>6058</v>
      </c>
      <c r="D609" s="13">
        <v>10</v>
      </c>
    </row>
    <row r="610" spans="3:4" x14ac:dyDescent="0.2">
      <c r="C610" t="s">
        <v>6094</v>
      </c>
      <c r="D610" s="13">
        <v>10</v>
      </c>
    </row>
    <row r="611" spans="3:4" x14ac:dyDescent="0.2">
      <c r="C611" t="s">
        <v>6616</v>
      </c>
      <c r="D611" s="13">
        <v>10</v>
      </c>
    </row>
    <row r="612" spans="3:4" x14ac:dyDescent="0.2">
      <c r="C612" t="s">
        <v>6787</v>
      </c>
      <c r="D612" s="13">
        <v>10</v>
      </c>
    </row>
    <row r="613" spans="3:4" x14ac:dyDescent="0.2">
      <c r="C613" t="s">
        <v>6882</v>
      </c>
      <c r="D613" s="13">
        <v>10</v>
      </c>
    </row>
    <row r="614" spans="3:4" x14ac:dyDescent="0.2">
      <c r="C614" t="s">
        <v>6925</v>
      </c>
      <c r="D614" s="13">
        <v>10</v>
      </c>
    </row>
    <row r="615" spans="3:4" x14ac:dyDescent="0.2">
      <c r="C615" t="s">
        <v>6981</v>
      </c>
      <c r="D615" s="13">
        <v>10</v>
      </c>
    </row>
    <row r="616" spans="3:4" x14ac:dyDescent="0.2">
      <c r="C616" t="s">
        <v>7027</v>
      </c>
      <c r="D616" s="13">
        <v>10</v>
      </c>
    </row>
    <row r="617" spans="3:4" x14ac:dyDescent="0.2">
      <c r="C617" t="s">
        <v>7150</v>
      </c>
      <c r="D617" s="13">
        <v>10</v>
      </c>
    </row>
    <row r="618" spans="3:4" x14ac:dyDescent="0.2">
      <c r="C618" t="s">
        <v>7260</v>
      </c>
      <c r="D618" s="13">
        <v>10</v>
      </c>
    </row>
    <row r="619" spans="3:4" x14ac:dyDescent="0.2">
      <c r="C619" t="s">
        <v>7313</v>
      </c>
      <c r="D619" s="13">
        <v>10</v>
      </c>
    </row>
    <row r="620" spans="3:4" x14ac:dyDescent="0.2">
      <c r="C620" t="s">
        <v>7560</v>
      </c>
      <c r="D620" s="13">
        <v>10</v>
      </c>
    </row>
    <row r="621" spans="3:4" x14ac:dyDescent="0.2">
      <c r="C621" t="s">
        <v>8073</v>
      </c>
      <c r="D621" s="13">
        <v>10</v>
      </c>
    </row>
    <row r="622" spans="3:4" x14ac:dyDescent="0.2">
      <c r="C622" t="s">
        <v>8196</v>
      </c>
      <c r="D622" s="13">
        <v>10</v>
      </c>
    </row>
    <row r="623" spans="3:4" x14ac:dyDescent="0.2">
      <c r="C623" t="s">
        <v>8199</v>
      </c>
      <c r="D623" s="13">
        <v>10</v>
      </c>
    </row>
    <row r="624" spans="3:4" x14ac:dyDescent="0.2">
      <c r="C624" t="s">
        <v>8550</v>
      </c>
      <c r="D624" s="13">
        <v>10</v>
      </c>
    </row>
    <row r="625" spans="3:4" x14ac:dyDescent="0.2">
      <c r="C625" t="s">
        <v>8622</v>
      </c>
      <c r="D625" s="13">
        <v>10</v>
      </c>
    </row>
    <row r="626" spans="3:4" x14ac:dyDescent="0.2">
      <c r="C626" t="s">
        <v>8693</v>
      </c>
      <c r="D626" s="13">
        <v>10</v>
      </c>
    </row>
    <row r="627" spans="3:4" x14ac:dyDescent="0.2">
      <c r="C627" t="s">
        <v>8700</v>
      </c>
      <c r="D627" s="13">
        <v>10</v>
      </c>
    </row>
    <row r="628" spans="3:4" x14ac:dyDescent="0.2">
      <c r="C628" t="s">
        <v>4080</v>
      </c>
      <c r="D628" s="13">
        <v>10</v>
      </c>
    </row>
    <row r="629" spans="3:4" x14ac:dyDescent="0.2">
      <c r="C629" t="s">
        <v>4452</v>
      </c>
      <c r="D629" s="13">
        <v>10</v>
      </c>
    </row>
    <row r="630" spans="3:4" x14ac:dyDescent="0.2">
      <c r="C630" t="s">
        <v>6156</v>
      </c>
      <c r="D630" s="13">
        <v>10</v>
      </c>
    </row>
    <row r="631" spans="3:4" x14ac:dyDescent="0.2">
      <c r="C631" t="s">
        <v>6184</v>
      </c>
      <c r="D631" s="13">
        <v>10</v>
      </c>
    </row>
    <row r="632" spans="3:4" x14ac:dyDescent="0.2">
      <c r="C632" t="s">
        <v>6610</v>
      </c>
      <c r="D632" s="13">
        <v>10</v>
      </c>
    </row>
    <row r="633" spans="3:4" x14ac:dyDescent="0.2">
      <c r="C633" t="s">
        <v>6957</v>
      </c>
      <c r="D633" s="13">
        <v>10</v>
      </c>
    </row>
    <row r="634" spans="3:4" x14ac:dyDescent="0.2">
      <c r="C634" t="s">
        <v>8195</v>
      </c>
      <c r="D634" s="13">
        <v>10</v>
      </c>
    </row>
    <row r="635" spans="3:4" x14ac:dyDescent="0.2">
      <c r="C635" t="s">
        <v>730</v>
      </c>
      <c r="D635" s="13">
        <v>10</v>
      </c>
    </row>
    <row r="636" spans="3:4" x14ac:dyDescent="0.2">
      <c r="C636" t="s">
        <v>1421</v>
      </c>
      <c r="D636" s="13">
        <v>10</v>
      </c>
    </row>
    <row r="637" spans="3:4" x14ac:dyDescent="0.2">
      <c r="C637" t="s">
        <v>2169</v>
      </c>
      <c r="D637" s="13">
        <v>10</v>
      </c>
    </row>
    <row r="638" spans="3:4" x14ac:dyDescent="0.2">
      <c r="C638" t="s">
        <v>2356</v>
      </c>
      <c r="D638" s="13">
        <v>10</v>
      </c>
    </row>
    <row r="639" spans="3:4" x14ac:dyDescent="0.2">
      <c r="C639" t="s">
        <v>2557</v>
      </c>
      <c r="D639" s="13">
        <v>10</v>
      </c>
    </row>
    <row r="640" spans="3:4" x14ac:dyDescent="0.2">
      <c r="C640" t="s">
        <v>3395</v>
      </c>
      <c r="D640" s="13">
        <v>10</v>
      </c>
    </row>
    <row r="641" spans="3:4" x14ac:dyDescent="0.2">
      <c r="C641" t="s">
        <v>6234</v>
      </c>
      <c r="D641" s="13">
        <v>10</v>
      </c>
    </row>
    <row r="642" spans="3:4" x14ac:dyDescent="0.2">
      <c r="C642" t="s">
        <v>7031</v>
      </c>
      <c r="D642" s="13">
        <v>10</v>
      </c>
    </row>
    <row r="643" spans="3:4" x14ac:dyDescent="0.2">
      <c r="C643" t="s">
        <v>7173</v>
      </c>
      <c r="D643" s="13">
        <v>10</v>
      </c>
    </row>
    <row r="644" spans="3:4" x14ac:dyDescent="0.2">
      <c r="C644" t="s">
        <v>225</v>
      </c>
      <c r="D644" s="13">
        <v>10</v>
      </c>
    </row>
    <row r="645" spans="3:4" x14ac:dyDescent="0.2">
      <c r="C645" t="s">
        <v>717</v>
      </c>
      <c r="D645" s="13">
        <v>10</v>
      </c>
    </row>
    <row r="646" spans="3:4" x14ac:dyDescent="0.2">
      <c r="C646" t="s">
        <v>718</v>
      </c>
      <c r="D646" s="13">
        <v>10</v>
      </c>
    </row>
    <row r="647" spans="3:4" x14ac:dyDescent="0.2">
      <c r="C647" t="s">
        <v>1837</v>
      </c>
      <c r="D647" s="13">
        <v>10</v>
      </c>
    </row>
    <row r="648" spans="3:4" x14ac:dyDescent="0.2">
      <c r="C648" t="s">
        <v>2321</v>
      </c>
      <c r="D648" s="13">
        <v>10</v>
      </c>
    </row>
    <row r="649" spans="3:4" x14ac:dyDescent="0.2">
      <c r="C649" t="s">
        <v>3061</v>
      </c>
      <c r="D649" s="13">
        <v>10</v>
      </c>
    </row>
    <row r="650" spans="3:4" x14ac:dyDescent="0.2">
      <c r="C650" t="s">
        <v>4202</v>
      </c>
      <c r="D650" s="13">
        <v>10</v>
      </c>
    </row>
    <row r="651" spans="3:4" x14ac:dyDescent="0.2">
      <c r="C651" t="s">
        <v>4555</v>
      </c>
      <c r="D651" s="13">
        <v>10</v>
      </c>
    </row>
    <row r="652" spans="3:4" x14ac:dyDescent="0.2">
      <c r="C652" t="s">
        <v>5766</v>
      </c>
      <c r="D652" s="13">
        <v>10</v>
      </c>
    </row>
    <row r="653" spans="3:4" x14ac:dyDescent="0.2">
      <c r="C653" t="s">
        <v>5962</v>
      </c>
      <c r="D653" s="13">
        <v>10</v>
      </c>
    </row>
    <row r="654" spans="3:4" x14ac:dyDescent="0.2">
      <c r="C654" t="s">
        <v>6342</v>
      </c>
      <c r="D654" s="13">
        <v>10</v>
      </c>
    </row>
    <row r="655" spans="3:4" x14ac:dyDescent="0.2">
      <c r="C655" t="s">
        <v>7063</v>
      </c>
      <c r="D655" s="13">
        <v>10</v>
      </c>
    </row>
    <row r="656" spans="3:4" x14ac:dyDescent="0.2">
      <c r="C656" t="s">
        <v>7874</v>
      </c>
      <c r="D656" s="13">
        <v>10</v>
      </c>
    </row>
    <row r="657" spans="3:4" x14ac:dyDescent="0.2">
      <c r="C657" t="s">
        <v>154</v>
      </c>
      <c r="D657" s="13">
        <v>10</v>
      </c>
    </row>
    <row r="658" spans="3:4" x14ac:dyDescent="0.2">
      <c r="C658" t="s">
        <v>185</v>
      </c>
      <c r="D658" s="13">
        <v>10</v>
      </c>
    </row>
    <row r="659" spans="3:4" x14ac:dyDescent="0.2">
      <c r="C659" t="s">
        <v>252</v>
      </c>
      <c r="D659" s="13">
        <v>10</v>
      </c>
    </row>
    <row r="660" spans="3:4" x14ac:dyDescent="0.2">
      <c r="C660" t="s">
        <v>302</v>
      </c>
      <c r="D660" s="13">
        <v>10</v>
      </c>
    </row>
    <row r="661" spans="3:4" x14ac:dyDescent="0.2">
      <c r="C661" t="s">
        <v>332</v>
      </c>
      <c r="D661" s="13">
        <v>10</v>
      </c>
    </row>
    <row r="662" spans="3:4" x14ac:dyDescent="0.2">
      <c r="C662" t="s">
        <v>367</v>
      </c>
      <c r="D662" s="13">
        <v>10</v>
      </c>
    </row>
    <row r="663" spans="3:4" x14ac:dyDescent="0.2">
      <c r="C663" t="s">
        <v>419</v>
      </c>
      <c r="D663" s="13">
        <v>10</v>
      </c>
    </row>
    <row r="664" spans="3:4" x14ac:dyDescent="0.2">
      <c r="C664" t="s">
        <v>451</v>
      </c>
      <c r="D664" s="13">
        <v>10</v>
      </c>
    </row>
    <row r="665" spans="3:4" x14ac:dyDescent="0.2">
      <c r="C665" t="s">
        <v>886</v>
      </c>
      <c r="D665" s="13">
        <v>10</v>
      </c>
    </row>
    <row r="666" spans="3:4" x14ac:dyDescent="0.2">
      <c r="C666" t="s">
        <v>1130</v>
      </c>
      <c r="D666" s="13">
        <v>10</v>
      </c>
    </row>
    <row r="667" spans="3:4" x14ac:dyDescent="0.2">
      <c r="C667" t="s">
        <v>1179</v>
      </c>
      <c r="D667" s="13">
        <v>10</v>
      </c>
    </row>
    <row r="668" spans="3:4" x14ac:dyDescent="0.2">
      <c r="C668" t="s">
        <v>1215</v>
      </c>
      <c r="D668" s="13">
        <v>10</v>
      </c>
    </row>
    <row r="669" spans="3:4" x14ac:dyDescent="0.2">
      <c r="C669" t="s">
        <v>1217</v>
      </c>
      <c r="D669" s="13">
        <v>10</v>
      </c>
    </row>
    <row r="670" spans="3:4" x14ac:dyDescent="0.2">
      <c r="C670" t="s">
        <v>1299</v>
      </c>
      <c r="D670" s="13">
        <v>10</v>
      </c>
    </row>
    <row r="671" spans="3:4" x14ac:dyDescent="0.2">
      <c r="C671" t="s">
        <v>1315</v>
      </c>
      <c r="D671" s="13">
        <v>10</v>
      </c>
    </row>
    <row r="672" spans="3:4" x14ac:dyDescent="0.2">
      <c r="C672" t="s">
        <v>1427</v>
      </c>
      <c r="D672" s="13">
        <v>10</v>
      </c>
    </row>
    <row r="673" spans="3:4" x14ac:dyDescent="0.2">
      <c r="C673" t="s">
        <v>1555</v>
      </c>
      <c r="D673" s="13">
        <v>10</v>
      </c>
    </row>
    <row r="674" spans="3:4" x14ac:dyDescent="0.2">
      <c r="C674" t="s">
        <v>1587</v>
      </c>
      <c r="D674" s="13">
        <v>10</v>
      </c>
    </row>
    <row r="675" spans="3:4" x14ac:dyDescent="0.2">
      <c r="C675" t="s">
        <v>1633</v>
      </c>
      <c r="D675" s="13">
        <v>10</v>
      </c>
    </row>
    <row r="676" spans="3:4" x14ac:dyDescent="0.2">
      <c r="C676" t="s">
        <v>1827</v>
      </c>
      <c r="D676" s="13">
        <v>10</v>
      </c>
    </row>
    <row r="677" spans="3:4" x14ac:dyDescent="0.2">
      <c r="C677" t="s">
        <v>1878</v>
      </c>
      <c r="D677" s="13">
        <v>10</v>
      </c>
    </row>
    <row r="678" spans="3:4" x14ac:dyDescent="0.2">
      <c r="C678" t="s">
        <v>1945</v>
      </c>
      <c r="D678" s="13">
        <v>10</v>
      </c>
    </row>
    <row r="679" spans="3:4" x14ac:dyDescent="0.2">
      <c r="C679" t="s">
        <v>1991</v>
      </c>
      <c r="D679" s="13">
        <v>10</v>
      </c>
    </row>
    <row r="680" spans="3:4" x14ac:dyDescent="0.2">
      <c r="C680" t="s">
        <v>1999</v>
      </c>
      <c r="D680" s="13">
        <v>10</v>
      </c>
    </row>
    <row r="681" spans="3:4" x14ac:dyDescent="0.2">
      <c r="C681" t="s">
        <v>2391</v>
      </c>
      <c r="D681" s="13">
        <v>10</v>
      </c>
    </row>
    <row r="682" spans="3:4" x14ac:dyDescent="0.2">
      <c r="C682" t="s">
        <v>2471</v>
      </c>
      <c r="D682" s="13">
        <v>10</v>
      </c>
    </row>
    <row r="683" spans="3:4" x14ac:dyDescent="0.2">
      <c r="C683" t="s">
        <v>2495</v>
      </c>
      <c r="D683" s="13">
        <v>10</v>
      </c>
    </row>
    <row r="684" spans="3:4" x14ac:dyDescent="0.2">
      <c r="C684" t="s">
        <v>2503</v>
      </c>
      <c r="D684" s="13">
        <v>10</v>
      </c>
    </row>
    <row r="685" spans="3:4" x14ac:dyDescent="0.2">
      <c r="C685" t="s">
        <v>2507</v>
      </c>
      <c r="D685" s="13">
        <v>10</v>
      </c>
    </row>
    <row r="686" spans="3:4" x14ac:dyDescent="0.2">
      <c r="C686" t="s">
        <v>2849</v>
      </c>
      <c r="D686" s="13">
        <v>10</v>
      </c>
    </row>
    <row r="687" spans="3:4" x14ac:dyDescent="0.2">
      <c r="C687" t="s">
        <v>2895</v>
      </c>
      <c r="D687" s="13">
        <v>10</v>
      </c>
    </row>
    <row r="688" spans="3:4" x14ac:dyDescent="0.2">
      <c r="C688" t="s">
        <v>2962</v>
      </c>
      <c r="D688" s="13">
        <v>10</v>
      </c>
    </row>
    <row r="689" spans="3:4" x14ac:dyDescent="0.2">
      <c r="C689" t="s">
        <v>2979</v>
      </c>
      <c r="D689" s="13">
        <v>10</v>
      </c>
    </row>
    <row r="690" spans="3:4" x14ac:dyDescent="0.2">
      <c r="C690" t="s">
        <v>3018</v>
      </c>
      <c r="D690" s="13">
        <v>10</v>
      </c>
    </row>
    <row r="691" spans="3:4" x14ac:dyDescent="0.2">
      <c r="C691" t="s">
        <v>3034</v>
      </c>
      <c r="D691" s="13">
        <v>10</v>
      </c>
    </row>
    <row r="692" spans="3:4" x14ac:dyDescent="0.2">
      <c r="C692" t="s">
        <v>3146</v>
      </c>
      <c r="D692" s="13">
        <v>10</v>
      </c>
    </row>
    <row r="693" spans="3:4" x14ac:dyDescent="0.2">
      <c r="C693" t="s">
        <v>3339</v>
      </c>
      <c r="D693" s="13">
        <v>10</v>
      </c>
    </row>
    <row r="694" spans="3:4" x14ac:dyDescent="0.2">
      <c r="C694" t="s">
        <v>3485</v>
      </c>
      <c r="D694" s="13">
        <v>10</v>
      </c>
    </row>
    <row r="695" spans="3:4" x14ac:dyDescent="0.2">
      <c r="C695" t="s">
        <v>3649</v>
      </c>
      <c r="D695" s="13">
        <v>10</v>
      </c>
    </row>
    <row r="696" spans="3:4" x14ac:dyDescent="0.2">
      <c r="C696" t="s">
        <v>3964</v>
      </c>
      <c r="D696" s="13">
        <v>10</v>
      </c>
    </row>
    <row r="697" spans="3:4" x14ac:dyDescent="0.2">
      <c r="C697" t="s">
        <v>4178</v>
      </c>
      <c r="D697" s="13">
        <v>10</v>
      </c>
    </row>
    <row r="698" spans="3:4" x14ac:dyDescent="0.2">
      <c r="C698" t="s">
        <v>4348</v>
      </c>
      <c r="D698" s="13">
        <v>10</v>
      </c>
    </row>
    <row r="699" spans="3:4" x14ac:dyDescent="0.2">
      <c r="C699" t="s">
        <v>4358</v>
      </c>
      <c r="D699" s="13">
        <v>10</v>
      </c>
    </row>
    <row r="700" spans="3:4" x14ac:dyDescent="0.2">
      <c r="C700" t="s">
        <v>4729</v>
      </c>
      <c r="D700" s="13">
        <v>10</v>
      </c>
    </row>
    <row r="701" spans="3:4" x14ac:dyDescent="0.2">
      <c r="C701" t="s">
        <v>4878</v>
      </c>
      <c r="D701" s="13">
        <v>10</v>
      </c>
    </row>
    <row r="702" spans="3:4" x14ac:dyDescent="0.2">
      <c r="C702" t="s">
        <v>4984</v>
      </c>
      <c r="D702" s="13">
        <v>10</v>
      </c>
    </row>
    <row r="703" spans="3:4" x14ac:dyDescent="0.2">
      <c r="C703" t="s">
        <v>5137</v>
      </c>
      <c r="D703" s="13">
        <v>10</v>
      </c>
    </row>
    <row r="704" spans="3:4" x14ac:dyDescent="0.2">
      <c r="C704" t="s">
        <v>5276</v>
      </c>
      <c r="D704" s="13">
        <v>10</v>
      </c>
    </row>
    <row r="705" spans="3:4" x14ac:dyDescent="0.2">
      <c r="C705" t="s">
        <v>5325</v>
      </c>
      <c r="D705" s="13">
        <v>10</v>
      </c>
    </row>
    <row r="706" spans="3:4" x14ac:dyDescent="0.2">
      <c r="C706" t="s">
        <v>5591</v>
      </c>
      <c r="D706" s="13">
        <v>10</v>
      </c>
    </row>
    <row r="707" spans="3:4" x14ac:dyDescent="0.2">
      <c r="C707" t="s">
        <v>5671</v>
      </c>
      <c r="D707" s="13">
        <v>10</v>
      </c>
    </row>
    <row r="708" spans="3:4" x14ac:dyDescent="0.2">
      <c r="C708" t="s">
        <v>5770</v>
      </c>
      <c r="D708" s="13">
        <v>10</v>
      </c>
    </row>
    <row r="709" spans="3:4" x14ac:dyDescent="0.2">
      <c r="C709" t="s">
        <v>5853</v>
      </c>
      <c r="D709" s="13">
        <v>10</v>
      </c>
    </row>
    <row r="710" spans="3:4" x14ac:dyDescent="0.2">
      <c r="C710" t="s">
        <v>5882</v>
      </c>
      <c r="D710" s="13">
        <v>10</v>
      </c>
    </row>
    <row r="711" spans="3:4" x14ac:dyDescent="0.2">
      <c r="C711" t="s">
        <v>6050</v>
      </c>
      <c r="D711" s="13">
        <v>10</v>
      </c>
    </row>
    <row r="712" spans="3:4" x14ac:dyDescent="0.2">
      <c r="C712" t="s">
        <v>6178</v>
      </c>
      <c r="D712" s="13">
        <v>10</v>
      </c>
    </row>
    <row r="713" spans="3:4" x14ac:dyDescent="0.2">
      <c r="C713" t="s">
        <v>6193</v>
      </c>
      <c r="D713" s="13">
        <v>10</v>
      </c>
    </row>
    <row r="714" spans="3:4" x14ac:dyDescent="0.2">
      <c r="C714" t="s">
        <v>6199</v>
      </c>
      <c r="D714" s="13">
        <v>10</v>
      </c>
    </row>
    <row r="715" spans="3:4" x14ac:dyDescent="0.2">
      <c r="C715" t="s">
        <v>6233</v>
      </c>
      <c r="D715" s="13">
        <v>10</v>
      </c>
    </row>
    <row r="716" spans="3:4" x14ac:dyDescent="0.2">
      <c r="C716" t="s">
        <v>6249</v>
      </c>
      <c r="D716" s="13">
        <v>10</v>
      </c>
    </row>
    <row r="717" spans="3:4" x14ac:dyDescent="0.2">
      <c r="C717" t="s">
        <v>6341</v>
      </c>
      <c r="D717" s="13">
        <v>10</v>
      </c>
    </row>
    <row r="718" spans="3:4" x14ac:dyDescent="0.2">
      <c r="C718" t="s">
        <v>6447</v>
      </c>
      <c r="D718" s="13">
        <v>10</v>
      </c>
    </row>
    <row r="719" spans="3:4" x14ac:dyDescent="0.2">
      <c r="C719" t="s">
        <v>6448</v>
      </c>
      <c r="D719" s="13">
        <v>10</v>
      </c>
    </row>
    <row r="720" spans="3:4" x14ac:dyDescent="0.2">
      <c r="C720" t="s">
        <v>6722</v>
      </c>
      <c r="D720" s="13">
        <v>10</v>
      </c>
    </row>
    <row r="721" spans="3:4" x14ac:dyDescent="0.2">
      <c r="C721" t="s">
        <v>6723</v>
      </c>
      <c r="D721" s="13">
        <v>10</v>
      </c>
    </row>
    <row r="722" spans="3:4" x14ac:dyDescent="0.2">
      <c r="C722" t="s">
        <v>6805</v>
      </c>
      <c r="D722" s="13">
        <v>10</v>
      </c>
    </row>
    <row r="723" spans="3:4" x14ac:dyDescent="0.2">
      <c r="C723" t="s">
        <v>6865</v>
      </c>
      <c r="D723" s="13">
        <v>10</v>
      </c>
    </row>
    <row r="724" spans="3:4" x14ac:dyDescent="0.2">
      <c r="C724" t="s">
        <v>7114</v>
      </c>
      <c r="D724" s="13">
        <v>10</v>
      </c>
    </row>
    <row r="725" spans="3:4" x14ac:dyDescent="0.2">
      <c r="C725" t="s">
        <v>7809</v>
      </c>
      <c r="D725" s="13">
        <v>10</v>
      </c>
    </row>
    <row r="726" spans="3:4" x14ac:dyDescent="0.2">
      <c r="C726" t="s">
        <v>7831</v>
      </c>
      <c r="D726" s="13">
        <v>10</v>
      </c>
    </row>
    <row r="727" spans="3:4" x14ac:dyDescent="0.2">
      <c r="C727" t="s">
        <v>7880</v>
      </c>
      <c r="D727" s="13">
        <v>10</v>
      </c>
    </row>
    <row r="728" spans="3:4" x14ac:dyDescent="0.2">
      <c r="C728" t="s">
        <v>7957</v>
      </c>
      <c r="D728" s="13">
        <v>10</v>
      </c>
    </row>
    <row r="729" spans="3:4" x14ac:dyDescent="0.2">
      <c r="C729" t="s">
        <v>8065</v>
      </c>
      <c r="D729" s="13">
        <v>10</v>
      </c>
    </row>
    <row r="730" spans="3:4" x14ac:dyDescent="0.2">
      <c r="C730" t="s">
        <v>8175</v>
      </c>
      <c r="D730" s="13">
        <v>10</v>
      </c>
    </row>
    <row r="731" spans="3:4" x14ac:dyDescent="0.2">
      <c r="C731" t="s">
        <v>8253</v>
      </c>
      <c r="D731" s="13">
        <v>10</v>
      </c>
    </row>
    <row r="732" spans="3:4" x14ac:dyDescent="0.2">
      <c r="C732" t="s">
        <v>8362</v>
      </c>
      <c r="D732" s="13">
        <v>10</v>
      </c>
    </row>
    <row r="733" spans="3:4" x14ac:dyDescent="0.2">
      <c r="C733" t="s">
        <v>8446</v>
      </c>
      <c r="D733" s="13">
        <v>10</v>
      </c>
    </row>
    <row r="734" spans="3:4" x14ac:dyDescent="0.2">
      <c r="C734" t="s">
        <v>8471</v>
      </c>
      <c r="D734" s="13">
        <v>10</v>
      </c>
    </row>
    <row r="735" spans="3:4" x14ac:dyDescent="0.2">
      <c r="C735" t="s">
        <v>334</v>
      </c>
      <c r="D735" s="13">
        <v>10</v>
      </c>
    </row>
    <row r="736" spans="3:4" x14ac:dyDescent="0.2">
      <c r="C736" t="s">
        <v>569</v>
      </c>
      <c r="D736" s="13">
        <v>10</v>
      </c>
    </row>
    <row r="737" spans="3:4" x14ac:dyDescent="0.2">
      <c r="C737" t="s">
        <v>618</v>
      </c>
      <c r="D737" s="13">
        <v>10</v>
      </c>
    </row>
    <row r="738" spans="3:4" x14ac:dyDescent="0.2">
      <c r="C738" t="s">
        <v>678</v>
      </c>
      <c r="D738" s="13">
        <v>10</v>
      </c>
    </row>
    <row r="739" spans="3:4" x14ac:dyDescent="0.2">
      <c r="C739" t="s">
        <v>997</v>
      </c>
      <c r="D739" s="13">
        <v>10</v>
      </c>
    </row>
    <row r="740" spans="3:4" x14ac:dyDescent="0.2">
      <c r="C740" t="s">
        <v>1305</v>
      </c>
      <c r="D740" s="13">
        <v>10</v>
      </c>
    </row>
    <row r="741" spans="3:4" x14ac:dyDescent="0.2">
      <c r="C741" t="s">
        <v>1433</v>
      </c>
      <c r="D741" s="13">
        <v>10</v>
      </c>
    </row>
    <row r="742" spans="3:4" x14ac:dyDescent="0.2">
      <c r="C742" t="s">
        <v>1761</v>
      </c>
      <c r="D742" s="13">
        <v>10</v>
      </c>
    </row>
    <row r="743" spans="3:4" x14ac:dyDescent="0.2">
      <c r="C743" t="s">
        <v>1780</v>
      </c>
      <c r="D743" s="13">
        <v>10</v>
      </c>
    </row>
    <row r="744" spans="3:4" x14ac:dyDescent="0.2">
      <c r="C744" t="s">
        <v>2019</v>
      </c>
      <c r="D744" s="13">
        <v>10</v>
      </c>
    </row>
    <row r="745" spans="3:4" x14ac:dyDescent="0.2">
      <c r="C745" t="s">
        <v>2185</v>
      </c>
      <c r="D745" s="13">
        <v>10</v>
      </c>
    </row>
    <row r="746" spans="3:4" x14ac:dyDescent="0.2">
      <c r="C746" t="s">
        <v>3059</v>
      </c>
      <c r="D746" s="13">
        <v>10</v>
      </c>
    </row>
    <row r="747" spans="3:4" x14ac:dyDescent="0.2">
      <c r="C747" t="s">
        <v>3222</v>
      </c>
      <c r="D747" s="13">
        <v>10</v>
      </c>
    </row>
    <row r="748" spans="3:4" x14ac:dyDescent="0.2">
      <c r="C748" t="s">
        <v>3439</v>
      </c>
      <c r="D748" s="13">
        <v>10</v>
      </c>
    </row>
    <row r="749" spans="3:4" x14ac:dyDescent="0.2">
      <c r="C749" t="s">
        <v>3449</v>
      </c>
      <c r="D749" s="13">
        <v>10</v>
      </c>
    </row>
    <row r="750" spans="3:4" x14ac:dyDescent="0.2">
      <c r="C750" t="s">
        <v>3873</v>
      </c>
      <c r="D750" s="13">
        <v>10</v>
      </c>
    </row>
    <row r="751" spans="3:4" x14ac:dyDescent="0.2">
      <c r="C751" t="s">
        <v>4090</v>
      </c>
      <c r="D751" s="13">
        <v>10</v>
      </c>
    </row>
    <row r="752" spans="3:4" x14ac:dyDescent="0.2">
      <c r="C752" t="s">
        <v>4390</v>
      </c>
      <c r="D752" s="13">
        <v>10</v>
      </c>
    </row>
    <row r="753" spans="3:4" x14ac:dyDescent="0.2">
      <c r="C753" t="s">
        <v>4624</v>
      </c>
      <c r="D753" s="13">
        <v>10</v>
      </c>
    </row>
    <row r="754" spans="3:4" x14ac:dyDescent="0.2">
      <c r="C754" t="s">
        <v>4944</v>
      </c>
      <c r="D754" s="13">
        <v>10</v>
      </c>
    </row>
    <row r="755" spans="3:4" x14ac:dyDescent="0.2">
      <c r="C755" t="s">
        <v>5074</v>
      </c>
      <c r="D755" s="13">
        <v>10</v>
      </c>
    </row>
    <row r="756" spans="3:4" x14ac:dyDescent="0.2">
      <c r="C756" t="s">
        <v>5341</v>
      </c>
      <c r="D756" s="13">
        <v>10</v>
      </c>
    </row>
    <row r="757" spans="3:4" x14ac:dyDescent="0.2">
      <c r="C757" t="s">
        <v>5343</v>
      </c>
      <c r="D757" s="13">
        <v>10</v>
      </c>
    </row>
    <row r="758" spans="3:4" x14ac:dyDescent="0.2">
      <c r="C758" t="s">
        <v>5401</v>
      </c>
      <c r="D758" s="13">
        <v>10</v>
      </c>
    </row>
    <row r="759" spans="3:4" x14ac:dyDescent="0.2">
      <c r="C759" t="s">
        <v>5877</v>
      </c>
      <c r="D759" s="13">
        <v>10</v>
      </c>
    </row>
    <row r="760" spans="3:4" x14ac:dyDescent="0.2">
      <c r="C760" t="s">
        <v>6164</v>
      </c>
      <c r="D760" s="13">
        <v>10</v>
      </c>
    </row>
    <row r="761" spans="3:4" x14ac:dyDescent="0.2">
      <c r="C761" t="s">
        <v>6211</v>
      </c>
      <c r="D761" s="13">
        <v>10</v>
      </c>
    </row>
    <row r="762" spans="3:4" x14ac:dyDescent="0.2">
      <c r="C762" t="s">
        <v>6232</v>
      </c>
      <c r="D762" s="13">
        <v>10</v>
      </c>
    </row>
    <row r="763" spans="3:4" x14ac:dyDescent="0.2">
      <c r="C763" t="s">
        <v>6547</v>
      </c>
      <c r="D763" s="13">
        <v>10</v>
      </c>
    </row>
    <row r="764" spans="3:4" x14ac:dyDescent="0.2">
      <c r="C764" t="s">
        <v>6888</v>
      </c>
      <c r="D764" s="13">
        <v>10</v>
      </c>
    </row>
    <row r="765" spans="3:4" x14ac:dyDescent="0.2">
      <c r="C765" t="s">
        <v>6938</v>
      </c>
      <c r="D765" s="13">
        <v>10</v>
      </c>
    </row>
    <row r="766" spans="3:4" x14ac:dyDescent="0.2">
      <c r="C766" t="s">
        <v>7055</v>
      </c>
      <c r="D766" s="13">
        <v>10</v>
      </c>
    </row>
    <row r="767" spans="3:4" x14ac:dyDescent="0.2">
      <c r="C767" t="s">
        <v>7427</v>
      </c>
      <c r="D767" s="13">
        <v>10</v>
      </c>
    </row>
    <row r="768" spans="3:4" x14ac:dyDescent="0.2">
      <c r="C768" t="s">
        <v>7660</v>
      </c>
      <c r="D768" s="13">
        <v>10</v>
      </c>
    </row>
    <row r="769" spans="3:4" x14ac:dyDescent="0.2">
      <c r="C769" t="s">
        <v>7999</v>
      </c>
      <c r="D769" s="13">
        <v>10</v>
      </c>
    </row>
    <row r="770" spans="3:4" x14ac:dyDescent="0.2">
      <c r="C770" t="s">
        <v>8008</v>
      </c>
      <c r="D770" s="13">
        <v>10</v>
      </c>
    </row>
    <row r="771" spans="3:4" x14ac:dyDescent="0.2">
      <c r="C771" t="s">
        <v>8009</v>
      </c>
      <c r="D771" s="13">
        <v>10</v>
      </c>
    </row>
    <row r="772" spans="3:4" x14ac:dyDescent="0.2">
      <c r="C772" t="s">
        <v>8262</v>
      </c>
      <c r="D772" s="13">
        <v>10</v>
      </c>
    </row>
    <row r="773" spans="3:4" x14ac:dyDescent="0.2">
      <c r="C773" t="s">
        <v>8477</v>
      </c>
      <c r="D773" s="13">
        <v>10</v>
      </c>
    </row>
    <row r="774" spans="3:4" x14ac:dyDescent="0.2">
      <c r="C774" t="s">
        <v>8565</v>
      </c>
      <c r="D774" s="13">
        <v>10</v>
      </c>
    </row>
    <row r="775" spans="3:4" x14ac:dyDescent="0.2">
      <c r="C775" t="s">
        <v>211</v>
      </c>
      <c r="D775" s="13">
        <v>10</v>
      </c>
    </row>
    <row r="776" spans="3:4" x14ac:dyDescent="0.2">
      <c r="C776" t="s">
        <v>766</v>
      </c>
      <c r="D776" s="13">
        <v>10</v>
      </c>
    </row>
    <row r="777" spans="3:4" x14ac:dyDescent="0.2">
      <c r="C777" t="s">
        <v>1017</v>
      </c>
      <c r="D777" s="13">
        <v>10</v>
      </c>
    </row>
    <row r="778" spans="3:4" x14ac:dyDescent="0.2">
      <c r="C778" t="s">
        <v>1652</v>
      </c>
      <c r="D778" s="13">
        <v>10</v>
      </c>
    </row>
    <row r="779" spans="3:4" x14ac:dyDescent="0.2">
      <c r="C779" t="s">
        <v>1734</v>
      </c>
      <c r="D779" s="13">
        <v>10</v>
      </c>
    </row>
    <row r="780" spans="3:4" x14ac:dyDescent="0.2">
      <c r="C780" t="s">
        <v>1926</v>
      </c>
      <c r="D780" s="13">
        <v>10</v>
      </c>
    </row>
    <row r="781" spans="3:4" x14ac:dyDescent="0.2">
      <c r="C781" t="s">
        <v>2264</v>
      </c>
      <c r="D781" s="13">
        <v>10</v>
      </c>
    </row>
    <row r="782" spans="3:4" x14ac:dyDescent="0.2">
      <c r="C782" t="s">
        <v>2384</v>
      </c>
      <c r="D782" s="13">
        <v>10</v>
      </c>
    </row>
    <row r="783" spans="3:4" x14ac:dyDescent="0.2">
      <c r="C783" t="s">
        <v>2429</v>
      </c>
      <c r="D783" s="13">
        <v>10</v>
      </c>
    </row>
    <row r="784" spans="3:4" x14ac:dyDescent="0.2">
      <c r="C784" t="s">
        <v>3202</v>
      </c>
      <c r="D784" s="13">
        <v>10</v>
      </c>
    </row>
    <row r="785" spans="3:4" x14ac:dyDescent="0.2">
      <c r="C785" t="s">
        <v>3457</v>
      </c>
      <c r="D785" s="13">
        <v>10</v>
      </c>
    </row>
    <row r="786" spans="3:4" x14ac:dyDescent="0.2">
      <c r="C786" t="s">
        <v>3815</v>
      </c>
      <c r="D786" s="13">
        <v>10</v>
      </c>
    </row>
    <row r="787" spans="3:4" x14ac:dyDescent="0.2">
      <c r="C787" t="s">
        <v>3970</v>
      </c>
      <c r="D787" s="13">
        <v>10</v>
      </c>
    </row>
    <row r="788" spans="3:4" x14ac:dyDescent="0.2">
      <c r="C788" t="s">
        <v>4366</v>
      </c>
      <c r="D788" s="13">
        <v>10</v>
      </c>
    </row>
    <row r="789" spans="3:4" x14ac:dyDescent="0.2">
      <c r="C789" t="s">
        <v>4677</v>
      </c>
      <c r="D789" s="13">
        <v>10</v>
      </c>
    </row>
    <row r="790" spans="3:4" x14ac:dyDescent="0.2">
      <c r="C790" t="s">
        <v>4864</v>
      </c>
      <c r="D790" s="13">
        <v>10</v>
      </c>
    </row>
    <row r="791" spans="3:4" x14ac:dyDescent="0.2">
      <c r="C791" t="s">
        <v>4969</v>
      </c>
      <c r="D791" s="13">
        <v>10</v>
      </c>
    </row>
    <row r="792" spans="3:4" x14ac:dyDescent="0.2">
      <c r="C792" t="s">
        <v>5005</v>
      </c>
      <c r="D792" s="13">
        <v>10</v>
      </c>
    </row>
    <row r="793" spans="3:4" x14ac:dyDescent="0.2">
      <c r="C793" t="s">
        <v>5067</v>
      </c>
      <c r="D793" s="13">
        <v>10</v>
      </c>
    </row>
    <row r="794" spans="3:4" x14ac:dyDescent="0.2">
      <c r="C794" t="s">
        <v>5086</v>
      </c>
      <c r="D794" s="13">
        <v>10</v>
      </c>
    </row>
    <row r="795" spans="3:4" x14ac:dyDescent="0.2">
      <c r="C795" t="s">
        <v>5623</v>
      </c>
      <c r="D795" s="13">
        <v>10</v>
      </c>
    </row>
    <row r="796" spans="3:4" x14ac:dyDescent="0.2">
      <c r="C796" t="s">
        <v>5647</v>
      </c>
      <c r="D796" s="13">
        <v>10</v>
      </c>
    </row>
    <row r="797" spans="3:4" x14ac:dyDescent="0.2">
      <c r="C797" t="s">
        <v>6024</v>
      </c>
      <c r="D797" s="13">
        <v>10</v>
      </c>
    </row>
    <row r="798" spans="3:4" x14ac:dyDescent="0.2">
      <c r="C798" t="s">
        <v>6028</v>
      </c>
      <c r="D798" s="13">
        <v>10</v>
      </c>
    </row>
    <row r="799" spans="3:4" x14ac:dyDescent="0.2">
      <c r="C799" t="s">
        <v>6071</v>
      </c>
      <c r="D799" s="13">
        <v>10</v>
      </c>
    </row>
    <row r="800" spans="3:4" x14ac:dyDescent="0.2">
      <c r="C800" t="s">
        <v>6321</v>
      </c>
      <c r="D800" s="13">
        <v>10</v>
      </c>
    </row>
    <row r="801" spans="3:4" x14ac:dyDescent="0.2">
      <c r="C801" t="s">
        <v>6589</v>
      </c>
      <c r="D801" s="13">
        <v>10</v>
      </c>
    </row>
    <row r="802" spans="3:4" x14ac:dyDescent="0.2">
      <c r="C802" t="s">
        <v>6600</v>
      </c>
      <c r="D802" s="13">
        <v>10</v>
      </c>
    </row>
    <row r="803" spans="3:4" x14ac:dyDescent="0.2">
      <c r="C803" t="s">
        <v>6612</v>
      </c>
      <c r="D803" s="13">
        <v>10</v>
      </c>
    </row>
    <row r="804" spans="3:4" x14ac:dyDescent="0.2">
      <c r="C804" t="s">
        <v>6620</v>
      </c>
      <c r="D804" s="13">
        <v>10</v>
      </c>
    </row>
    <row r="805" spans="3:4" x14ac:dyDescent="0.2">
      <c r="C805" t="s">
        <v>6774</v>
      </c>
      <c r="D805" s="13">
        <v>10</v>
      </c>
    </row>
    <row r="806" spans="3:4" x14ac:dyDescent="0.2">
      <c r="C806" t="s">
        <v>6861</v>
      </c>
      <c r="D806" s="13">
        <v>10</v>
      </c>
    </row>
    <row r="807" spans="3:4" x14ac:dyDescent="0.2">
      <c r="C807" t="s">
        <v>6929</v>
      </c>
      <c r="D807" s="13">
        <v>10</v>
      </c>
    </row>
    <row r="808" spans="3:4" x14ac:dyDescent="0.2">
      <c r="C808" t="s">
        <v>7247</v>
      </c>
      <c r="D808" s="13">
        <v>10</v>
      </c>
    </row>
    <row r="809" spans="3:4" x14ac:dyDescent="0.2">
      <c r="C809" t="s">
        <v>7702</v>
      </c>
      <c r="D809" s="13">
        <v>10</v>
      </c>
    </row>
    <row r="810" spans="3:4" x14ac:dyDescent="0.2">
      <c r="C810" t="s">
        <v>7723</v>
      </c>
      <c r="D810" s="13">
        <v>10</v>
      </c>
    </row>
    <row r="811" spans="3:4" x14ac:dyDescent="0.2">
      <c r="C811" t="s">
        <v>7983</v>
      </c>
      <c r="D811" s="13">
        <v>10</v>
      </c>
    </row>
    <row r="812" spans="3:4" x14ac:dyDescent="0.2">
      <c r="C812" t="s">
        <v>170</v>
      </c>
      <c r="D812" s="13">
        <v>10</v>
      </c>
    </row>
    <row r="813" spans="3:4" x14ac:dyDescent="0.2">
      <c r="C813" t="s">
        <v>193</v>
      </c>
      <c r="D813" s="13">
        <v>10</v>
      </c>
    </row>
    <row r="814" spans="3:4" x14ac:dyDescent="0.2">
      <c r="C814" t="s">
        <v>234</v>
      </c>
      <c r="D814" s="13">
        <v>10</v>
      </c>
    </row>
    <row r="815" spans="3:4" x14ac:dyDescent="0.2">
      <c r="C815" t="s">
        <v>242</v>
      </c>
      <c r="D815" s="13">
        <v>10</v>
      </c>
    </row>
    <row r="816" spans="3:4" x14ac:dyDescent="0.2">
      <c r="C816" t="s">
        <v>274</v>
      </c>
      <c r="D816" s="13">
        <v>10</v>
      </c>
    </row>
    <row r="817" spans="3:4" x14ac:dyDescent="0.2">
      <c r="C817" t="s">
        <v>298</v>
      </c>
      <c r="D817" s="13">
        <v>10</v>
      </c>
    </row>
    <row r="818" spans="3:4" x14ac:dyDescent="0.2">
      <c r="C818" t="s">
        <v>371</v>
      </c>
      <c r="D818" s="13">
        <v>10</v>
      </c>
    </row>
    <row r="819" spans="3:4" x14ac:dyDescent="0.2">
      <c r="C819" t="s">
        <v>383</v>
      </c>
      <c r="D819" s="13">
        <v>10</v>
      </c>
    </row>
    <row r="820" spans="3:4" x14ac:dyDescent="0.2">
      <c r="C820" t="s">
        <v>389</v>
      </c>
      <c r="D820" s="13">
        <v>10</v>
      </c>
    </row>
    <row r="821" spans="3:4" x14ac:dyDescent="0.2">
      <c r="C821" t="s">
        <v>423</v>
      </c>
      <c r="D821" s="13">
        <v>10</v>
      </c>
    </row>
    <row r="822" spans="3:4" x14ac:dyDescent="0.2">
      <c r="C822" t="s">
        <v>437</v>
      </c>
      <c r="D822" s="13">
        <v>10</v>
      </c>
    </row>
    <row r="823" spans="3:4" x14ac:dyDescent="0.2">
      <c r="C823" t="s">
        <v>592</v>
      </c>
      <c r="D823" s="13">
        <v>10</v>
      </c>
    </row>
    <row r="824" spans="3:4" x14ac:dyDescent="0.2">
      <c r="C824" t="s">
        <v>631</v>
      </c>
      <c r="D824" s="13">
        <v>10</v>
      </c>
    </row>
    <row r="825" spans="3:4" x14ac:dyDescent="0.2">
      <c r="C825" t="s">
        <v>680</v>
      </c>
      <c r="D825" s="13">
        <v>10</v>
      </c>
    </row>
    <row r="826" spans="3:4" x14ac:dyDescent="0.2">
      <c r="C826" t="s">
        <v>784</v>
      </c>
      <c r="D826" s="13">
        <v>10</v>
      </c>
    </row>
    <row r="827" spans="3:4" x14ac:dyDescent="0.2">
      <c r="C827" t="s">
        <v>795</v>
      </c>
      <c r="D827" s="13">
        <v>10</v>
      </c>
    </row>
    <row r="828" spans="3:4" x14ac:dyDescent="0.2">
      <c r="C828" t="s">
        <v>898</v>
      </c>
      <c r="D828" s="13">
        <v>10</v>
      </c>
    </row>
    <row r="829" spans="3:4" x14ac:dyDescent="0.2">
      <c r="C829" t="s">
        <v>985</v>
      </c>
      <c r="D829" s="13">
        <v>10</v>
      </c>
    </row>
    <row r="830" spans="3:4" x14ac:dyDescent="0.2">
      <c r="C830" t="s">
        <v>994</v>
      </c>
      <c r="D830" s="13">
        <v>10</v>
      </c>
    </row>
    <row r="831" spans="3:4" x14ac:dyDescent="0.2">
      <c r="C831" t="s">
        <v>996</v>
      </c>
      <c r="D831" s="13">
        <v>10</v>
      </c>
    </row>
    <row r="832" spans="3:4" x14ac:dyDescent="0.2">
      <c r="C832" t="s">
        <v>1043</v>
      </c>
      <c r="D832" s="13">
        <v>10</v>
      </c>
    </row>
    <row r="833" spans="3:4" x14ac:dyDescent="0.2">
      <c r="C833" t="s">
        <v>1069</v>
      </c>
      <c r="D833" s="13">
        <v>10</v>
      </c>
    </row>
    <row r="834" spans="3:4" x14ac:dyDescent="0.2">
      <c r="C834" t="s">
        <v>1083</v>
      </c>
      <c r="D834" s="13">
        <v>10</v>
      </c>
    </row>
    <row r="835" spans="3:4" x14ac:dyDescent="0.2">
      <c r="C835" t="s">
        <v>1084</v>
      </c>
      <c r="D835" s="13">
        <v>10</v>
      </c>
    </row>
    <row r="836" spans="3:4" x14ac:dyDescent="0.2">
      <c r="C836" t="s">
        <v>1120</v>
      </c>
      <c r="D836" s="13">
        <v>10</v>
      </c>
    </row>
    <row r="837" spans="3:4" x14ac:dyDescent="0.2">
      <c r="C837" t="s">
        <v>1171</v>
      </c>
      <c r="D837" s="13">
        <v>10</v>
      </c>
    </row>
    <row r="838" spans="3:4" x14ac:dyDescent="0.2">
      <c r="C838" t="s">
        <v>1259</v>
      </c>
      <c r="D838" s="13">
        <v>10</v>
      </c>
    </row>
    <row r="839" spans="3:4" x14ac:dyDescent="0.2">
      <c r="C839" t="s">
        <v>1270</v>
      </c>
      <c r="D839" s="13">
        <v>10</v>
      </c>
    </row>
    <row r="840" spans="3:4" x14ac:dyDescent="0.2">
      <c r="C840" t="s">
        <v>1350</v>
      </c>
      <c r="D840" s="13">
        <v>10</v>
      </c>
    </row>
    <row r="841" spans="3:4" x14ac:dyDescent="0.2">
      <c r="C841" t="s">
        <v>1368</v>
      </c>
      <c r="D841" s="13">
        <v>10</v>
      </c>
    </row>
    <row r="842" spans="3:4" x14ac:dyDescent="0.2">
      <c r="C842" t="s">
        <v>1402</v>
      </c>
      <c r="D842" s="13">
        <v>10</v>
      </c>
    </row>
    <row r="843" spans="3:4" x14ac:dyDescent="0.2">
      <c r="C843" t="s">
        <v>1418</v>
      </c>
      <c r="D843" s="13">
        <v>10</v>
      </c>
    </row>
    <row r="844" spans="3:4" x14ac:dyDescent="0.2">
      <c r="C844" t="s">
        <v>1419</v>
      </c>
      <c r="D844" s="13">
        <v>10</v>
      </c>
    </row>
    <row r="845" spans="3:4" x14ac:dyDescent="0.2">
      <c r="C845" t="s">
        <v>1448</v>
      </c>
      <c r="D845" s="13">
        <v>10</v>
      </c>
    </row>
    <row r="846" spans="3:4" x14ac:dyDescent="0.2">
      <c r="C846" t="s">
        <v>1490</v>
      </c>
      <c r="D846" s="13">
        <v>10</v>
      </c>
    </row>
    <row r="847" spans="3:4" x14ac:dyDescent="0.2">
      <c r="C847" t="s">
        <v>1502</v>
      </c>
      <c r="D847" s="13">
        <v>10</v>
      </c>
    </row>
    <row r="848" spans="3:4" x14ac:dyDescent="0.2">
      <c r="C848" t="s">
        <v>1518</v>
      </c>
      <c r="D848" s="13">
        <v>10</v>
      </c>
    </row>
    <row r="849" spans="3:4" x14ac:dyDescent="0.2">
      <c r="C849" t="s">
        <v>1551</v>
      </c>
      <c r="D849" s="13">
        <v>10</v>
      </c>
    </row>
    <row r="850" spans="3:4" x14ac:dyDescent="0.2">
      <c r="C850" t="s">
        <v>1765</v>
      </c>
      <c r="D850" s="13">
        <v>10</v>
      </c>
    </row>
    <row r="851" spans="3:4" x14ac:dyDescent="0.2">
      <c r="C851" t="s">
        <v>1825</v>
      </c>
      <c r="D851" s="13">
        <v>10</v>
      </c>
    </row>
    <row r="852" spans="3:4" x14ac:dyDescent="0.2">
      <c r="C852" t="s">
        <v>1876</v>
      </c>
      <c r="D852" s="13">
        <v>10</v>
      </c>
    </row>
    <row r="853" spans="3:4" x14ac:dyDescent="0.2">
      <c r="C853" t="s">
        <v>1915</v>
      </c>
      <c r="D853" s="13">
        <v>10</v>
      </c>
    </row>
    <row r="854" spans="3:4" x14ac:dyDescent="0.2">
      <c r="C854" t="s">
        <v>1916</v>
      </c>
      <c r="D854" s="13">
        <v>10</v>
      </c>
    </row>
    <row r="855" spans="3:4" x14ac:dyDescent="0.2">
      <c r="C855" t="s">
        <v>2061</v>
      </c>
      <c r="D855" s="13">
        <v>10</v>
      </c>
    </row>
    <row r="856" spans="3:4" x14ac:dyDescent="0.2">
      <c r="C856" t="s">
        <v>2108</v>
      </c>
      <c r="D856" s="13">
        <v>10</v>
      </c>
    </row>
    <row r="857" spans="3:4" x14ac:dyDescent="0.2">
      <c r="C857" t="s">
        <v>2110</v>
      </c>
      <c r="D857" s="13">
        <v>10</v>
      </c>
    </row>
    <row r="858" spans="3:4" x14ac:dyDescent="0.2">
      <c r="C858" t="s">
        <v>2140</v>
      </c>
      <c r="D858" s="13">
        <v>10</v>
      </c>
    </row>
    <row r="859" spans="3:4" x14ac:dyDescent="0.2">
      <c r="C859" t="s">
        <v>2393</v>
      </c>
      <c r="D859" s="13">
        <v>10</v>
      </c>
    </row>
    <row r="860" spans="3:4" x14ac:dyDescent="0.2">
      <c r="C860" t="s">
        <v>2400</v>
      </c>
      <c r="D860" s="13">
        <v>10</v>
      </c>
    </row>
    <row r="861" spans="3:4" x14ac:dyDescent="0.2">
      <c r="C861" t="s">
        <v>2437</v>
      </c>
      <c r="D861" s="13">
        <v>10</v>
      </c>
    </row>
    <row r="862" spans="3:4" x14ac:dyDescent="0.2">
      <c r="C862" t="s">
        <v>2583</v>
      </c>
      <c r="D862" s="13">
        <v>10</v>
      </c>
    </row>
    <row r="863" spans="3:4" x14ac:dyDescent="0.2">
      <c r="C863" t="s">
        <v>2643</v>
      </c>
      <c r="D863" s="13">
        <v>10</v>
      </c>
    </row>
    <row r="864" spans="3:4" x14ac:dyDescent="0.2">
      <c r="C864" t="s">
        <v>2779</v>
      </c>
      <c r="D864" s="13">
        <v>10</v>
      </c>
    </row>
    <row r="865" spans="3:4" x14ac:dyDescent="0.2">
      <c r="C865" t="s">
        <v>2916</v>
      </c>
      <c r="D865" s="13">
        <v>10</v>
      </c>
    </row>
    <row r="866" spans="3:4" x14ac:dyDescent="0.2">
      <c r="C866" t="s">
        <v>2918</v>
      </c>
      <c r="D866" s="13">
        <v>10</v>
      </c>
    </row>
    <row r="867" spans="3:4" x14ac:dyDescent="0.2">
      <c r="C867" t="s">
        <v>2976</v>
      </c>
      <c r="D867" s="13">
        <v>10</v>
      </c>
    </row>
    <row r="868" spans="3:4" x14ac:dyDescent="0.2">
      <c r="C868" t="s">
        <v>3038</v>
      </c>
      <c r="D868" s="13">
        <v>10</v>
      </c>
    </row>
    <row r="869" spans="3:4" x14ac:dyDescent="0.2">
      <c r="C869" t="s">
        <v>3065</v>
      </c>
      <c r="D869" s="13">
        <v>10</v>
      </c>
    </row>
    <row r="870" spans="3:4" x14ac:dyDescent="0.2">
      <c r="C870" t="s">
        <v>3074</v>
      </c>
      <c r="D870" s="13">
        <v>10</v>
      </c>
    </row>
    <row r="871" spans="3:4" x14ac:dyDescent="0.2">
      <c r="C871" t="s">
        <v>3109</v>
      </c>
      <c r="D871" s="13">
        <v>10</v>
      </c>
    </row>
    <row r="872" spans="3:4" x14ac:dyDescent="0.2">
      <c r="C872" t="s">
        <v>3291</v>
      </c>
      <c r="D872" s="13">
        <v>10</v>
      </c>
    </row>
    <row r="873" spans="3:4" x14ac:dyDescent="0.2">
      <c r="C873" t="s">
        <v>3373</v>
      </c>
      <c r="D873" s="13">
        <v>10</v>
      </c>
    </row>
    <row r="874" spans="3:4" x14ac:dyDescent="0.2">
      <c r="C874" t="s">
        <v>3495</v>
      </c>
      <c r="D874" s="13">
        <v>10</v>
      </c>
    </row>
    <row r="875" spans="3:4" x14ac:dyDescent="0.2">
      <c r="C875" t="s">
        <v>3567</v>
      </c>
      <c r="D875" s="13">
        <v>10</v>
      </c>
    </row>
    <row r="876" spans="3:4" x14ac:dyDescent="0.2">
      <c r="C876" t="s">
        <v>3581</v>
      </c>
      <c r="D876" s="13">
        <v>10</v>
      </c>
    </row>
    <row r="877" spans="3:4" x14ac:dyDescent="0.2">
      <c r="C877" t="s">
        <v>3791</v>
      </c>
      <c r="D877" s="13">
        <v>10</v>
      </c>
    </row>
    <row r="878" spans="3:4" x14ac:dyDescent="0.2">
      <c r="C878" t="s">
        <v>3816</v>
      </c>
      <c r="D878" s="13">
        <v>10</v>
      </c>
    </row>
    <row r="879" spans="3:4" x14ac:dyDescent="0.2">
      <c r="C879" t="s">
        <v>3822</v>
      </c>
      <c r="D879" s="13">
        <v>10</v>
      </c>
    </row>
    <row r="880" spans="3:4" x14ac:dyDescent="0.2">
      <c r="C880" t="s">
        <v>3875</v>
      </c>
      <c r="D880" s="13">
        <v>10</v>
      </c>
    </row>
    <row r="881" spans="3:4" x14ac:dyDescent="0.2">
      <c r="C881" t="s">
        <v>3927</v>
      </c>
      <c r="D881" s="13">
        <v>10</v>
      </c>
    </row>
    <row r="882" spans="3:4" x14ac:dyDescent="0.2">
      <c r="C882" t="s">
        <v>4100</v>
      </c>
      <c r="D882" s="13">
        <v>10</v>
      </c>
    </row>
    <row r="883" spans="3:4" x14ac:dyDescent="0.2">
      <c r="C883" t="s">
        <v>4263</v>
      </c>
      <c r="D883" s="13">
        <v>10</v>
      </c>
    </row>
    <row r="884" spans="3:4" x14ac:dyDescent="0.2">
      <c r="C884" t="s">
        <v>4471</v>
      </c>
      <c r="D884" s="13">
        <v>10</v>
      </c>
    </row>
    <row r="885" spans="3:4" x14ac:dyDescent="0.2">
      <c r="C885" t="s">
        <v>4545</v>
      </c>
      <c r="D885" s="13">
        <v>10</v>
      </c>
    </row>
    <row r="886" spans="3:4" x14ac:dyDescent="0.2">
      <c r="C886" t="s">
        <v>4561</v>
      </c>
      <c r="D886" s="13">
        <v>10</v>
      </c>
    </row>
    <row r="887" spans="3:4" x14ac:dyDescent="0.2">
      <c r="C887" t="s">
        <v>4562</v>
      </c>
      <c r="D887" s="13">
        <v>10</v>
      </c>
    </row>
    <row r="888" spans="3:4" x14ac:dyDescent="0.2">
      <c r="C888" t="s">
        <v>4600</v>
      </c>
      <c r="D888" s="13">
        <v>10</v>
      </c>
    </row>
    <row r="889" spans="3:4" x14ac:dyDescent="0.2">
      <c r="C889" t="s">
        <v>4604</v>
      </c>
      <c r="D889" s="13">
        <v>10</v>
      </c>
    </row>
    <row r="890" spans="3:4" x14ac:dyDescent="0.2">
      <c r="C890" t="s">
        <v>4605</v>
      </c>
      <c r="D890" s="13">
        <v>10</v>
      </c>
    </row>
    <row r="891" spans="3:4" x14ac:dyDescent="0.2">
      <c r="C891" t="s">
        <v>4661</v>
      </c>
      <c r="D891" s="13">
        <v>10</v>
      </c>
    </row>
    <row r="892" spans="3:4" x14ac:dyDescent="0.2">
      <c r="C892" t="s">
        <v>4663</v>
      </c>
      <c r="D892" s="13">
        <v>10</v>
      </c>
    </row>
    <row r="893" spans="3:4" x14ac:dyDescent="0.2">
      <c r="C893" t="s">
        <v>4689</v>
      </c>
      <c r="D893" s="13">
        <v>10</v>
      </c>
    </row>
    <row r="894" spans="3:4" x14ac:dyDescent="0.2">
      <c r="C894" t="s">
        <v>4713</v>
      </c>
      <c r="D894" s="13">
        <v>10</v>
      </c>
    </row>
    <row r="895" spans="3:4" x14ac:dyDescent="0.2">
      <c r="C895" t="s">
        <v>4746</v>
      </c>
      <c r="D895" s="13">
        <v>10</v>
      </c>
    </row>
    <row r="896" spans="3:4" x14ac:dyDescent="0.2">
      <c r="C896" t="s">
        <v>4770</v>
      </c>
      <c r="D896" s="13">
        <v>10</v>
      </c>
    </row>
    <row r="897" spans="3:4" x14ac:dyDescent="0.2">
      <c r="C897" t="s">
        <v>4837</v>
      </c>
      <c r="D897" s="13">
        <v>10</v>
      </c>
    </row>
    <row r="898" spans="3:4" x14ac:dyDescent="0.2">
      <c r="C898" t="s">
        <v>4968</v>
      </c>
      <c r="D898" s="13">
        <v>10</v>
      </c>
    </row>
    <row r="899" spans="3:4" x14ac:dyDescent="0.2">
      <c r="C899" t="s">
        <v>4982</v>
      </c>
      <c r="D899" s="13">
        <v>10</v>
      </c>
    </row>
    <row r="900" spans="3:4" x14ac:dyDescent="0.2">
      <c r="C900" t="s">
        <v>5046</v>
      </c>
      <c r="D900" s="13">
        <v>10</v>
      </c>
    </row>
    <row r="901" spans="3:4" x14ac:dyDescent="0.2">
      <c r="C901" t="s">
        <v>5112</v>
      </c>
      <c r="D901" s="13">
        <v>10</v>
      </c>
    </row>
    <row r="902" spans="3:4" x14ac:dyDescent="0.2">
      <c r="C902" t="s">
        <v>5120</v>
      </c>
      <c r="D902" s="13">
        <v>10</v>
      </c>
    </row>
    <row r="903" spans="3:4" x14ac:dyDescent="0.2">
      <c r="C903" t="s">
        <v>5169</v>
      </c>
      <c r="D903" s="13">
        <v>10</v>
      </c>
    </row>
    <row r="904" spans="3:4" x14ac:dyDescent="0.2">
      <c r="C904" t="s">
        <v>5233</v>
      </c>
      <c r="D904" s="13">
        <v>10</v>
      </c>
    </row>
    <row r="905" spans="3:4" x14ac:dyDescent="0.2">
      <c r="C905" t="s">
        <v>5234</v>
      </c>
      <c r="D905" s="13">
        <v>10</v>
      </c>
    </row>
    <row r="906" spans="3:4" x14ac:dyDescent="0.2">
      <c r="C906" t="s">
        <v>5265</v>
      </c>
      <c r="D906" s="13">
        <v>10</v>
      </c>
    </row>
    <row r="907" spans="3:4" x14ac:dyDescent="0.2">
      <c r="C907" t="s">
        <v>5284</v>
      </c>
      <c r="D907" s="13">
        <v>10</v>
      </c>
    </row>
    <row r="908" spans="3:4" x14ac:dyDescent="0.2">
      <c r="C908" t="s">
        <v>5294</v>
      </c>
      <c r="D908" s="13">
        <v>10</v>
      </c>
    </row>
    <row r="909" spans="3:4" x14ac:dyDescent="0.2">
      <c r="C909" t="s">
        <v>5356</v>
      </c>
      <c r="D909" s="13">
        <v>10</v>
      </c>
    </row>
    <row r="910" spans="3:4" x14ac:dyDescent="0.2">
      <c r="C910" t="s">
        <v>5424</v>
      </c>
      <c r="D910" s="13">
        <v>10</v>
      </c>
    </row>
    <row r="911" spans="3:4" x14ac:dyDescent="0.2">
      <c r="C911" t="s">
        <v>5727</v>
      </c>
      <c r="D911" s="13">
        <v>10</v>
      </c>
    </row>
    <row r="912" spans="3:4" x14ac:dyDescent="0.2">
      <c r="C912" t="s">
        <v>5772</v>
      </c>
      <c r="D912" s="13">
        <v>10</v>
      </c>
    </row>
    <row r="913" spans="3:4" x14ac:dyDescent="0.2">
      <c r="C913" t="s">
        <v>5839</v>
      </c>
      <c r="D913" s="13">
        <v>10</v>
      </c>
    </row>
    <row r="914" spans="3:4" x14ac:dyDescent="0.2">
      <c r="C914" t="s">
        <v>5859</v>
      </c>
      <c r="D914" s="13">
        <v>10</v>
      </c>
    </row>
    <row r="915" spans="3:4" x14ac:dyDescent="0.2">
      <c r="C915" t="s">
        <v>5924</v>
      </c>
      <c r="D915" s="13">
        <v>10</v>
      </c>
    </row>
    <row r="916" spans="3:4" x14ac:dyDescent="0.2">
      <c r="C916" t="s">
        <v>6093</v>
      </c>
      <c r="D916" s="13">
        <v>10</v>
      </c>
    </row>
    <row r="917" spans="3:4" x14ac:dyDescent="0.2">
      <c r="C917" t="s">
        <v>6118</v>
      </c>
      <c r="D917" s="13">
        <v>10</v>
      </c>
    </row>
    <row r="918" spans="3:4" x14ac:dyDescent="0.2">
      <c r="C918" t="s">
        <v>6122</v>
      </c>
      <c r="D918" s="13">
        <v>10</v>
      </c>
    </row>
    <row r="919" spans="3:4" x14ac:dyDescent="0.2">
      <c r="C919" t="s">
        <v>6160</v>
      </c>
      <c r="D919" s="13">
        <v>10</v>
      </c>
    </row>
    <row r="920" spans="3:4" x14ac:dyDescent="0.2">
      <c r="C920" t="s">
        <v>6247</v>
      </c>
      <c r="D920" s="13">
        <v>10</v>
      </c>
    </row>
    <row r="921" spans="3:4" x14ac:dyDescent="0.2">
      <c r="C921" t="s">
        <v>6279</v>
      </c>
      <c r="D921" s="13">
        <v>10</v>
      </c>
    </row>
    <row r="922" spans="3:4" x14ac:dyDescent="0.2">
      <c r="C922" t="s">
        <v>6319</v>
      </c>
      <c r="D922" s="13">
        <v>10</v>
      </c>
    </row>
    <row r="923" spans="3:4" x14ac:dyDescent="0.2">
      <c r="C923" t="s">
        <v>6367</v>
      </c>
      <c r="D923" s="13">
        <v>10</v>
      </c>
    </row>
    <row r="924" spans="3:4" x14ac:dyDescent="0.2">
      <c r="C924" t="s">
        <v>6464</v>
      </c>
      <c r="D924" s="13">
        <v>10</v>
      </c>
    </row>
    <row r="925" spans="3:4" x14ac:dyDescent="0.2">
      <c r="C925" t="s">
        <v>6585</v>
      </c>
      <c r="D925" s="13">
        <v>10</v>
      </c>
    </row>
    <row r="926" spans="3:4" x14ac:dyDescent="0.2">
      <c r="C926" t="s">
        <v>6630</v>
      </c>
      <c r="D926" s="13">
        <v>10</v>
      </c>
    </row>
    <row r="927" spans="3:4" x14ac:dyDescent="0.2">
      <c r="C927" t="s">
        <v>6657</v>
      </c>
      <c r="D927" s="13">
        <v>10</v>
      </c>
    </row>
    <row r="928" spans="3:4" x14ac:dyDescent="0.2">
      <c r="C928" t="s">
        <v>6735</v>
      </c>
      <c r="D928" s="13">
        <v>10</v>
      </c>
    </row>
    <row r="929" spans="3:4" x14ac:dyDescent="0.2">
      <c r="C929" t="s">
        <v>6793</v>
      </c>
      <c r="D929" s="13">
        <v>10</v>
      </c>
    </row>
    <row r="930" spans="3:4" x14ac:dyDescent="0.2">
      <c r="C930" t="s">
        <v>6858</v>
      </c>
      <c r="D930" s="13">
        <v>10</v>
      </c>
    </row>
    <row r="931" spans="3:4" x14ac:dyDescent="0.2">
      <c r="C931" t="s">
        <v>6859</v>
      </c>
      <c r="D931" s="13">
        <v>10</v>
      </c>
    </row>
    <row r="932" spans="3:4" x14ac:dyDescent="0.2">
      <c r="C932" t="s">
        <v>6987</v>
      </c>
      <c r="D932" s="13">
        <v>10</v>
      </c>
    </row>
    <row r="933" spans="3:4" x14ac:dyDescent="0.2">
      <c r="C933" t="s">
        <v>7047</v>
      </c>
      <c r="D933" s="13">
        <v>10</v>
      </c>
    </row>
    <row r="934" spans="3:4" x14ac:dyDescent="0.2">
      <c r="C934" t="s">
        <v>7057</v>
      </c>
      <c r="D934" s="13">
        <v>10</v>
      </c>
    </row>
    <row r="935" spans="3:4" x14ac:dyDescent="0.2">
      <c r="C935" t="s">
        <v>7148</v>
      </c>
      <c r="D935" s="13">
        <v>10</v>
      </c>
    </row>
    <row r="936" spans="3:4" x14ac:dyDescent="0.2">
      <c r="C936" t="s">
        <v>7194</v>
      </c>
      <c r="D936" s="13">
        <v>10</v>
      </c>
    </row>
    <row r="937" spans="3:4" x14ac:dyDescent="0.2">
      <c r="C937" t="s">
        <v>7214</v>
      </c>
      <c r="D937" s="13">
        <v>10</v>
      </c>
    </row>
    <row r="938" spans="3:4" x14ac:dyDescent="0.2">
      <c r="C938" t="s">
        <v>7241</v>
      </c>
      <c r="D938" s="13">
        <v>10</v>
      </c>
    </row>
    <row r="939" spans="3:4" x14ac:dyDescent="0.2">
      <c r="C939" t="s">
        <v>7242</v>
      </c>
      <c r="D939" s="13">
        <v>10</v>
      </c>
    </row>
    <row r="940" spans="3:4" x14ac:dyDescent="0.2">
      <c r="C940" t="s">
        <v>7251</v>
      </c>
      <c r="D940" s="13">
        <v>10</v>
      </c>
    </row>
    <row r="941" spans="3:4" x14ac:dyDescent="0.2">
      <c r="C941" t="s">
        <v>7324</v>
      </c>
      <c r="D941" s="13">
        <v>10</v>
      </c>
    </row>
    <row r="942" spans="3:4" x14ac:dyDescent="0.2">
      <c r="C942" t="s">
        <v>7325</v>
      </c>
      <c r="D942" s="13">
        <v>10</v>
      </c>
    </row>
    <row r="943" spans="3:4" x14ac:dyDescent="0.2">
      <c r="C943" t="s">
        <v>7508</v>
      </c>
      <c r="D943" s="13">
        <v>10</v>
      </c>
    </row>
    <row r="944" spans="3:4" x14ac:dyDescent="0.2">
      <c r="C944" t="s">
        <v>7509</v>
      </c>
      <c r="D944" s="13">
        <v>10</v>
      </c>
    </row>
    <row r="945" spans="3:4" x14ac:dyDescent="0.2">
      <c r="C945" t="s">
        <v>7595</v>
      </c>
      <c r="D945" s="13">
        <v>10</v>
      </c>
    </row>
    <row r="946" spans="3:4" x14ac:dyDescent="0.2">
      <c r="C946" t="s">
        <v>7639</v>
      </c>
      <c r="D946" s="13">
        <v>10</v>
      </c>
    </row>
    <row r="947" spans="3:4" x14ac:dyDescent="0.2">
      <c r="C947" t="s">
        <v>7725</v>
      </c>
      <c r="D947" s="13">
        <v>10</v>
      </c>
    </row>
    <row r="948" spans="3:4" x14ac:dyDescent="0.2">
      <c r="C948" t="s">
        <v>7751</v>
      </c>
      <c r="D948" s="13">
        <v>10</v>
      </c>
    </row>
    <row r="949" spans="3:4" x14ac:dyDescent="0.2">
      <c r="C949" t="s">
        <v>7775</v>
      </c>
      <c r="D949" s="13">
        <v>10</v>
      </c>
    </row>
    <row r="950" spans="3:4" x14ac:dyDescent="0.2">
      <c r="C950" t="s">
        <v>7791</v>
      </c>
      <c r="D950" s="13">
        <v>10</v>
      </c>
    </row>
    <row r="951" spans="3:4" x14ac:dyDescent="0.2">
      <c r="C951" t="s">
        <v>7803</v>
      </c>
      <c r="D951" s="13">
        <v>10</v>
      </c>
    </row>
    <row r="952" spans="3:4" x14ac:dyDescent="0.2">
      <c r="C952" t="s">
        <v>7991</v>
      </c>
      <c r="D952" s="13">
        <v>10</v>
      </c>
    </row>
    <row r="953" spans="3:4" x14ac:dyDescent="0.2">
      <c r="C953" t="s">
        <v>8007</v>
      </c>
      <c r="D953" s="13">
        <v>10</v>
      </c>
    </row>
    <row r="954" spans="3:4" x14ac:dyDescent="0.2">
      <c r="C954" t="s">
        <v>8093</v>
      </c>
      <c r="D954" s="13">
        <v>10</v>
      </c>
    </row>
    <row r="955" spans="3:4" x14ac:dyDescent="0.2">
      <c r="C955" t="s">
        <v>8143</v>
      </c>
      <c r="D955" s="13">
        <v>10</v>
      </c>
    </row>
    <row r="956" spans="3:4" x14ac:dyDescent="0.2">
      <c r="C956" t="s">
        <v>8179</v>
      </c>
      <c r="D956" s="13">
        <v>10</v>
      </c>
    </row>
    <row r="957" spans="3:4" x14ac:dyDescent="0.2">
      <c r="C957" t="s">
        <v>8181</v>
      </c>
      <c r="D957" s="13">
        <v>10</v>
      </c>
    </row>
    <row r="958" spans="3:4" x14ac:dyDescent="0.2">
      <c r="C958" t="s">
        <v>8322</v>
      </c>
      <c r="D958" s="13">
        <v>10</v>
      </c>
    </row>
    <row r="959" spans="3:4" x14ac:dyDescent="0.2">
      <c r="C959" t="s">
        <v>8332</v>
      </c>
      <c r="D959" s="13">
        <v>10</v>
      </c>
    </row>
    <row r="960" spans="3:4" x14ac:dyDescent="0.2">
      <c r="C960" t="s">
        <v>8338</v>
      </c>
      <c r="D960" s="13">
        <v>10</v>
      </c>
    </row>
    <row r="961" spans="3:4" x14ac:dyDescent="0.2">
      <c r="C961" t="s">
        <v>8405</v>
      </c>
      <c r="D961" s="13">
        <v>10</v>
      </c>
    </row>
    <row r="962" spans="3:4" x14ac:dyDescent="0.2">
      <c r="C962" t="s">
        <v>8548</v>
      </c>
      <c r="D962" s="13">
        <v>10</v>
      </c>
    </row>
    <row r="963" spans="3:4" x14ac:dyDescent="0.2">
      <c r="C963" t="s">
        <v>8564</v>
      </c>
      <c r="D963" s="13">
        <v>10</v>
      </c>
    </row>
    <row r="964" spans="3:4" x14ac:dyDescent="0.2">
      <c r="C964" t="s">
        <v>8583</v>
      </c>
      <c r="D964" s="13">
        <v>10</v>
      </c>
    </row>
    <row r="965" spans="3:4" x14ac:dyDescent="0.2">
      <c r="C965" t="s">
        <v>835</v>
      </c>
      <c r="D965" s="13">
        <v>10</v>
      </c>
    </row>
    <row r="966" spans="3:4" x14ac:dyDescent="0.2">
      <c r="C966" t="s">
        <v>896</v>
      </c>
      <c r="D966" s="13">
        <v>10</v>
      </c>
    </row>
    <row r="967" spans="3:4" x14ac:dyDescent="0.2">
      <c r="C967" t="s">
        <v>931</v>
      </c>
      <c r="D967" s="13">
        <v>10</v>
      </c>
    </row>
    <row r="968" spans="3:4" x14ac:dyDescent="0.2">
      <c r="C968" t="s">
        <v>1243</v>
      </c>
      <c r="D968" s="13">
        <v>10</v>
      </c>
    </row>
    <row r="969" spans="3:4" x14ac:dyDescent="0.2">
      <c r="C969" t="s">
        <v>1648</v>
      </c>
      <c r="D969" s="13">
        <v>10</v>
      </c>
    </row>
    <row r="970" spans="3:4" x14ac:dyDescent="0.2">
      <c r="C970" t="s">
        <v>1856</v>
      </c>
      <c r="D970" s="13">
        <v>10</v>
      </c>
    </row>
    <row r="971" spans="3:4" x14ac:dyDescent="0.2">
      <c r="C971" t="s">
        <v>1965</v>
      </c>
      <c r="D971" s="13">
        <v>10</v>
      </c>
    </row>
    <row r="972" spans="3:4" x14ac:dyDescent="0.2">
      <c r="C972" t="s">
        <v>2159</v>
      </c>
      <c r="D972" s="13">
        <v>10</v>
      </c>
    </row>
    <row r="973" spans="3:4" x14ac:dyDescent="0.2">
      <c r="C973" t="s">
        <v>2183</v>
      </c>
      <c r="D973" s="13">
        <v>10</v>
      </c>
    </row>
    <row r="974" spans="3:4" x14ac:dyDescent="0.2">
      <c r="C974" t="s">
        <v>2228</v>
      </c>
      <c r="D974" s="13">
        <v>10</v>
      </c>
    </row>
    <row r="975" spans="3:4" x14ac:dyDescent="0.2">
      <c r="C975" t="s">
        <v>2234</v>
      </c>
      <c r="D975" s="13">
        <v>10</v>
      </c>
    </row>
    <row r="976" spans="3:4" x14ac:dyDescent="0.2">
      <c r="C976" t="s">
        <v>2288</v>
      </c>
      <c r="D976" s="13">
        <v>10</v>
      </c>
    </row>
    <row r="977" spans="3:4" x14ac:dyDescent="0.2">
      <c r="C977" t="s">
        <v>2787</v>
      </c>
      <c r="D977" s="13">
        <v>10</v>
      </c>
    </row>
    <row r="978" spans="3:4" x14ac:dyDescent="0.2">
      <c r="C978" t="s">
        <v>3807</v>
      </c>
      <c r="D978" s="13">
        <v>10</v>
      </c>
    </row>
    <row r="979" spans="3:4" x14ac:dyDescent="0.2">
      <c r="C979" t="s">
        <v>3830</v>
      </c>
      <c r="D979" s="13">
        <v>10</v>
      </c>
    </row>
    <row r="980" spans="3:4" x14ac:dyDescent="0.2">
      <c r="C980" t="s">
        <v>4257</v>
      </c>
      <c r="D980" s="13">
        <v>10</v>
      </c>
    </row>
    <row r="981" spans="3:4" x14ac:dyDescent="0.2">
      <c r="C981" t="s">
        <v>4528</v>
      </c>
      <c r="D981" s="13">
        <v>10</v>
      </c>
    </row>
    <row r="982" spans="3:4" x14ac:dyDescent="0.2">
      <c r="C982" t="s">
        <v>4675</v>
      </c>
      <c r="D982" s="13">
        <v>10</v>
      </c>
    </row>
    <row r="983" spans="3:4" x14ac:dyDescent="0.2">
      <c r="C983" t="s">
        <v>4811</v>
      </c>
      <c r="D983" s="13">
        <v>10</v>
      </c>
    </row>
    <row r="984" spans="3:4" x14ac:dyDescent="0.2">
      <c r="C984" t="s">
        <v>5221</v>
      </c>
      <c r="D984" s="13">
        <v>10</v>
      </c>
    </row>
    <row r="985" spans="3:4" x14ac:dyDescent="0.2">
      <c r="C985" t="s">
        <v>5329</v>
      </c>
      <c r="D985" s="13">
        <v>10</v>
      </c>
    </row>
    <row r="986" spans="3:4" x14ac:dyDescent="0.2">
      <c r="C986" t="s">
        <v>5625</v>
      </c>
      <c r="D986" s="13">
        <v>10</v>
      </c>
    </row>
    <row r="987" spans="3:4" x14ac:dyDescent="0.2">
      <c r="C987" t="s">
        <v>5669</v>
      </c>
      <c r="D987" s="13">
        <v>10</v>
      </c>
    </row>
    <row r="988" spans="3:4" x14ac:dyDescent="0.2">
      <c r="C988" t="s">
        <v>5718</v>
      </c>
      <c r="D988" s="13">
        <v>10</v>
      </c>
    </row>
    <row r="989" spans="3:4" x14ac:dyDescent="0.2">
      <c r="C989" t="s">
        <v>5978</v>
      </c>
      <c r="D989" s="13">
        <v>10</v>
      </c>
    </row>
    <row r="990" spans="3:4" x14ac:dyDescent="0.2">
      <c r="C990" t="s">
        <v>6034</v>
      </c>
      <c r="D990" s="13">
        <v>10</v>
      </c>
    </row>
    <row r="991" spans="3:4" x14ac:dyDescent="0.2">
      <c r="C991" t="s">
        <v>6056</v>
      </c>
      <c r="D991" s="13">
        <v>10</v>
      </c>
    </row>
    <row r="992" spans="3:4" x14ac:dyDescent="0.2">
      <c r="C992" t="s">
        <v>6185</v>
      </c>
      <c r="D992" s="13">
        <v>10</v>
      </c>
    </row>
    <row r="993" spans="3:4" x14ac:dyDescent="0.2">
      <c r="C993" t="s">
        <v>6309</v>
      </c>
      <c r="D993" s="13">
        <v>10</v>
      </c>
    </row>
    <row r="994" spans="3:4" x14ac:dyDescent="0.2">
      <c r="C994" t="s">
        <v>6731</v>
      </c>
      <c r="D994" s="13">
        <v>10</v>
      </c>
    </row>
    <row r="995" spans="3:4" x14ac:dyDescent="0.2">
      <c r="C995" t="s">
        <v>7041</v>
      </c>
      <c r="D995" s="13">
        <v>10</v>
      </c>
    </row>
    <row r="996" spans="3:4" x14ac:dyDescent="0.2">
      <c r="C996" t="s">
        <v>7597</v>
      </c>
      <c r="D996" s="13">
        <v>10</v>
      </c>
    </row>
    <row r="997" spans="3:4" x14ac:dyDescent="0.2">
      <c r="C997" t="s">
        <v>8485</v>
      </c>
      <c r="D997" s="13">
        <v>10</v>
      </c>
    </row>
    <row r="998" spans="3:4" x14ac:dyDescent="0.2">
      <c r="C998" t="s">
        <v>8694</v>
      </c>
      <c r="D998" s="13">
        <v>10</v>
      </c>
    </row>
    <row r="999" spans="3:4" x14ac:dyDescent="0.2">
      <c r="C999" t="s">
        <v>262</v>
      </c>
      <c r="D999" s="13">
        <v>10</v>
      </c>
    </row>
    <row r="1000" spans="3:4" x14ac:dyDescent="0.2">
      <c r="C1000" t="s">
        <v>539</v>
      </c>
      <c r="D1000" s="13">
        <v>10</v>
      </c>
    </row>
    <row r="1001" spans="3:4" x14ac:dyDescent="0.2">
      <c r="C1001" t="s">
        <v>724</v>
      </c>
      <c r="D1001" s="13">
        <v>10</v>
      </c>
    </row>
    <row r="1002" spans="3:4" x14ac:dyDescent="0.2">
      <c r="C1002" t="s">
        <v>788</v>
      </c>
      <c r="D1002" s="13">
        <v>10</v>
      </c>
    </row>
    <row r="1003" spans="3:4" x14ac:dyDescent="0.2">
      <c r="C1003" t="s">
        <v>900</v>
      </c>
      <c r="D1003" s="13">
        <v>10</v>
      </c>
    </row>
    <row r="1004" spans="3:4" x14ac:dyDescent="0.2">
      <c r="C1004" t="s">
        <v>902</v>
      </c>
      <c r="D1004" s="13">
        <v>10</v>
      </c>
    </row>
    <row r="1005" spans="3:4" x14ac:dyDescent="0.2">
      <c r="C1005" t="s">
        <v>971</v>
      </c>
      <c r="D1005" s="13">
        <v>10</v>
      </c>
    </row>
    <row r="1006" spans="3:4" x14ac:dyDescent="0.2">
      <c r="C1006" t="s">
        <v>1033</v>
      </c>
      <c r="D1006" s="13">
        <v>10</v>
      </c>
    </row>
    <row r="1007" spans="3:4" x14ac:dyDescent="0.2">
      <c r="C1007" t="s">
        <v>1165</v>
      </c>
      <c r="D1007" s="13">
        <v>10</v>
      </c>
    </row>
    <row r="1008" spans="3:4" x14ac:dyDescent="0.2">
      <c r="C1008" t="s">
        <v>1175</v>
      </c>
      <c r="D1008" s="13">
        <v>10</v>
      </c>
    </row>
    <row r="1009" spans="3:4" x14ac:dyDescent="0.2">
      <c r="C1009" t="s">
        <v>1799</v>
      </c>
      <c r="D1009" s="13">
        <v>10</v>
      </c>
    </row>
    <row r="1010" spans="3:4" x14ac:dyDescent="0.2">
      <c r="C1010" t="s">
        <v>1821</v>
      </c>
      <c r="D1010" s="13">
        <v>10</v>
      </c>
    </row>
    <row r="1011" spans="3:4" x14ac:dyDescent="0.2">
      <c r="C1011" t="s">
        <v>1886</v>
      </c>
      <c r="D1011" s="13">
        <v>10</v>
      </c>
    </row>
    <row r="1012" spans="3:4" x14ac:dyDescent="0.2">
      <c r="C1012" t="s">
        <v>1979</v>
      </c>
      <c r="D1012" s="13">
        <v>10</v>
      </c>
    </row>
    <row r="1013" spans="3:4" x14ac:dyDescent="0.2">
      <c r="C1013" t="s">
        <v>1987</v>
      </c>
      <c r="D1013" s="13">
        <v>10</v>
      </c>
    </row>
    <row r="1014" spans="3:4" x14ac:dyDescent="0.2">
      <c r="C1014" t="s">
        <v>2280</v>
      </c>
      <c r="D1014" s="13">
        <v>10</v>
      </c>
    </row>
    <row r="1015" spans="3:4" x14ac:dyDescent="0.2">
      <c r="C1015" t="s">
        <v>2302</v>
      </c>
      <c r="D1015" s="13">
        <v>10</v>
      </c>
    </row>
    <row r="1016" spans="3:4" x14ac:dyDescent="0.2">
      <c r="C1016" t="s">
        <v>2526</v>
      </c>
      <c r="D1016" s="13">
        <v>10</v>
      </c>
    </row>
    <row r="1017" spans="3:4" x14ac:dyDescent="0.2">
      <c r="C1017" t="s">
        <v>2595</v>
      </c>
      <c r="D1017" s="13">
        <v>10</v>
      </c>
    </row>
    <row r="1018" spans="3:4" x14ac:dyDescent="0.2">
      <c r="C1018" t="s">
        <v>2746</v>
      </c>
      <c r="D1018" s="13">
        <v>10</v>
      </c>
    </row>
    <row r="1019" spans="3:4" x14ac:dyDescent="0.2">
      <c r="C1019" t="s">
        <v>2747</v>
      </c>
      <c r="D1019" s="13">
        <v>10</v>
      </c>
    </row>
    <row r="1020" spans="3:4" x14ac:dyDescent="0.2">
      <c r="C1020" t="s">
        <v>2755</v>
      </c>
      <c r="D1020" s="13">
        <v>10</v>
      </c>
    </row>
    <row r="1021" spans="3:4" x14ac:dyDescent="0.2">
      <c r="C1021" t="s">
        <v>2960</v>
      </c>
      <c r="D1021" s="13">
        <v>10</v>
      </c>
    </row>
    <row r="1022" spans="3:4" x14ac:dyDescent="0.2">
      <c r="C1022" t="s">
        <v>3028</v>
      </c>
      <c r="D1022" s="13">
        <v>10</v>
      </c>
    </row>
    <row r="1023" spans="3:4" x14ac:dyDescent="0.2">
      <c r="C1023" t="s">
        <v>3063</v>
      </c>
      <c r="D1023" s="13">
        <v>10</v>
      </c>
    </row>
    <row r="1024" spans="3:4" x14ac:dyDescent="0.2">
      <c r="C1024" t="s">
        <v>3158</v>
      </c>
      <c r="D1024" s="13">
        <v>10</v>
      </c>
    </row>
    <row r="1025" spans="3:4" x14ac:dyDescent="0.2">
      <c r="C1025" t="s">
        <v>3226</v>
      </c>
      <c r="D1025" s="13">
        <v>10</v>
      </c>
    </row>
    <row r="1026" spans="3:4" x14ac:dyDescent="0.2">
      <c r="C1026" t="s">
        <v>3260</v>
      </c>
      <c r="D1026" s="13">
        <v>10</v>
      </c>
    </row>
    <row r="1027" spans="3:4" x14ac:dyDescent="0.2">
      <c r="C1027" t="s">
        <v>3467</v>
      </c>
      <c r="D1027" s="13">
        <v>10</v>
      </c>
    </row>
    <row r="1028" spans="3:4" x14ac:dyDescent="0.2">
      <c r="C1028" t="s">
        <v>3497</v>
      </c>
      <c r="D1028" s="13">
        <v>10</v>
      </c>
    </row>
    <row r="1029" spans="3:4" x14ac:dyDescent="0.2">
      <c r="C1029" t="s">
        <v>3539</v>
      </c>
      <c r="D1029" s="13">
        <v>10</v>
      </c>
    </row>
    <row r="1030" spans="3:4" x14ac:dyDescent="0.2">
      <c r="C1030" t="s">
        <v>3751</v>
      </c>
      <c r="D1030" s="13">
        <v>10</v>
      </c>
    </row>
    <row r="1031" spans="3:4" x14ac:dyDescent="0.2">
      <c r="C1031" t="s">
        <v>3943</v>
      </c>
      <c r="D1031" s="13">
        <v>10</v>
      </c>
    </row>
    <row r="1032" spans="3:4" x14ac:dyDescent="0.2">
      <c r="C1032" t="s">
        <v>4113</v>
      </c>
      <c r="D1032" s="13">
        <v>10</v>
      </c>
    </row>
    <row r="1033" spans="3:4" x14ac:dyDescent="0.2">
      <c r="C1033" t="s">
        <v>4772</v>
      </c>
      <c r="D1033" s="13">
        <v>10</v>
      </c>
    </row>
    <row r="1034" spans="3:4" x14ac:dyDescent="0.2">
      <c r="C1034" t="s">
        <v>4862</v>
      </c>
      <c r="D1034" s="13">
        <v>10</v>
      </c>
    </row>
    <row r="1035" spans="3:4" x14ac:dyDescent="0.2">
      <c r="C1035" t="s">
        <v>4961</v>
      </c>
      <c r="D1035" s="13">
        <v>10</v>
      </c>
    </row>
    <row r="1036" spans="3:4" x14ac:dyDescent="0.2">
      <c r="C1036" t="s">
        <v>5007</v>
      </c>
      <c r="D1036" s="13">
        <v>10</v>
      </c>
    </row>
    <row r="1037" spans="3:4" x14ac:dyDescent="0.2">
      <c r="C1037" t="s">
        <v>5102</v>
      </c>
      <c r="D1037" s="13">
        <v>10</v>
      </c>
    </row>
    <row r="1038" spans="3:4" x14ac:dyDescent="0.2">
      <c r="C1038" t="s">
        <v>5202</v>
      </c>
      <c r="D1038" s="13">
        <v>10</v>
      </c>
    </row>
    <row r="1039" spans="3:4" x14ac:dyDescent="0.2">
      <c r="C1039" t="s">
        <v>5254</v>
      </c>
      <c r="D1039" s="13">
        <v>10</v>
      </c>
    </row>
    <row r="1040" spans="3:4" x14ac:dyDescent="0.2">
      <c r="C1040" t="s">
        <v>5347</v>
      </c>
      <c r="D1040" s="13">
        <v>10</v>
      </c>
    </row>
    <row r="1041" spans="3:4" x14ac:dyDescent="0.2">
      <c r="C1041" t="s">
        <v>5370</v>
      </c>
      <c r="D1041" s="13">
        <v>10</v>
      </c>
    </row>
    <row r="1042" spans="3:4" x14ac:dyDescent="0.2">
      <c r="C1042" t="s">
        <v>5468</v>
      </c>
      <c r="D1042" s="13">
        <v>10</v>
      </c>
    </row>
    <row r="1043" spans="3:4" x14ac:dyDescent="0.2">
      <c r="C1043" t="s">
        <v>6146</v>
      </c>
      <c r="D1043" s="13">
        <v>10</v>
      </c>
    </row>
    <row r="1044" spans="3:4" x14ac:dyDescent="0.2">
      <c r="C1044" t="s">
        <v>6583</v>
      </c>
      <c r="D1044" s="13">
        <v>10</v>
      </c>
    </row>
    <row r="1045" spans="3:4" x14ac:dyDescent="0.2">
      <c r="C1045" t="s">
        <v>6791</v>
      </c>
      <c r="D1045" s="13">
        <v>10</v>
      </c>
    </row>
    <row r="1046" spans="3:4" x14ac:dyDescent="0.2">
      <c r="C1046" t="s">
        <v>6797</v>
      </c>
      <c r="D1046" s="13">
        <v>10</v>
      </c>
    </row>
    <row r="1047" spans="3:4" x14ac:dyDescent="0.2">
      <c r="C1047" t="s">
        <v>7001</v>
      </c>
      <c r="D1047" s="13">
        <v>10</v>
      </c>
    </row>
    <row r="1048" spans="3:4" x14ac:dyDescent="0.2">
      <c r="C1048" t="s">
        <v>7087</v>
      </c>
      <c r="D1048" s="13">
        <v>10</v>
      </c>
    </row>
    <row r="1049" spans="3:4" x14ac:dyDescent="0.2">
      <c r="C1049" t="s">
        <v>7142</v>
      </c>
      <c r="D1049" s="13">
        <v>10</v>
      </c>
    </row>
    <row r="1050" spans="3:4" x14ac:dyDescent="0.2">
      <c r="C1050" t="s">
        <v>7235</v>
      </c>
      <c r="D1050" s="13">
        <v>10</v>
      </c>
    </row>
    <row r="1051" spans="3:4" x14ac:dyDescent="0.2">
      <c r="C1051" t="s">
        <v>7259</v>
      </c>
      <c r="D1051" s="13">
        <v>10</v>
      </c>
    </row>
    <row r="1052" spans="3:4" x14ac:dyDescent="0.2">
      <c r="C1052" t="s">
        <v>7262</v>
      </c>
      <c r="D1052" s="13">
        <v>10</v>
      </c>
    </row>
    <row r="1053" spans="3:4" x14ac:dyDescent="0.2">
      <c r="C1053" t="s">
        <v>7327</v>
      </c>
      <c r="D1053" s="13">
        <v>10</v>
      </c>
    </row>
    <row r="1054" spans="3:4" x14ac:dyDescent="0.2">
      <c r="C1054" t="s">
        <v>7624</v>
      </c>
      <c r="D1054" s="13">
        <v>10</v>
      </c>
    </row>
    <row r="1055" spans="3:4" x14ac:dyDescent="0.2">
      <c r="C1055" t="s">
        <v>7628</v>
      </c>
      <c r="D1055" s="13">
        <v>10</v>
      </c>
    </row>
    <row r="1056" spans="3:4" x14ac:dyDescent="0.2">
      <c r="C1056" t="s">
        <v>7689</v>
      </c>
      <c r="D1056" s="13">
        <v>10</v>
      </c>
    </row>
    <row r="1057" spans="3:4" x14ac:dyDescent="0.2">
      <c r="C1057" t="s">
        <v>8001</v>
      </c>
      <c r="D1057" s="13">
        <v>10</v>
      </c>
    </row>
    <row r="1058" spans="3:4" x14ac:dyDescent="0.2">
      <c r="C1058" t="s">
        <v>8023</v>
      </c>
      <c r="D1058" s="13">
        <v>10</v>
      </c>
    </row>
    <row r="1059" spans="3:4" x14ac:dyDescent="0.2">
      <c r="C1059" t="s">
        <v>8051</v>
      </c>
      <c r="D1059" s="13">
        <v>10</v>
      </c>
    </row>
    <row r="1060" spans="3:4" x14ac:dyDescent="0.2">
      <c r="C1060" t="s">
        <v>8101</v>
      </c>
      <c r="D1060" s="13">
        <v>10</v>
      </c>
    </row>
    <row r="1061" spans="3:4" x14ac:dyDescent="0.2">
      <c r="C1061" t="s">
        <v>8105</v>
      </c>
      <c r="D1061" s="13">
        <v>10</v>
      </c>
    </row>
    <row r="1062" spans="3:4" x14ac:dyDescent="0.2">
      <c r="C1062" t="s">
        <v>8452</v>
      </c>
      <c r="D1062" s="13">
        <v>10</v>
      </c>
    </row>
    <row r="1063" spans="3:4" x14ac:dyDescent="0.2">
      <c r="C1063" t="s">
        <v>8599</v>
      </c>
      <c r="D1063" s="13">
        <v>10</v>
      </c>
    </row>
    <row r="1064" spans="3:4" x14ac:dyDescent="0.2">
      <c r="C1064" t="s">
        <v>1469</v>
      </c>
      <c r="D1064" s="13">
        <v>10</v>
      </c>
    </row>
    <row r="1065" spans="3:4" x14ac:dyDescent="0.2">
      <c r="C1065" t="s">
        <v>3040</v>
      </c>
      <c r="D1065" s="13">
        <v>10</v>
      </c>
    </row>
    <row r="1066" spans="3:4" x14ac:dyDescent="0.2">
      <c r="C1066" t="s">
        <v>3602</v>
      </c>
      <c r="D1066" s="13">
        <v>10</v>
      </c>
    </row>
    <row r="1067" spans="3:4" x14ac:dyDescent="0.2">
      <c r="C1067" t="s">
        <v>4283</v>
      </c>
      <c r="D1067" s="13">
        <v>10</v>
      </c>
    </row>
    <row r="1068" spans="3:4" x14ac:dyDescent="0.2">
      <c r="C1068" t="s">
        <v>5360</v>
      </c>
      <c r="D1068" s="13">
        <v>10</v>
      </c>
    </row>
    <row r="1069" spans="3:4" x14ac:dyDescent="0.2">
      <c r="C1069" t="s">
        <v>620</v>
      </c>
      <c r="D1069" s="13">
        <v>10</v>
      </c>
    </row>
    <row r="1070" spans="3:4" x14ac:dyDescent="0.2">
      <c r="C1070" t="s">
        <v>2144</v>
      </c>
      <c r="D1070" s="13">
        <v>10</v>
      </c>
    </row>
    <row r="1071" spans="3:4" x14ac:dyDescent="0.2">
      <c r="C1071" t="s">
        <v>2835</v>
      </c>
      <c r="D1071" s="13">
        <v>10</v>
      </c>
    </row>
    <row r="1072" spans="3:4" x14ac:dyDescent="0.2">
      <c r="C1072" t="s">
        <v>3072</v>
      </c>
      <c r="D1072" s="13">
        <v>10</v>
      </c>
    </row>
    <row r="1073" spans="3:4" x14ac:dyDescent="0.2">
      <c r="C1073" t="s">
        <v>4148</v>
      </c>
      <c r="D1073" s="13">
        <v>10</v>
      </c>
    </row>
    <row r="1074" spans="3:4" x14ac:dyDescent="0.2">
      <c r="C1074" t="s">
        <v>6102</v>
      </c>
      <c r="D1074" s="13">
        <v>10</v>
      </c>
    </row>
    <row r="1075" spans="3:4" x14ac:dyDescent="0.2">
      <c r="C1075" t="s">
        <v>6458</v>
      </c>
      <c r="D1075" s="13">
        <v>10</v>
      </c>
    </row>
    <row r="1076" spans="3:4" x14ac:dyDescent="0.2">
      <c r="C1076" t="s">
        <v>7578</v>
      </c>
      <c r="D1076" s="13">
        <v>10</v>
      </c>
    </row>
    <row r="1077" spans="3:4" x14ac:dyDescent="0.2">
      <c r="C1077" t="s">
        <v>7773</v>
      </c>
      <c r="D1077" s="13">
        <v>10</v>
      </c>
    </row>
    <row r="1078" spans="3:4" x14ac:dyDescent="0.2">
      <c r="C1078" t="s">
        <v>8223</v>
      </c>
      <c r="D1078" s="13">
        <v>10</v>
      </c>
    </row>
    <row r="1079" spans="3:4" x14ac:dyDescent="0.2">
      <c r="C1079" t="s">
        <v>694</v>
      </c>
      <c r="D1079" s="13">
        <v>10</v>
      </c>
    </row>
    <row r="1080" spans="3:4" x14ac:dyDescent="0.2">
      <c r="C1080" t="s">
        <v>862</v>
      </c>
      <c r="D1080" s="13">
        <v>10</v>
      </c>
    </row>
    <row r="1081" spans="3:4" x14ac:dyDescent="0.2">
      <c r="C1081" t="s">
        <v>992</v>
      </c>
      <c r="D1081" s="13">
        <v>10</v>
      </c>
    </row>
    <row r="1082" spans="3:4" x14ac:dyDescent="0.2">
      <c r="C1082" t="s">
        <v>1983</v>
      </c>
      <c r="D1082" s="13">
        <v>10</v>
      </c>
    </row>
    <row r="1083" spans="3:4" x14ac:dyDescent="0.2">
      <c r="C1083" t="s">
        <v>3703</v>
      </c>
      <c r="D1083" s="13">
        <v>10</v>
      </c>
    </row>
    <row r="1084" spans="3:4" x14ac:dyDescent="0.2">
      <c r="C1084" t="s">
        <v>3931</v>
      </c>
      <c r="D1084" s="13">
        <v>10</v>
      </c>
    </row>
    <row r="1085" spans="3:4" x14ac:dyDescent="0.2">
      <c r="C1085" t="s">
        <v>4371</v>
      </c>
      <c r="D1085" s="13">
        <v>10</v>
      </c>
    </row>
    <row r="1086" spans="3:4" x14ac:dyDescent="0.2">
      <c r="C1086" t="s">
        <v>5387</v>
      </c>
      <c r="D1086" s="13">
        <v>10</v>
      </c>
    </row>
    <row r="1087" spans="3:4" x14ac:dyDescent="0.2">
      <c r="C1087" t="s">
        <v>6708</v>
      </c>
      <c r="D1087" s="13">
        <v>10</v>
      </c>
    </row>
    <row r="1088" spans="3:4" x14ac:dyDescent="0.2">
      <c r="C1088" t="s">
        <v>7136</v>
      </c>
      <c r="D1088" s="13">
        <v>10</v>
      </c>
    </row>
    <row r="1089" spans="3:4" x14ac:dyDescent="0.2">
      <c r="C1089" t="s">
        <v>7165</v>
      </c>
      <c r="D1089" s="13">
        <v>10</v>
      </c>
    </row>
    <row r="1090" spans="3:4" x14ac:dyDescent="0.2">
      <c r="C1090" t="s">
        <v>7452</v>
      </c>
      <c r="D1090" s="13">
        <v>10</v>
      </c>
    </row>
    <row r="1091" spans="3:4" x14ac:dyDescent="0.2">
      <c r="C1091" t="s">
        <v>7835</v>
      </c>
      <c r="D1091" s="13">
        <v>10</v>
      </c>
    </row>
    <row r="1092" spans="3:4" x14ac:dyDescent="0.2">
      <c r="C1092" t="s">
        <v>8340</v>
      </c>
      <c r="D1092" s="13">
        <v>10</v>
      </c>
    </row>
    <row r="1093" spans="3:4" x14ac:dyDescent="0.2">
      <c r="C1093" t="s">
        <v>552</v>
      </c>
      <c r="D1093" s="13">
        <v>10</v>
      </c>
    </row>
    <row r="1094" spans="3:4" x14ac:dyDescent="0.2">
      <c r="C1094" t="s">
        <v>673</v>
      </c>
      <c r="D1094" s="13">
        <v>10</v>
      </c>
    </row>
    <row r="1095" spans="3:4" x14ac:dyDescent="0.2">
      <c r="C1095" t="s">
        <v>713</v>
      </c>
      <c r="D1095" s="13">
        <v>10</v>
      </c>
    </row>
    <row r="1096" spans="3:4" x14ac:dyDescent="0.2">
      <c r="C1096" t="s">
        <v>745</v>
      </c>
      <c r="D1096" s="13">
        <v>10</v>
      </c>
    </row>
    <row r="1097" spans="3:4" x14ac:dyDescent="0.2">
      <c r="C1097" t="s">
        <v>770</v>
      </c>
      <c r="D1097" s="13">
        <v>10</v>
      </c>
    </row>
    <row r="1098" spans="3:4" x14ac:dyDescent="0.2">
      <c r="C1098" t="s">
        <v>989</v>
      </c>
      <c r="D1098" s="13">
        <v>10</v>
      </c>
    </row>
    <row r="1099" spans="3:4" x14ac:dyDescent="0.2">
      <c r="C1099" t="s">
        <v>990</v>
      </c>
      <c r="D1099" s="13">
        <v>10</v>
      </c>
    </row>
    <row r="1100" spans="3:4" x14ac:dyDescent="0.2">
      <c r="C1100" t="s">
        <v>1088</v>
      </c>
      <c r="D1100" s="13">
        <v>10</v>
      </c>
    </row>
    <row r="1101" spans="3:4" x14ac:dyDescent="0.2">
      <c r="C1101" t="s">
        <v>1514</v>
      </c>
      <c r="D1101" s="13">
        <v>10</v>
      </c>
    </row>
    <row r="1102" spans="3:4" x14ac:dyDescent="0.2">
      <c r="C1102" t="s">
        <v>1880</v>
      </c>
      <c r="D1102" s="13">
        <v>10</v>
      </c>
    </row>
    <row r="1103" spans="3:4" x14ac:dyDescent="0.2">
      <c r="C1103" t="s">
        <v>1971</v>
      </c>
      <c r="D1103" s="13">
        <v>10</v>
      </c>
    </row>
    <row r="1104" spans="3:4" x14ac:dyDescent="0.2">
      <c r="C1104" t="s">
        <v>2094</v>
      </c>
      <c r="D1104" s="13">
        <v>10</v>
      </c>
    </row>
    <row r="1105" spans="3:4" x14ac:dyDescent="0.2">
      <c r="C1105" t="s">
        <v>2325</v>
      </c>
      <c r="D1105" s="13">
        <v>10</v>
      </c>
    </row>
    <row r="1106" spans="3:4" x14ac:dyDescent="0.2">
      <c r="C1106" t="s">
        <v>2587</v>
      </c>
      <c r="D1106" s="13">
        <v>10</v>
      </c>
    </row>
    <row r="1107" spans="3:4" x14ac:dyDescent="0.2">
      <c r="C1107" t="s">
        <v>2619</v>
      </c>
      <c r="D1107" s="13">
        <v>10</v>
      </c>
    </row>
    <row r="1108" spans="3:4" x14ac:dyDescent="0.2">
      <c r="C1108" t="s">
        <v>2765</v>
      </c>
      <c r="D1108" s="13">
        <v>10</v>
      </c>
    </row>
    <row r="1109" spans="3:4" x14ac:dyDescent="0.2">
      <c r="C1109" t="s">
        <v>2902</v>
      </c>
      <c r="D1109" s="13">
        <v>10</v>
      </c>
    </row>
    <row r="1110" spans="3:4" x14ac:dyDescent="0.2">
      <c r="C1110" t="s">
        <v>3005</v>
      </c>
      <c r="D1110" s="13">
        <v>10</v>
      </c>
    </row>
    <row r="1111" spans="3:4" x14ac:dyDescent="0.2">
      <c r="C1111" t="s">
        <v>3133</v>
      </c>
      <c r="D1111" s="13">
        <v>10</v>
      </c>
    </row>
    <row r="1112" spans="3:4" x14ac:dyDescent="0.2">
      <c r="C1112" t="s">
        <v>3238</v>
      </c>
      <c r="D1112" s="13">
        <v>10</v>
      </c>
    </row>
    <row r="1113" spans="3:4" x14ac:dyDescent="0.2">
      <c r="C1113" t="s">
        <v>3559</v>
      </c>
      <c r="D1113" s="13">
        <v>10</v>
      </c>
    </row>
    <row r="1114" spans="3:4" x14ac:dyDescent="0.2">
      <c r="C1114" t="s">
        <v>3593</v>
      </c>
      <c r="D1114" s="13">
        <v>10</v>
      </c>
    </row>
    <row r="1115" spans="3:4" x14ac:dyDescent="0.2">
      <c r="C1115" t="s">
        <v>3678</v>
      </c>
      <c r="D1115" s="13">
        <v>10</v>
      </c>
    </row>
    <row r="1116" spans="3:4" x14ac:dyDescent="0.2">
      <c r="C1116" t="s">
        <v>3685</v>
      </c>
      <c r="D1116" s="13">
        <v>10</v>
      </c>
    </row>
    <row r="1117" spans="3:4" x14ac:dyDescent="0.2">
      <c r="C1117" t="s">
        <v>4009</v>
      </c>
      <c r="D1117" s="13">
        <v>10</v>
      </c>
    </row>
    <row r="1118" spans="3:4" x14ac:dyDescent="0.2">
      <c r="C1118" t="s">
        <v>4238</v>
      </c>
      <c r="D1118" s="13">
        <v>10</v>
      </c>
    </row>
    <row r="1119" spans="3:4" x14ac:dyDescent="0.2">
      <c r="C1119" t="s">
        <v>4239</v>
      </c>
      <c r="D1119" s="13">
        <v>10</v>
      </c>
    </row>
    <row r="1120" spans="3:4" x14ac:dyDescent="0.2">
      <c r="C1120" t="s">
        <v>4413</v>
      </c>
      <c r="D1120" s="13">
        <v>10</v>
      </c>
    </row>
    <row r="1121" spans="3:4" x14ac:dyDescent="0.2">
      <c r="C1121" t="s">
        <v>4446</v>
      </c>
      <c r="D1121" s="13">
        <v>10</v>
      </c>
    </row>
    <row r="1122" spans="3:4" x14ac:dyDescent="0.2">
      <c r="C1122" t="s">
        <v>4721</v>
      </c>
      <c r="D1122" s="13">
        <v>10</v>
      </c>
    </row>
    <row r="1123" spans="3:4" x14ac:dyDescent="0.2">
      <c r="C1123" t="s">
        <v>4737</v>
      </c>
      <c r="D1123" s="13">
        <v>10</v>
      </c>
    </row>
    <row r="1124" spans="3:4" x14ac:dyDescent="0.2">
      <c r="C1124" t="s">
        <v>4750</v>
      </c>
      <c r="D1124" s="13">
        <v>10</v>
      </c>
    </row>
    <row r="1125" spans="3:4" x14ac:dyDescent="0.2">
      <c r="C1125" t="s">
        <v>4754</v>
      </c>
      <c r="D1125" s="13">
        <v>10</v>
      </c>
    </row>
    <row r="1126" spans="3:4" x14ac:dyDescent="0.2">
      <c r="C1126" t="s">
        <v>5100</v>
      </c>
      <c r="D1126" s="13">
        <v>10</v>
      </c>
    </row>
    <row r="1127" spans="3:4" x14ac:dyDescent="0.2">
      <c r="C1127" t="s">
        <v>5442</v>
      </c>
      <c r="D1127" s="13">
        <v>10</v>
      </c>
    </row>
    <row r="1128" spans="3:4" x14ac:dyDescent="0.2">
      <c r="C1128" t="s">
        <v>5729</v>
      </c>
      <c r="D1128" s="13">
        <v>10</v>
      </c>
    </row>
    <row r="1129" spans="3:4" x14ac:dyDescent="0.2">
      <c r="C1129" t="s">
        <v>5879</v>
      </c>
      <c r="D1129" s="13">
        <v>10</v>
      </c>
    </row>
    <row r="1130" spans="3:4" x14ac:dyDescent="0.2">
      <c r="C1130" t="s">
        <v>5976</v>
      </c>
      <c r="D1130" s="13">
        <v>10</v>
      </c>
    </row>
    <row r="1131" spans="3:4" x14ac:dyDescent="0.2">
      <c r="C1131" t="s">
        <v>6140</v>
      </c>
      <c r="D1131" s="13">
        <v>10</v>
      </c>
    </row>
    <row r="1132" spans="3:4" x14ac:dyDescent="0.2">
      <c r="C1132" t="s">
        <v>6207</v>
      </c>
      <c r="D1132" s="13">
        <v>10</v>
      </c>
    </row>
    <row r="1133" spans="3:4" x14ac:dyDescent="0.2">
      <c r="C1133" t="s">
        <v>6241</v>
      </c>
      <c r="D1133" s="13">
        <v>10</v>
      </c>
    </row>
    <row r="1134" spans="3:4" x14ac:dyDescent="0.2">
      <c r="C1134" t="s">
        <v>6400</v>
      </c>
      <c r="D1134" s="13">
        <v>10</v>
      </c>
    </row>
    <row r="1135" spans="3:4" x14ac:dyDescent="0.2">
      <c r="C1135" t="s">
        <v>6431</v>
      </c>
      <c r="D1135" s="13">
        <v>10</v>
      </c>
    </row>
    <row r="1136" spans="3:4" x14ac:dyDescent="0.2">
      <c r="C1136" t="s">
        <v>6456</v>
      </c>
      <c r="D1136" s="13">
        <v>10</v>
      </c>
    </row>
    <row r="1137" spans="3:4" x14ac:dyDescent="0.2">
      <c r="C1137" t="s">
        <v>6522</v>
      </c>
      <c r="D1137" s="13">
        <v>10</v>
      </c>
    </row>
    <row r="1138" spans="3:4" x14ac:dyDescent="0.2">
      <c r="C1138" t="s">
        <v>6524</v>
      </c>
      <c r="D1138" s="13">
        <v>10</v>
      </c>
    </row>
    <row r="1139" spans="3:4" x14ac:dyDescent="0.2">
      <c r="C1139" t="s">
        <v>7066</v>
      </c>
      <c r="D1139" s="13">
        <v>10</v>
      </c>
    </row>
    <row r="1140" spans="3:4" x14ac:dyDescent="0.2">
      <c r="C1140" t="s">
        <v>7202</v>
      </c>
      <c r="D1140" s="13">
        <v>10</v>
      </c>
    </row>
    <row r="1141" spans="3:4" x14ac:dyDescent="0.2">
      <c r="C1141" t="s">
        <v>7311</v>
      </c>
      <c r="D1141" s="13">
        <v>10</v>
      </c>
    </row>
    <row r="1142" spans="3:4" x14ac:dyDescent="0.2">
      <c r="C1142" t="s">
        <v>7433</v>
      </c>
      <c r="D1142" s="13">
        <v>10</v>
      </c>
    </row>
    <row r="1143" spans="3:4" x14ac:dyDescent="0.2">
      <c r="C1143" t="s">
        <v>7540</v>
      </c>
      <c r="D1143" s="13">
        <v>10</v>
      </c>
    </row>
    <row r="1144" spans="3:4" x14ac:dyDescent="0.2">
      <c r="C1144" t="s">
        <v>7692</v>
      </c>
      <c r="D1144" s="13">
        <v>10</v>
      </c>
    </row>
    <row r="1145" spans="3:4" x14ac:dyDescent="0.2">
      <c r="C1145" t="s">
        <v>8157</v>
      </c>
      <c r="D1145" s="13">
        <v>10</v>
      </c>
    </row>
    <row r="1146" spans="3:4" x14ac:dyDescent="0.2">
      <c r="C1146" t="s">
        <v>8466</v>
      </c>
      <c r="D1146" s="13">
        <v>10</v>
      </c>
    </row>
    <row r="1147" spans="3:4" x14ac:dyDescent="0.2">
      <c r="C1147" t="s">
        <v>8702</v>
      </c>
      <c r="D1147" s="13">
        <v>10</v>
      </c>
    </row>
    <row r="1148" spans="3:4" x14ac:dyDescent="0.2">
      <c r="C1148" t="s">
        <v>209</v>
      </c>
      <c r="D1148" s="13">
        <v>10</v>
      </c>
    </row>
    <row r="1149" spans="3:4" x14ac:dyDescent="0.2">
      <c r="C1149" t="s">
        <v>375</v>
      </c>
      <c r="D1149" s="13">
        <v>10</v>
      </c>
    </row>
    <row r="1150" spans="3:4" x14ac:dyDescent="0.2">
      <c r="C1150" t="s">
        <v>395</v>
      </c>
      <c r="D1150" s="13">
        <v>10</v>
      </c>
    </row>
    <row r="1151" spans="3:4" x14ac:dyDescent="0.2">
      <c r="C1151" t="s">
        <v>507</v>
      </c>
      <c r="D1151" s="13">
        <v>10</v>
      </c>
    </row>
    <row r="1152" spans="3:4" x14ac:dyDescent="0.2">
      <c r="C1152" t="s">
        <v>823</v>
      </c>
      <c r="D1152" s="13">
        <v>10</v>
      </c>
    </row>
    <row r="1153" spans="3:4" x14ac:dyDescent="0.2">
      <c r="C1153" t="s">
        <v>1041</v>
      </c>
      <c r="D1153" s="13">
        <v>10</v>
      </c>
    </row>
    <row r="1154" spans="3:4" x14ac:dyDescent="0.2">
      <c r="C1154" t="s">
        <v>2549</v>
      </c>
      <c r="D1154" s="13">
        <v>10</v>
      </c>
    </row>
    <row r="1155" spans="3:4" x14ac:dyDescent="0.2">
      <c r="C1155" t="s">
        <v>4497</v>
      </c>
      <c r="D1155" s="13">
        <v>10</v>
      </c>
    </row>
    <row r="1156" spans="3:4" x14ac:dyDescent="0.2">
      <c r="C1156" t="s">
        <v>4588</v>
      </c>
      <c r="D1156" s="13">
        <v>10</v>
      </c>
    </row>
    <row r="1157" spans="3:4" x14ac:dyDescent="0.2">
      <c r="C1157" t="s">
        <v>4697</v>
      </c>
      <c r="D1157" s="13">
        <v>10</v>
      </c>
    </row>
    <row r="1158" spans="3:4" x14ac:dyDescent="0.2">
      <c r="C1158" t="s">
        <v>4980</v>
      </c>
      <c r="D1158" s="13">
        <v>10</v>
      </c>
    </row>
    <row r="1159" spans="3:4" x14ac:dyDescent="0.2">
      <c r="C1159" t="s">
        <v>5633</v>
      </c>
      <c r="D1159" s="13">
        <v>10</v>
      </c>
    </row>
    <row r="1160" spans="3:4" x14ac:dyDescent="0.2">
      <c r="C1160" t="s">
        <v>5665</v>
      </c>
      <c r="D1160" s="13">
        <v>10</v>
      </c>
    </row>
    <row r="1161" spans="3:4" x14ac:dyDescent="0.2">
      <c r="C1161" t="s">
        <v>5753</v>
      </c>
      <c r="D1161" s="13">
        <v>10</v>
      </c>
    </row>
    <row r="1162" spans="3:4" x14ac:dyDescent="0.2">
      <c r="C1162" t="s">
        <v>5825</v>
      </c>
      <c r="D1162" s="13">
        <v>10</v>
      </c>
    </row>
    <row r="1163" spans="3:4" x14ac:dyDescent="0.2">
      <c r="C1163" t="s">
        <v>5884</v>
      </c>
      <c r="D1163" s="13">
        <v>10</v>
      </c>
    </row>
    <row r="1164" spans="3:4" x14ac:dyDescent="0.2">
      <c r="C1164" t="s">
        <v>6114</v>
      </c>
      <c r="D1164" s="13">
        <v>10</v>
      </c>
    </row>
    <row r="1165" spans="3:4" x14ac:dyDescent="0.2">
      <c r="C1165" t="s">
        <v>6557</v>
      </c>
      <c r="D1165" s="13">
        <v>10</v>
      </c>
    </row>
    <row r="1166" spans="3:4" x14ac:dyDescent="0.2">
      <c r="C1166" t="s">
        <v>7033</v>
      </c>
      <c r="D1166" s="13">
        <v>10</v>
      </c>
    </row>
    <row r="1167" spans="3:4" x14ac:dyDescent="0.2">
      <c r="C1167" t="s">
        <v>7292</v>
      </c>
      <c r="D1167" s="13">
        <v>10</v>
      </c>
    </row>
    <row r="1168" spans="3:4" x14ac:dyDescent="0.2">
      <c r="C1168" t="s">
        <v>7716</v>
      </c>
      <c r="D1168" s="13">
        <v>10</v>
      </c>
    </row>
    <row r="1169" spans="3:4" x14ac:dyDescent="0.2">
      <c r="C1169" t="s">
        <v>8401</v>
      </c>
      <c r="D1169" s="13">
        <v>10</v>
      </c>
    </row>
    <row r="1170" spans="3:4" x14ac:dyDescent="0.2">
      <c r="C1170" t="s">
        <v>312</v>
      </c>
      <c r="D1170" s="13">
        <v>10</v>
      </c>
    </row>
    <row r="1171" spans="3:4" x14ac:dyDescent="0.2">
      <c r="C1171" t="s">
        <v>354</v>
      </c>
      <c r="D1171" s="13">
        <v>10</v>
      </c>
    </row>
    <row r="1172" spans="3:4" x14ac:dyDescent="0.2">
      <c r="C1172" t="s">
        <v>441</v>
      </c>
      <c r="D1172" s="13">
        <v>10</v>
      </c>
    </row>
    <row r="1173" spans="3:4" x14ac:dyDescent="0.2">
      <c r="C1173" t="s">
        <v>449</v>
      </c>
      <c r="D1173" s="13">
        <v>10</v>
      </c>
    </row>
    <row r="1174" spans="3:4" x14ac:dyDescent="0.2">
      <c r="C1174" t="s">
        <v>953</v>
      </c>
      <c r="D1174" s="13">
        <v>10</v>
      </c>
    </row>
    <row r="1175" spans="3:4" x14ac:dyDescent="0.2">
      <c r="C1175" t="s">
        <v>1106</v>
      </c>
      <c r="D1175" s="13">
        <v>10</v>
      </c>
    </row>
    <row r="1176" spans="3:4" x14ac:dyDescent="0.2">
      <c r="C1176" t="s">
        <v>1274</v>
      </c>
      <c r="D1176" s="13">
        <v>10</v>
      </c>
    </row>
    <row r="1177" spans="3:4" x14ac:dyDescent="0.2">
      <c r="C1177" t="s">
        <v>1360</v>
      </c>
      <c r="D1177" s="13">
        <v>10</v>
      </c>
    </row>
    <row r="1178" spans="3:4" x14ac:dyDescent="0.2">
      <c r="C1178" t="s">
        <v>1531</v>
      </c>
      <c r="D1178" s="13">
        <v>10</v>
      </c>
    </row>
    <row r="1179" spans="3:4" x14ac:dyDescent="0.2">
      <c r="C1179" t="s">
        <v>1693</v>
      </c>
      <c r="D1179" s="13">
        <v>10</v>
      </c>
    </row>
    <row r="1180" spans="3:4" x14ac:dyDescent="0.2">
      <c r="C1180" t="s">
        <v>1703</v>
      </c>
      <c r="D1180" s="13">
        <v>10</v>
      </c>
    </row>
    <row r="1181" spans="3:4" x14ac:dyDescent="0.2">
      <c r="C1181" t="s">
        <v>2171</v>
      </c>
      <c r="D1181" s="13">
        <v>10</v>
      </c>
    </row>
    <row r="1182" spans="3:4" x14ac:dyDescent="0.2">
      <c r="C1182" t="s">
        <v>2342</v>
      </c>
      <c r="D1182" s="13">
        <v>10</v>
      </c>
    </row>
    <row r="1183" spans="3:4" x14ac:dyDescent="0.2">
      <c r="C1183" t="s">
        <v>2344</v>
      </c>
      <c r="D1183" s="13">
        <v>10</v>
      </c>
    </row>
    <row r="1184" spans="3:4" x14ac:dyDescent="0.2">
      <c r="C1184" t="s">
        <v>2415</v>
      </c>
      <c r="D1184" s="13">
        <v>10</v>
      </c>
    </row>
    <row r="1185" spans="3:4" x14ac:dyDescent="0.2">
      <c r="C1185" t="s">
        <v>2593</v>
      </c>
      <c r="D1185" s="13">
        <v>10</v>
      </c>
    </row>
    <row r="1186" spans="3:4" x14ac:dyDescent="0.2">
      <c r="C1186" t="s">
        <v>2681</v>
      </c>
      <c r="D1186" s="13">
        <v>10</v>
      </c>
    </row>
    <row r="1187" spans="3:4" x14ac:dyDescent="0.2">
      <c r="C1187" t="s">
        <v>2728</v>
      </c>
      <c r="D1187" s="13">
        <v>10</v>
      </c>
    </row>
    <row r="1188" spans="3:4" x14ac:dyDescent="0.2">
      <c r="C1188" t="s">
        <v>2843</v>
      </c>
      <c r="D1188" s="13">
        <v>10</v>
      </c>
    </row>
    <row r="1189" spans="3:4" x14ac:dyDescent="0.2">
      <c r="C1189" t="s">
        <v>2997</v>
      </c>
      <c r="D1189" s="13">
        <v>10</v>
      </c>
    </row>
    <row r="1190" spans="3:4" x14ac:dyDescent="0.2">
      <c r="C1190" t="s">
        <v>3014</v>
      </c>
      <c r="D1190" s="13">
        <v>10</v>
      </c>
    </row>
    <row r="1191" spans="3:4" x14ac:dyDescent="0.2">
      <c r="C1191" t="s">
        <v>3055</v>
      </c>
      <c r="D1191" s="13">
        <v>10</v>
      </c>
    </row>
    <row r="1192" spans="3:4" x14ac:dyDescent="0.2">
      <c r="C1192" t="s">
        <v>3078</v>
      </c>
      <c r="D1192" s="13">
        <v>10</v>
      </c>
    </row>
    <row r="1193" spans="3:4" x14ac:dyDescent="0.2">
      <c r="C1193" t="s">
        <v>3342</v>
      </c>
      <c r="D1193" s="13">
        <v>10</v>
      </c>
    </row>
    <row r="1194" spans="3:4" x14ac:dyDescent="0.2">
      <c r="C1194" t="s">
        <v>3354</v>
      </c>
      <c r="D1194" s="13">
        <v>10</v>
      </c>
    </row>
    <row r="1195" spans="3:4" x14ac:dyDescent="0.2">
      <c r="C1195" t="s">
        <v>3517</v>
      </c>
      <c r="D1195" s="13">
        <v>10</v>
      </c>
    </row>
    <row r="1196" spans="3:4" x14ac:dyDescent="0.2">
      <c r="C1196" t="s">
        <v>4033</v>
      </c>
      <c r="D1196" s="13">
        <v>10</v>
      </c>
    </row>
    <row r="1197" spans="3:4" x14ac:dyDescent="0.2">
      <c r="C1197" t="s">
        <v>4270</v>
      </c>
      <c r="D1197" s="13">
        <v>10</v>
      </c>
    </row>
    <row r="1198" spans="3:4" x14ac:dyDescent="0.2">
      <c r="C1198" t="s">
        <v>4532</v>
      </c>
      <c r="D1198" s="13">
        <v>10</v>
      </c>
    </row>
    <row r="1199" spans="3:4" x14ac:dyDescent="0.2">
      <c r="C1199" t="s">
        <v>4695</v>
      </c>
      <c r="D1199" s="13">
        <v>10</v>
      </c>
    </row>
    <row r="1200" spans="3:4" x14ac:dyDescent="0.2">
      <c r="C1200" t="s">
        <v>4807</v>
      </c>
      <c r="D1200" s="13">
        <v>10</v>
      </c>
    </row>
    <row r="1201" spans="3:4" x14ac:dyDescent="0.2">
      <c r="C1201" t="s">
        <v>4848</v>
      </c>
      <c r="D1201" s="13">
        <v>10</v>
      </c>
    </row>
    <row r="1202" spans="3:4" x14ac:dyDescent="0.2">
      <c r="C1202" t="s">
        <v>5299</v>
      </c>
      <c r="D1202" s="13">
        <v>10</v>
      </c>
    </row>
    <row r="1203" spans="3:4" x14ac:dyDescent="0.2">
      <c r="C1203" t="s">
        <v>5675</v>
      </c>
      <c r="D1203" s="13">
        <v>10</v>
      </c>
    </row>
    <row r="1204" spans="3:4" x14ac:dyDescent="0.2">
      <c r="C1204" t="s">
        <v>5714</v>
      </c>
      <c r="D1204" s="13">
        <v>10</v>
      </c>
    </row>
    <row r="1205" spans="3:4" x14ac:dyDescent="0.2">
      <c r="C1205" t="s">
        <v>5937</v>
      </c>
      <c r="D1205" s="13">
        <v>10</v>
      </c>
    </row>
    <row r="1206" spans="3:4" x14ac:dyDescent="0.2">
      <c r="C1206" t="s">
        <v>6113</v>
      </c>
      <c r="D1206" s="13">
        <v>10</v>
      </c>
    </row>
    <row r="1207" spans="3:4" x14ac:dyDescent="0.2">
      <c r="C1207" t="s">
        <v>6305</v>
      </c>
      <c r="D1207" s="13">
        <v>10</v>
      </c>
    </row>
    <row r="1208" spans="3:4" x14ac:dyDescent="0.2">
      <c r="C1208" t="s">
        <v>6307</v>
      </c>
      <c r="D1208" s="13">
        <v>10</v>
      </c>
    </row>
    <row r="1209" spans="3:4" x14ac:dyDescent="0.2">
      <c r="C1209" t="s">
        <v>6491</v>
      </c>
      <c r="D1209" s="13">
        <v>10</v>
      </c>
    </row>
    <row r="1210" spans="3:4" x14ac:dyDescent="0.2">
      <c r="C1210" t="s">
        <v>6533</v>
      </c>
      <c r="D1210" s="13">
        <v>10</v>
      </c>
    </row>
    <row r="1211" spans="3:4" x14ac:dyDescent="0.2">
      <c r="C1211" t="s">
        <v>6725</v>
      </c>
      <c r="D1211" s="13">
        <v>10</v>
      </c>
    </row>
    <row r="1212" spans="3:4" x14ac:dyDescent="0.2">
      <c r="C1212" t="s">
        <v>7085</v>
      </c>
      <c r="D1212" s="13">
        <v>10</v>
      </c>
    </row>
    <row r="1213" spans="3:4" x14ac:dyDescent="0.2">
      <c r="C1213" t="s">
        <v>7177</v>
      </c>
      <c r="D1213" s="13">
        <v>10</v>
      </c>
    </row>
    <row r="1214" spans="3:4" x14ac:dyDescent="0.2">
      <c r="C1214" t="s">
        <v>7181</v>
      </c>
      <c r="D1214" s="13">
        <v>10</v>
      </c>
    </row>
    <row r="1215" spans="3:4" x14ac:dyDescent="0.2">
      <c r="C1215" t="s">
        <v>7466</v>
      </c>
      <c r="D1215" s="13">
        <v>10</v>
      </c>
    </row>
    <row r="1216" spans="3:4" x14ac:dyDescent="0.2">
      <c r="C1216" t="s">
        <v>7672</v>
      </c>
      <c r="D1216" s="13">
        <v>10</v>
      </c>
    </row>
    <row r="1217" spans="3:4" x14ac:dyDescent="0.2">
      <c r="C1217" t="s">
        <v>8529</v>
      </c>
      <c r="D1217" s="13">
        <v>10</v>
      </c>
    </row>
    <row r="1218" spans="3:4" x14ac:dyDescent="0.2">
      <c r="C1218" t="s">
        <v>127</v>
      </c>
      <c r="D1218" s="13">
        <v>10</v>
      </c>
    </row>
    <row r="1219" spans="3:4" x14ac:dyDescent="0.2">
      <c r="C1219" t="s">
        <v>146</v>
      </c>
      <c r="D1219" s="13">
        <v>10</v>
      </c>
    </row>
    <row r="1220" spans="3:4" x14ac:dyDescent="0.2">
      <c r="C1220" t="s">
        <v>148</v>
      </c>
      <c r="D1220" s="13">
        <v>10</v>
      </c>
    </row>
    <row r="1221" spans="3:4" x14ac:dyDescent="0.2">
      <c r="C1221" t="s">
        <v>164</v>
      </c>
      <c r="D1221" s="13">
        <v>10</v>
      </c>
    </row>
    <row r="1222" spans="3:4" x14ac:dyDescent="0.2">
      <c r="C1222" t="s">
        <v>168</v>
      </c>
      <c r="D1222" s="13">
        <v>10</v>
      </c>
    </row>
    <row r="1223" spans="3:4" x14ac:dyDescent="0.2">
      <c r="C1223" t="s">
        <v>230</v>
      </c>
      <c r="D1223" s="13">
        <v>10</v>
      </c>
    </row>
    <row r="1224" spans="3:4" x14ac:dyDescent="0.2">
      <c r="C1224" t="s">
        <v>264</v>
      </c>
      <c r="D1224" s="13">
        <v>10</v>
      </c>
    </row>
    <row r="1225" spans="3:4" x14ac:dyDescent="0.2">
      <c r="C1225" t="s">
        <v>297</v>
      </c>
      <c r="D1225" s="13">
        <v>10</v>
      </c>
    </row>
    <row r="1226" spans="3:4" x14ac:dyDescent="0.2">
      <c r="C1226" t="s">
        <v>308</v>
      </c>
      <c r="D1226" s="13">
        <v>10</v>
      </c>
    </row>
    <row r="1227" spans="3:4" x14ac:dyDescent="0.2">
      <c r="C1227" t="s">
        <v>353</v>
      </c>
      <c r="D1227" s="13">
        <v>10</v>
      </c>
    </row>
    <row r="1228" spans="3:4" x14ac:dyDescent="0.2">
      <c r="C1228" t="s">
        <v>365</v>
      </c>
      <c r="D1228" s="13">
        <v>10</v>
      </c>
    </row>
    <row r="1229" spans="3:4" x14ac:dyDescent="0.2">
      <c r="C1229" t="s">
        <v>394</v>
      </c>
      <c r="D1229" s="13">
        <v>10</v>
      </c>
    </row>
    <row r="1230" spans="3:4" x14ac:dyDescent="0.2">
      <c r="C1230" t="s">
        <v>415</v>
      </c>
      <c r="D1230" s="13">
        <v>10</v>
      </c>
    </row>
    <row r="1231" spans="3:4" x14ac:dyDescent="0.2">
      <c r="C1231" t="s">
        <v>429</v>
      </c>
      <c r="D1231" s="13">
        <v>10</v>
      </c>
    </row>
    <row r="1232" spans="3:4" x14ac:dyDescent="0.2">
      <c r="C1232" t="s">
        <v>455</v>
      </c>
      <c r="D1232" s="13">
        <v>10</v>
      </c>
    </row>
    <row r="1233" spans="3:4" x14ac:dyDescent="0.2">
      <c r="C1233" t="s">
        <v>499</v>
      </c>
      <c r="D1233" s="13">
        <v>10</v>
      </c>
    </row>
    <row r="1234" spans="3:4" x14ac:dyDescent="0.2">
      <c r="C1234" t="s">
        <v>535</v>
      </c>
      <c r="D1234" s="13">
        <v>10</v>
      </c>
    </row>
    <row r="1235" spans="3:4" x14ac:dyDescent="0.2">
      <c r="C1235" t="s">
        <v>561</v>
      </c>
      <c r="D1235" s="13">
        <v>10</v>
      </c>
    </row>
    <row r="1236" spans="3:4" x14ac:dyDescent="0.2">
      <c r="C1236" t="s">
        <v>661</v>
      </c>
      <c r="D1236" s="13">
        <v>10</v>
      </c>
    </row>
    <row r="1237" spans="3:4" x14ac:dyDescent="0.2">
      <c r="C1237" t="s">
        <v>753</v>
      </c>
      <c r="D1237" s="13">
        <v>10</v>
      </c>
    </row>
    <row r="1238" spans="3:4" x14ac:dyDescent="0.2">
      <c r="C1238" t="s">
        <v>848</v>
      </c>
      <c r="D1238" s="13">
        <v>10</v>
      </c>
    </row>
    <row r="1239" spans="3:4" x14ac:dyDescent="0.2">
      <c r="C1239" t="s">
        <v>856</v>
      </c>
      <c r="D1239" s="13">
        <v>10</v>
      </c>
    </row>
    <row r="1240" spans="3:4" x14ac:dyDescent="0.2">
      <c r="C1240" t="s">
        <v>884</v>
      </c>
      <c r="D1240" s="13">
        <v>10</v>
      </c>
    </row>
    <row r="1241" spans="3:4" x14ac:dyDescent="0.2">
      <c r="C1241" t="s">
        <v>919</v>
      </c>
      <c r="D1241" s="13">
        <v>10</v>
      </c>
    </row>
    <row r="1242" spans="3:4" x14ac:dyDescent="0.2">
      <c r="C1242" t="s">
        <v>947</v>
      </c>
      <c r="D1242" s="13">
        <v>10</v>
      </c>
    </row>
    <row r="1243" spans="3:4" x14ac:dyDescent="0.2">
      <c r="C1243" t="s">
        <v>981</v>
      </c>
      <c r="D1243" s="13">
        <v>10</v>
      </c>
    </row>
    <row r="1244" spans="3:4" x14ac:dyDescent="0.2">
      <c r="C1244" t="s">
        <v>1025</v>
      </c>
      <c r="D1244" s="13">
        <v>10</v>
      </c>
    </row>
    <row r="1245" spans="3:4" x14ac:dyDescent="0.2">
      <c r="C1245" t="s">
        <v>1029</v>
      </c>
      <c r="D1245" s="13">
        <v>10</v>
      </c>
    </row>
    <row r="1246" spans="3:4" x14ac:dyDescent="0.2">
      <c r="C1246" t="s">
        <v>1077</v>
      </c>
      <c r="D1246" s="13">
        <v>10</v>
      </c>
    </row>
    <row r="1247" spans="3:4" x14ac:dyDescent="0.2">
      <c r="C1247" t="s">
        <v>1173</v>
      </c>
      <c r="D1247" s="13">
        <v>10</v>
      </c>
    </row>
    <row r="1248" spans="3:4" x14ac:dyDescent="0.2">
      <c r="C1248" t="s">
        <v>1227</v>
      </c>
      <c r="D1248" s="13">
        <v>10</v>
      </c>
    </row>
    <row r="1249" spans="3:4" x14ac:dyDescent="0.2">
      <c r="C1249" t="s">
        <v>1261</v>
      </c>
      <c r="D1249" s="13">
        <v>10</v>
      </c>
    </row>
    <row r="1250" spans="3:4" x14ac:dyDescent="0.2">
      <c r="C1250" t="s">
        <v>1442</v>
      </c>
      <c r="D1250" s="13">
        <v>10</v>
      </c>
    </row>
    <row r="1251" spans="3:4" x14ac:dyDescent="0.2">
      <c r="C1251" t="s">
        <v>1461</v>
      </c>
      <c r="D1251" s="13">
        <v>10</v>
      </c>
    </row>
    <row r="1252" spans="3:4" x14ac:dyDescent="0.2">
      <c r="C1252" t="s">
        <v>1500</v>
      </c>
      <c r="D1252" s="13">
        <v>10</v>
      </c>
    </row>
    <row r="1253" spans="3:4" x14ac:dyDescent="0.2">
      <c r="C1253" t="s">
        <v>1543</v>
      </c>
      <c r="D1253" s="13">
        <v>10</v>
      </c>
    </row>
    <row r="1254" spans="3:4" x14ac:dyDescent="0.2">
      <c r="C1254" t="s">
        <v>1571</v>
      </c>
      <c r="D1254" s="13">
        <v>10</v>
      </c>
    </row>
    <row r="1255" spans="3:4" x14ac:dyDescent="0.2">
      <c r="C1255" t="s">
        <v>1678</v>
      </c>
      <c r="D1255" s="13">
        <v>10</v>
      </c>
    </row>
    <row r="1256" spans="3:4" x14ac:dyDescent="0.2">
      <c r="C1256" t="s">
        <v>1692</v>
      </c>
      <c r="D1256" s="13">
        <v>10</v>
      </c>
    </row>
    <row r="1257" spans="3:4" x14ac:dyDescent="0.2">
      <c r="C1257" t="s">
        <v>1739</v>
      </c>
      <c r="D1257" s="13">
        <v>10</v>
      </c>
    </row>
    <row r="1258" spans="3:4" x14ac:dyDescent="0.2">
      <c r="C1258" t="s">
        <v>1745</v>
      </c>
      <c r="D1258" s="13">
        <v>10</v>
      </c>
    </row>
    <row r="1259" spans="3:4" x14ac:dyDescent="0.2">
      <c r="C1259" t="s">
        <v>1757</v>
      </c>
      <c r="D1259" s="13">
        <v>10</v>
      </c>
    </row>
    <row r="1260" spans="3:4" x14ac:dyDescent="0.2">
      <c r="C1260" t="s">
        <v>1759</v>
      </c>
      <c r="D1260" s="13">
        <v>10</v>
      </c>
    </row>
    <row r="1261" spans="3:4" x14ac:dyDescent="0.2">
      <c r="C1261" t="s">
        <v>1763</v>
      </c>
      <c r="D1261" s="13">
        <v>10</v>
      </c>
    </row>
    <row r="1262" spans="3:4" x14ac:dyDescent="0.2">
      <c r="C1262" t="s">
        <v>1902</v>
      </c>
      <c r="D1262" s="13">
        <v>10</v>
      </c>
    </row>
    <row r="1263" spans="3:4" x14ac:dyDescent="0.2">
      <c r="C1263" t="s">
        <v>1904</v>
      </c>
      <c r="D1263" s="13">
        <v>10</v>
      </c>
    </row>
    <row r="1264" spans="3:4" x14ac:dyDescent="0.2">
      <c r="C1264" t="s">
        <v>1932</v>
      </c>
      <c r="D1264" s="13">
        <v>10</v>
      </c>
    </row>
    <row r="1265" spans="3:4" x14ac:dyDescent="0.2">
      <c r="C1265" t="s">
        <v>1943</v>
      </c>
      <c r="D1265" s="13">
        <v>10</v>
      </c>
    </row>
    <row r="1266" spans="3:4" x14ac:dyDescent="0.2">
      <c r="C1266" t="s">
        <v>1985</v>
      </c>
      <c r="D1266" s="13">
        <v>10</v>
      </c>
    </row>
    <row r="1267" spans="3:4" x14ac:dyDescent="0.2">
      <c r="C1267" t="s">
        <v>1993</v>
      </c>
      <c r="D1267" s="13">
        <v>10</v>
      </c>
    </row>
    <row r="1268" spans="3:4" x14ac:dyDescent="0.2">
      <c r="C1268" t="s">
        <v>2027</v>
      </c>
      <c r="D1268" s="13">
        <v>10</v>
      </c>
    </row>
    <row r="1269" spans="3:4" x14ac:dyDescent="0.2">
      <c r="C1269" t="s">
        <v>2069</v>
      </c>
      <c r="D1269" s="13">
        <v>10</v>
      </c>
    </row>
    <row r="1270" spans="3:4" x14ac:dyDescent="0.2">
      <c r="C1270" t="s">
        <v>2079</v>
      </c>
      <c r="D1270" s="13">
        <v>10</v>
      </c>
    </row>
    <row r="1271" spans="3:4" x14ac:dyDescent="0.2">
      <c r="C1271" t="s">
        <v>2163</v>
      </c>
      <c r="D1271" s="13">
        <v>10</v>
      </c>
    </row>
    <row r="1272" spans="3:4" x14ac:dyDescent="0.2">
      <c r="C1272" t="s">
        <v>2203</v>
      </c>
      <c r="D1272" s="13">
        <v>10</v>
      </c>
    </row>
    <row r="1273" spans="3:4" x14ac:dyDescent="0.2">
      <c r="C1273" t="s">
        <v>2236</v>
      </c>
      <c r="D1273" s="13">
        <v>10</v>
      </c>
    </row>
    <row r="1274" spans="3:4" x14ac:dyDescent="0.2">
      <c r="C1274" t="s">
        <v>2250</v>
      </c>
      <c r="D1274" s="13">
        <v>10</v>
      </c>
    </row>
    <row r="1275" spans="3:4" x14ac:dyDescent="0.2">
      <c r="C1275" t="s">
        <v>2310</v>
      </c>
      <c r="D1275" s="13">
        <v>10</v>
      </c>
    </row>
    <row r="1276" spans="3:4" x14ac:dyDescent="0.2">
      <c r="C1276" t="s">
        <v>2341</v>
      </c>
      <c r="D1276" s="13">
        <v>10</v>
      </c>
    </row>
    <row r="1277" spans="3:4" x14ac:dyDescent="0.2">
      <c r="C1277" t="s">
        <v>2346</v>
      </c>
      <c r="D1277" s="13">
        <v>10</v>
      </c>
    </row>
    <row r="1278" spans="3:4" x14ac:dyDescent="0.2">
      <c r="C1278" t="s">
        <v>2423</v>
      </c>
      <c r="D1278" s="13">
        <v>10</v>
      </c>
    </row>
    <row r="1279" spans="3:4" x14ac:dyDescent="0.2">
      <c r="C1279" t="s">
        <v>2443</v>
      </c>
      <c r="D1279" s="13">
        <v>10</v>
      </c>
    </row>
    <row r="1280" spans="3:4" x14ac:dyDescent="0.2">
      <c r="C1280" t="s">
        <v>2499</v>
      </c>
      <c r="D1280" s="13">
        <v>10</v>
      </c>
    </row>
    <row r="1281" spans="3:4" x14ac:dyDescent="0.2">
      <c r="C1281" t="s">
        <v>2534</v>
      </c>
      <c r="D1281" s="13">
        <v>10</v>
      </c>
    </row>
    <row r="1282" spans="3:4" x14ac:dyDescent="0.2">
      <c r="C1282" t="s">
        <v>2555</v>
      </c>
      <c r="D1282" s="13">
        <v>10</v>
      </c>
    </row>
    <row r="1283" spans="3:4" x14ac:dyDescent="0.2">
      <c r="C1283" t="s">
        <v>2675</v>
      </c>
      <c r="D1283" s="13">
        <v>10</v>
      </c>
    </row>
    <row r="1284" spans="3:4" x14ac:dyDescent="0.2">
      <c r="C1284" t="s">
        <v>2720</v>
      </c>
      <c r="D1284" s="13">
        <v>10</v>
      </c>
    </row>
    <row r="1285" spans="3:4" x14ac:dyDescent="0.2">
      <c r="C1285" t="s">
        <v>2734</v>
      </c>
      <c r="D1285" s="13">
        <v>10</v>
      </c>
    </row>
    <row r="1286" spans="3:4" x14ac:dyDescent="0.2">
      <c r="C1286" t="s">
        <v>2744</v>
      </c>
      <c r="D1286" s="13">
        <v>10</v>
      </c>
    </row>
    <row r="1287" spans="3:4" x14ac:dyDescent="0.2">
      <c r="C1287" t="s">
        <v>2781</v>
      </c>
      <c r="D1287" s="13">
        <v>10</v>
      </c>
    </row>
    <row r="1288" spans="3:4" x14ac:dyDescent="0.2">
      <c r="C1288" t="s">
        <v>2798</v>
      </c>
      <c r="D1288" s="13">
        <v>10</v>
      </c>
    </row>
    <row r="1289" spans="3:4" x14ac:dyDescent="0.2">
      <c r="C1289" t="s">
        <v>2818</v>
      </c>
      <c r="D1289" s="13">
        <v>10</v>
      </c>
    </row>
    <row r="1290" spans="3:4" x14ac:dyDescent="0.2">
      <c r="C1290" t="s">
        <v>2858</v>
      </c>
      <c r="D1290" s="13">
        <v>10</v>
      </c>
    </row>
    <row r="1291" spans="3:4" x14ac:dyDescent="0.2">
      <c r="C1291" t="s">
        <v>2948</v>
      </c>
      <c r="D1291" s="13">
        <v>10</v>
      </c>
    </row>
    <row r="1292" spans="3:4" x14ac:dyDescent="0.2">
      <c r="C1292" t="s">
        <v>2993</v>
      </c>
      <c r="D1292" s="13">
        <v>10</v>
      </c>
    </row>
    <row r="1293" spans="3:4" x14ac:dyDescent="0.2">
      <c r="C1293" t="s">
        <v>2995</v>
      </c>
      <c r="D1293" s="13">
        <v>10</v>
      </c>
    </row>
    <row r="1294" spans="3:4" x14ac:dyDescent="0.2">
      <c r="C1294" t="s">
        <v>2999</v>
      </c>
      <c r="D1294" s="13">
        <v>10</v>
      </c>
    </row>
    <row r="1295" spans="3:4" x14ac:dyDescent="0.2">
      <c r="C1295" t="s">
        <v>3013</v>
      </c>
      <c r="D1295" s="13">
        <v>10</v>
      </c>
    </row>
    <row r="1296" spans="3:4" x14ac:dyDescent="0.2">
      <c r="C1296" t="s">
        <v>3036</v>
      </c>
      <c r="D1296" s="13">
        <v>10</v>
      </c>
    </row>
    <row r="1297" spans="3:4" x14ac:dyDescent="0.2">
      <c r="C1297" t="s">
        <v>3086</v>
      </c>
      <c r="D1297" s="13">
        <v>10</v>
      </c>
    </row>
    <row r="1298" spans="3:4" x14ac:dyDescent="0.2">
      <c r="C1298" t="s">
        <v>3088</v>
      </c>
      <c r="D1298" s="13">
        <v>10</v>
      </c>
    </row>
    <row r="1299" spans="3:4" x14ac:dyDescent="0.2">
      <c r="C1299" t="s">
        <v>3150</v>
      </c>
      <c r="D1299" s="13">
        <v>10</v>
      </c>
    </row>
    <row r="1300" spans="3:4" x14ac:dyDescent="0.2">
      <c r="C1300" t="s">
        <v>3156</v>
      </c>
      <c r="D1300" s="13">
        <v>10</v>
      </c>
    </row>
    <row r="1301" spans="3:4" x14ac:dyDescent="0.2">
      <c r="C1301" t="s">
        <v>3232</v>
      </c>
      <c r="D1301" s="13">
        <v>10</v>
      </c>
    </row>
    <row r="1302" spans="3:4" x14ac:dyDescent="0.2">
      <c r="C1302" t="s">
        <v>3283</v>
      </c>
      <c r="D1302" s="13">
        <v>10</v>
      </c>
    </row>
    <row r="1303" spans="3:4" x14ac:dyDescent="0.2">
      <c r="C1303" t="s">
        <v>3287</v>
      </c>
      <c r="D1303" s="13">
        <v>10</v>
      </c>
    </row>
    <row r="1304" spans="3:4" x14ac:dyDescent="0.2">
      <c r="C1304" t="s">
        <v>3406</v>
      </c>
      <c r="D1304" s="13">
        <v>10</v>
      </c>
    </row>
    <row r="1305" spans="3:4" x14ac:dyDescent="0.2">
      <c r="C1305" t="s">
        <v>3408</v>
      </c>
      <c r="D1305" s="13">
        <v>10</v>
      </c>
    </row>
    <row r="1306" spans="3:4" x14ac:dyDescent="0.2">
      <c r="C1306" t="s">
        <v>3571</v>
      </c>
      <c r="D1306" s="13">
        <v>10</v>
      </c>
    </row>
    <row r="1307" spans="3:4" x14ac:dyDescent="0.2">
      <c r="C1307" t="s">
        <v>3619</v>
      </c>
      <c r="D1307" s="13">
        <v>10</v>
      </c>
    </row>
    <row r="1308" spans="3:4" x14ac:dyDescent="0.2">
      <c r="C1308" t="s">
        <v>3621</v>
      </c>
      <c r="D1308" s="13">
        <v>10</v>
      </c>
    </row>
    <row r="1309" spans="3:4" x14ac:dyDescent="0.2">
      <c r="C1309" t="s">
        <v>3643</v>
      </c>
      <c r="D1309" s="13">
        <v>10</v>
      </c>
    </row>
    <row r="1310" spans="3:4" x14ac:dyDescent="0.2">
      <c r="C1310" t="s">
        <v>3653</v>
      </c>
      <c r="D1310" s="13">
        <v>10</v>
      </c>
    </row>
    <row r="1311" spans="3:4" x14ac:dyDescent="0.2">
      <c r="C1311" t="s">
        <v>3668</v>
      </c>
      <c r="D1311" s="13">
        <v>10</v>
      </c>
    </row>
    <row r="1312" spans="3:4" x14ac:dyDescent="0.2">
      <c r="C1312" t="s">
        <v>3727</v>
      </c>
      <c r="D1312" s="13">
        <v>10</v>
      </c>
    </row>
    <row r="1313" spans="3:4" x14ac:dyDescent="0.2">
      <c r="C1313" t="s">
        <v>3745</v>
      </c>
      <c r="D1313" s="13">
        <v>10</v>
      </c>
    </row>
    <row r="1314" spans="3:4" x14ac:dyDescent="0.2">
      <c r="C1314" t="s">
        <v>3781</v>
      </c>
      <c r="D1314" s="13">
        <v>10</v>
      </c>
    </row>
    <row r="1315" spans="3:4" x14ac:dyDescent="0.2">
      <c r="C1315" t="s">
        <v>3818</v>
      </c>
      <c r="D1315" s="13">
        <v>10</v>
      </c>
    </row>
    <row r="1316" spans="3:4" x14ac:dyDescent="0.2">
      <c r="C1316" t="s">
        <v>3859</v>
      </c>
      <c r="D1316" s="13">
        <v>10</v>
      </c>
    </row>
    <row r="1317" spans="3:4" x14ac:dyDescent="0.2">
      <c r="C1317" t="s">
        <v>3879</v>
      </c>
      <c r="D1317" s="13">
        <v>10</v>
      </c>
    </row>
    <row r="1318" spans="3:4" x14ac:dyDescent="0.2">
      <c r="C1318" t="s">
        <v>3899</v>
      </c>
      <c r="D1318" s="13">
        <v>10</v>
      </c>
    </row>
    <row r="1319" spans="3:4" x14ac:dyDescent="0.2">
      <c r="C1319" t="s">
        <v>3901</v>
      </c>
      <c r="D1319" s="13">
        <v>10</v>
      </c>
    </row>
    <row r="1320" spans="3:4" x14ac:dyDescent="0.2">
      <c r="C1320" t="s">
        <v>3966</v>
      </c>
      <c r="D1320" s="13">
        <v>10</v>
      </c>
    </row>
    <row r="1321" spans="3:4" x14ac:dyDescent="0.2">
      <c r="C1321" t="s">
        <v>3980</v>
      </c>
      <c r="D1321" s="13">
        <v>10</v>
      </c>
    </row>
    <row r="1322" spans="3:4" x14ac:dyDescent="0.2">
      <c r="C1322" t="s">
        <v>4043</v>
      </c>
      <c r="D1322" s="13">
        <v>10</v>
      </c>
    </row>
    <row r="1323" spans="3:4" x14ac:dyDescent="0.2">
      <c r="C1323" t="s">
        <v>4047</v>
      </c>
      <c r="D1323" s="13">
        <v>10</v>
      </c>
    </row>
    <row r="1324" spans="3:4" x14ac:dyDescent="0.2">
      <c r="C1324" t="s">
        <v>4058</v>
      </c>
      <c r="D1324" s="13">
        <v>10</v>
      </c>
    </row>
    <row r="1325" spans="3:4" x14ac:dyDescent="0.2">
      <c r="C1325" t="s">
        <v>4060</v>
      </c>
      <c r="D1325" s="13">
        <v>10</v>
      </c>
    </row>
    <row r="1326" spans="3:4" x14ac:dyDescent="0.2">
      <c r="C1326" t="s">
        <v>4072</v>
      </c>
      <c r="D1326" s="13">
        <v>10</v>
      </c>
    </row>
    <row r="1327" spans="3:4" x14ac:dyDescent="0.2">
      <c r="C1327" t="s">
        <v>4150</v>
      </c>
      <c r="D1327" s="13">
        <v>10</v>
      </c>
    </row>
    <row r="1328" spans="3:4" x14ac:dyDescent="0.2">
      <c r="C1328" t="s">
        <v>4162</v>
      </c>
      <c r="D1328" s="13">
        <v>10</v>
      </c>
    </row>
    <row r="1329" spans="3:4" x14ac:dyDescent="0.2">
      <c r="C1329" t="s">
        <v>4184</v>
      </c>
      <c r="D1329" s="13">
        <v>10</v>
      </c>
    </row>
    <row r="1330" spans="3:4" x14ac:dyDescent="0.2">
      <c r="C1330" t="s">
        <v>4208</v>
      </c>
      <c r="D1330" s="13">
        <v>10</v>
      </c>
    </row>
    <row r="1331" spans="3:4" x14ac:dyDescent="0.2">
      <c r="C1331" t="s">
        <v>4236</v>
      </c>
      <c r="D1331" s="13">
        <v>10</v>
      </c>
    </row>
    <row r="1332" spans="3:4" x14ac:dyDescent="0.2">
      <c r="C1332" t="s">
        <v>4255</v>
      </c>
      <c r="D1332" s="13">
        <v>10</v>
      </c>
    </row>
    <row r="1333" spans="3:4" x14ac:dyDescent="0.2">
      <c r="C1333" t="s">
        <v>4269</v>
      </c>
      <c r="D1333" s="13">
        <v>10</v>
      </c>
    </row>
    <row r="1334" spans="3:4" x14ac:dyDescent="0.2">
      <c r="C1334" t="s">
        <v>4301</v>
      </c>
      <c r="D1334" s="13">
        <v>10</v>
      </c>
    </row>
    <row r="1335" spans="3:4" x14ac:dyDescent="0.2">
      <c r="C1335" t="s">
        <v>4490</v>
      </c>
      <c r="D1335" s="13">
        <v>10</v>
      </c>
    </row>
    <row r="1336" spans="3:4" x14ac:dyDescent="0.2">
      <c r="C1336" t="s">
        <v>4518</v>
      </c>
      <c r="D1336" s="13">
        <v>10</v>
      </c>
    </row>
    <row r="1337" spans="3:4" x14ac:dyDescent="0.2">
      <c r="C1337" t="s">
        <v>4530</v>
      </c>
      <c r="D1337" s="13">
        <v>10</v>
      </c>
    </row>
    <row r="1338" spans="3:4" x14ac:dyDescent="0.2">
      <c r="C1338" t="s">
        <v>4580</v>
      </c>
      <c r="D1338" s="13">
        <v>10</v>
      </c>
    </row>
    <row r="1339" spans="3:4" x14ac:dyDescent="0.2">
      <c r="C1339" t="s">
        <v>4584</v>
      </c>
      <c r="D1339" s="13">
        <v>10</v>
      </c>
    </row>
    <row r="1340" spans="3:4" x14ac:dyDescent="0.2">
      <c r="C1340" t="s">
        <v>4590</v>
      </c>
      <c r="D1340" s="13">
        <v>10</v>
      </c>
    </row>
    <row r="1341" spans="3:4" x14ac:dyDescent="0.2">
      <c r="C1341" t="s">
        <v>4636</v>
      </c>
      <c r="D1341" s="13">
        <v>10</v>
      </c>
    </row>
    <row r="1342" spans="3:4" x14ac:dyDescent="0.2">
      <c r="C1342" t="s">
        <v>4679</v>
      </c>
      <c r="D1342" s="13">
        <v>10</v>
      </c>
    </row>
    <row r="1343" spans="3:4" x14ac:dyDescent="0.2">
      <c r="C1343" t="s">
        <v>4681</v>
      </c>
      <c r="D1343" s="13">
        <v>10</v>
      </c>
    </row>
    <row r="1344" spans="3:4" x14ac:dyDescent="0.2">
      <c r="C1344" t="s">
        <v>4683</v>
      </c>
      <c r="D1344" s="13">
        <v>10</v>
      </c>
    </row>
    <row r="1345" spans="3:4" x14ac:dyDescent="0.2">
      <c r="C1345" t="s">
        <v>4774</v>
      </c>
      <c r="D1345" s="13">
        <v>10</v>
      </c>
    </row>
    <row r="1346" spans="3:4" x14ac:dyDescent="0.2">
      <c r="C1346" t="s">
        <v>4775</v>
      </c>
      <c r="D1346" s="13">
        <v>10</v>
      </c>
    </row>
    <row r="1347" spans="3:4" x14ac:dyDescent="0.2">
      <c r="C1347" t="s">
        <v>4825</v>
      </c>
      <c r="D1347" s="13">
        <v>10</v>
      </c>
    </row>
    <row r="1348" spans="3:4" x14ac:dyDescent="0.2">
      <c r="C1348" t="s">
        <v>4846</v>
      </c>
      <c r="D1348" s="13">
        <v>10</v>
      </c>
    </row>
    <row r="1349" spans="3:4" x14ac:dyDescent="0.2">
      <c r="C1349" t="s">
        <v>4929</v>
      </c>
      <c r="D1349" s="13">
        <v>10</v>
      </c>
    </row>
    <row r="1350" spans="3:4" x14ac:dyDescent="0.2">
      <c r="C1350" t="s">
        <v>5026</v>
      </c>
      <c r="D1350" s="13">
        <v>10</v>
      </c>
    </row>
    <row r="1351" spans="3:4" x14ac:dyDescent="0.2">
      <c r="C1351" t="s">
        <v>5050</v>
      </c>
      <c r="D1351" s="13">
        <v>10</v>
      </c>
    </row>
    <row r="1352" spans="3:4" x14ac:dyDescent="0.2">
      <c r="C1352" t="s">
        <v>5052</v>
      </c>
      <c r="D1352" s="13">
        <v>10</v>
      </c>
    </row>
    <row r="1353" spans="3:4" x14ac:dyDescent="0.2">
      <c r="C1353" t="s">
        <v>5054</v>
      </c>
      <c r="D1353" s="13">
        <v>10</v>
      </c>
    </row>
    <row r="1354" spans="3:4" x14ac:dyDescent="0.2">
      <c r="C1354" t="s">
        <v>5125</v>
      </c>
      <c r="D1354" s="13">
        <v>10</v>
      </c>
    </row>
    <row r="1355" spans="3:4" x14ac:dyDescent="0.2">
      <c r="C1355" t="s">
        <v>5133</v>
      </c>
      <c r="D1355" s="13">
        <v>10</v>
      </c>
    </row>
    <row r="1356" spans="3:4" x14ac:dyDescent="0.2">
      <c r="C1356" t="s">
        <v>5139</v>
      </c>
      <c r="D1356" s="13">
        <v>10</v>
      </c>
    </row>
    <row r="1357" spans="3:4" x14ac:dyDescent="0.2">
      <c r="C1357" t="s">
        <v>5171</v>
      </c>
      <c r="D1357" s="13">
        <v>10</v>
      </c>
    </row>
    <row r="1358" spans="3:4" x14ac:dyDescent="0.2">
      <c r="C1358" t="s">
        <v>5176</v>
      </c>
      <c r="D1358" s="13">
        <v>10</v>
      </c>
    </row>
    <row r="1359" spans="3:4" x14ac:dyDescent="0.2">
      <c r="C1359" t="s">
        <v>5178</v>
      </c>
      <c r="D1359" s="13">
        <v>10</v>
      </c>
    </row>
    <row r="1360" spans="3:4" x14ac:dyDescent="0.2">
      <c r="C1360" t="s">
        <v>5190</v>
      </c>
      <c r="D1360" s="13">
        <v>10</v>
      </c>
    </row>
    <row r="1361" spans="3:4" x14ac:dyDescent="0.2">
      <c r="C1361" t="s">
        <v>5248</v>
      </c>
      <c r="D1361" s="13">
        <v>10</v>
      </c>
    </row>
    <row r="1362" spans="3:4" x14ac:dyDescent="0.2">
      <c r="C1362" t="s">
        <v>5266</v>
      </c>
      <c r="D1362" s="13">
        <v>10</v>
      </c>
    </row>
    <row r="1363" spans="3:4" x14ac:dyDescent="0.2">
      <c r="C1363" t="s">
        <v>5274</v>
      </c>
      <c r="D1363" s="13">
        <v>10</v>
      </c>
    </row>
    <row r="1364" spans="3:4" x14ac:dyDescent="0.2">
      <c r="C1364" t="s">
        <v>5335</v>
      </c>
      <c r="D1364" s="13">
        <v>10</v>
      </c>
    </row>
    <row r="1365" spans="3:4" x14ac:dyDescent="0.2">
      <c r="C1365" t="s">
        <v>5337</v>
      </c>
      <c r="D1365" s="13">
        <v>10</v>
      </c>
    </row>
    <row r="1366" spans="3:4" x14ac:dyDescent="0.2">
      <c r="C1366" t="s">
        <v>5339</v>
      </c>
      <c r="D1366" s="13">
        <v>10</v>
      </c>
    </row>
    <row r="1367" spans="3:4" x14ac:dyDescent="0.2">
      <c r="C1367" t="s">
        <v>5422</v>
      </c>
      <c r="D1367" s="13">
        <v>10</v>
      </c>
    </row>
    <row r="1368" spans="3:4" x14ac:dyDescent="0.2">
      <c r="C1368" t="s">
        <v>5490</v>
      </c>
      <c r="D1368" s="13">
        <v>10</v>
      </c>
    </row>
    <row r="1369" spans="3:4" x14ac:dyDescent="0.2">
      <c r="C1369" t="s">
        <v>5494</v>
      </c>
      <c r="D1369" s="13">
        <v>10</v>
      </c>
    </row>
    <row r="1370" spans="3:4" x14ac:dyDescent="0.2">
      <c r="C1370" t="s">
        <v>5504</v>
      </c>
      <c r="D1370" s="13">
        <v>10</v>
      </c>
    </row>
    <row r="1371" spans="3:4" x14ac:dyDescent="0.2">
      <c r="C1371" t="s">
        <v>5570</v>
      </c>
      <c r="D1371" s="13">
        <v>10</v>
      </c>
    </row>
    <row r="1372" spans="3:4" x14ac:dyDescent="0.2">
      <c r="C1372" t="s">
        <v>5587</v>
      </c>
      <c r="D1372" s="13">
        <v>10</v>
      </c>
    </row>
    <row r="1373" spans="3:4" x14ac:dyDescent="0.2">
      <c r="C1373" t="s">
        <v>5617</v>
      </c>
      <c r="D1373" s="13">
        <v>10</v>
      </c>
    </row>
    <row r="1374" spans="3:4" x14ac:dyDescent="0.2">
      <c r="C1374" t="s">
        <v>5713</v>
      </c>
      <c r="D1374" s="13">
        <v>10</v>
      </c>
    </row>
    <row r="1375" spans="3:4" x14ac:dyDescent="0.2">
      <c r="C1375" t="s">
        <v>5751</v>
      </c>
      <c r="D1375" s="13">
        <v>10</v>
      </c>
    </row>
    <row r="1376" spans="3:4" x14ac:dyDescent="0.2">
      <c r="C1376" t="s">
        <v>5776</v>
      </c>
      <c r="D1376" s="13">
        <v>10</v>
      </c>
    </row>
    <row r="1377" spans="3:4" x14ac:dyDescent="0.2">
      <c r="C1377" t="s">
        <v>5797</v>
      </c>
      <c r="D1377" s="13">
        <v>10</v>
      </c>
    </row>
    <row r="1378" spans="3:4" x14ac:dyDescent="0.2">
      <c r="C1378" t="s">
        <v>5813</v>
      </c>
      <c r="D1378" s="13">
        <v>10</v>
      </c>
    </row>
    <row r="1379" spans="3:4" x14ac:dyDescent="0.2">
      <c r="C1379" t="s">
        <v>5831</v>
      </c>
      <c r="D1379" s="13">
        <v>10</v>
      </c>
    </row>
    <row r="1380" spans="3:4" x14ac:dyDescent="0.2">
      <c r="C1380" t="s">
        <v>5851</v>
      </c>
      <c r="D1380" s="13">
        <v>10</v>
      </c>
    </row>
    <row r="1381" spans="3:4" x14ac:dyDescent="0.2">
      <c r="C1381" t="s">
        <v>5936</v>
      </c>
      <c r="D1381" s="13">
        <v>10</v>
      </c>
    </row>
    <row r="1382" spans="3:4" x14ac:dyDescent="0.2">
      <c r="C1382" t="s">
        <v>6048</v>
      </c>
      <c r="D1382" s="13">
        <v>10</v>
      </c>
    </row>
    <row r="1383" spans="3:4" x14ac:dyDescent="0.2">
      <c r="C1383" t="s">
        <v>6074</v>
      </c>
      <c r="D1383" s="13">
        <v>10</v>
      </c>
    </row>
    <row r="1384" spans="3:4" x14ac:dyDescent="0.2">
      <c r="C1384" t="s">
        <v>6080</v>
      </c>
      <c r="D1384" s="13">
        <v>10</v>
      </c>
    </row>
    <row r="1385" spans="3:4" x14ac:dyDescent="0.2">
      <c r="C1385" t="s">
        <v>6132</v>
      </c>
      <c r="D1385" s="13">
        <v>10</v>
      </c>
    </row>
    <row r="1386" spans="3:4" x14ac:dyDescent="0.2">
      <c r="C1386" t="s">
        <v>6136</v>
      </c>
      <c r="D1386" s="13">
        <v>10</v>
      </c>
    </row>
    <row r="1387" spans="3:4" x14ac:dyDescent="0.2">
      <c r="C1387" t="s">
        <v>6226</v>
      </c>
      <c r="D1387" s="13">
        <v>10</v>
      </c>
    </row>
    <row r="1388" spans="3:4" x14ac:dyDescent="0.2">
      <c r="C1388" t="s">
        <v>6237</v>
      </c>
      <c r="D1388" s="13">
        <v>10</v>
      </c>
    </row>
    <row r="1389" spans="3:4" x14ac:dyDescent="0.2">
      <c r="C1389" t="s">
        <v>6273</v>
      </c>
      <c r="D1389" s="13">
        <v>10</v>
      </c>
    </row>
    <row r="1390" spans="3:4" x14ac:dyDescent="0.2">
      <c r="C1390" t="s">
        <v>6275</v>
      </c>
      <c r="D1390" s="13">
        <v>10</v>
      </c>
    </row>
    <row r="1391" spans="3:4" x14ac:dyDescent="0.2">
      <c r="C1391" t="s">
        <v>6387</v>
      </c>
      <c r="D1391" s="13">
        <v>10</v>
      </c>
    </row>
    <row r="1392" spans="3:4" x14ac:dyDescent="0.2">
      <c r="C1392" t="s">
        <v>6398</v>
      </c>
      <c r="D1392" s="13">
        <v>10</v>
      </c>
    </row>
    <row r="1393" spans="3:4" x14ac:dyDescent="0.2">
      <c r="C1393" t="s">
        <v>6404</v>
      </c>
      <c r="D1393" s="13">
        <v>10</v>
      </c>
    </row>
    <row r="1394" spans="3:4" x14ac:dyDescent="0.2">
      <c r="C1394" t="s">
        <v>6426</v>
      </c>
      <c r="D1394" s="13">
        <v>10</v>
      </c>
    </row>
    <row r="1395" spans="3:4" x14ac:dyDescent="0.2">
      <c r="C1395" t="s">
        <v>6441</v>
      </c>
      <c r="D1395" s="13">
        <v>10</v>
      </c>
    </row>
    <row r="1396" spans="3:4" x14ac:dyDescent="0.2">
      <c r="C1396" t="s">
        <v>6470</v>
      </c>
      <c r="D1396" s="13">
        <v>10</v>
      </c>
    </row>
    <row r="1397" spans="3:4" x14ac:dyDescent="0.2">
      <c r="C1397" t="s">
        <v>6532</v>
      </c>
      <c r="D1397" s="13">
        <v>10</v>
      </c>
    </row>
    <row r="1398" spans="3:4" x14ac:dyDescent="0.2">
      <c r="C1398" t="s">
        <v>6537</v>
      </c>
      <c r="D1398" s="13">
        <v>10</v>
      </c>
    </row>
    <row r="1399" spans="3:4" x14ac:dyDescent="0.2">
      <c r="C1399" t="s">
        <v>6563</v>
      </c>
      <c r="D1399" s="13">
        <v>10</v>
      </c>
    </row>
    <row r="1400" spans="3:4" x14ac:dyDescent="0.2">
      <c r="C1400" t="s">
        <v>6618</v>
      </c>
      <c r="D1400" s="13">
        <v>10</v>
      </c>
    </row>
    <row r="1401" spans="3:4" x14ac:dyDescent="0.2">
      <c r="C1401" t="s">
        <v>6626</v>
      </c>
      <c r="D1401" s="13">
        <v>10</v>
      </c>
    </row>
    <row r="1402" spans="3:4" x14ac:dyDescent="0.2">
      <c r="C1402" t="s">
        <v>6628</v>
      </c>
      <c r="D1402" s="13">
        <v>10</v>
      </c>
    </row>
    <row r="1403" spans="3:4" x14ac:dyDescent="0.2">
      <c r="C1403" t="s">
        <v>6676</v>
      </c>
      <c r="D1403" s="13">
        <v>10</v>
      </c>
    </row>
    <row r="1404" spans="3:4" x14ac:dyDescent="0.2">
      <c r="C1404" t="s">
        <v>6815</v>
      </c>
      <c r="D1404" s="13">
        <v>10</v>
      </c>
    </row>
    <row r="1405" spans="3:4" x14ac:dyDescent="0.2">
      <c r="C1405" t="s">
        <v>6821</v>
      </c>
      <c r="D1405" s="13">
        <v>10</v>
      </c>
    </row>
    <row r="1406" spans="3:4" x14ac:dyDescent="0.2">
      <c r="C1406" t="s">
        <v>6840</v>
      </c>
      <c r="D1406" s="13">
        <v>10</v>
      </c>
    </row>
    <row r="1407" spans="3:4" x14ac:dyDescent="0.2">
      <c r="C1407" t="s">
        <v>6850</v>
      </c>
      <c r="D1407" s="13">
        <v>10</v>
      </c>
    </row>
    <row r="1408" spans="3:4" x14ac:dyDescent="0.2">
      <c r="C1408" t="s">
        <v>6876</v>
      </c>
      <c r="D1408" s="13">
        <v>10</v>
      </c>
    </row>
    <row r="1409" spans="3:4" x14ac:dyDescent="0.2">
      <c r="C1409" t="s">
        <v>6900</v>
      </c>
      <c r="D1409" s="13">
        <v>10</v>
      </c>
    </row>
    <row r="1410" spans="3:4" x14ac:dyDescent="0.2">
      <c r="C1410" t="s">
        <v>6961</v>
      </c>
      <c r="D1410" s="13">
        <v>10</v>
      </c>
    </row>
    <row r="1411" spans="3:4" x14ac:dyDescent="0.2">
      <c r="C1411" t="s">
        <v>6969</v>
      </c>
      <c r="D1411" s="13">
        <v>10</v>
      </c>
    </row>
    <row r="1412" spans="3:4" x14ac:dyDescent="0.2">
      <c r="C1412" t="s">
        <v>6979</v>
      </c>
      <c r="D1412" s="13">
        <v>10</v>
      </c>
    </row>
    <row r="1413" spans="3:4" x14ac:dyDescent="0.2">
      <c r="C1413" t="s">
        <v>6989</v>
      </c>
      <c r="D1413" s="13">
        <v>10</v>
      </c>
    </row>
    <row r="1414" spans="3:4" x14ac:dyDescent="0.2">
      <c r="C1414" t="s">
        <v>7007</v>
      </c>
      <c r="D1414" s="13">
        <v>10</v>
      </c>
    </row>
    <row r="1415" spans="3:4" x14ac:dyDescent="0.2">
      <c r="C1415" t="s">
        <v>7011</v>
      </c>
      <c r="D1415" s="13">
        <v>10</v>
      </c>
    </row>
    <row r="1416" spans="3:4" x14ac:dyDescent="0.2">
      <c r="C1416" t="s">
        <v>7019</v>
      </c>
      <c r="D1416" s="13">
        <v>10</v>
      </c>
    </row>
    <row r="1417" spans="3:4" x14ac:dyDescent="0.2">
      <c r="C1417" t="s">
        <v>7049</v>
      </c>
      <c r="D1417" s="13">
        <v>10</v>
      </c>
    </row>
    <row r="1418" spans="3:4" x14ac:dyDescent="0.2">
      <c r="C1418" t="s">
        <v>7118</v>
      </c>
      <c r="D1418" s="13">
        <v>10</v>
      </c>
    </row>
    <row r="1419" spans="3:4" x14ac:dyDescent="0.2">
      <c r="C1419" t="s">
        <v>7130</v>
      </c>
      <c r="D1419" s="13">
        <v>10</v>
      </c>
    </row>
    <row r="1420" spans="3:4" x14ac:dyDescent="0.2">
      <c r="C1420" t="s">
        <v>7140</v>
      </c>
      <c r="D1420" s="13">
        <v>10</v>
      </c>
    </row>
    <row r="1421" spans="3:4" x14ac:dyDescent="0.2">
      <c r="C1421" t="s">
        <v>7183</v>
      </c>
      <c r="D1421" s="13">
        <v>10</v>
      </c>
    </row>
    <row r="1422" spans="3:4" x14ac:dyDescent="0.2">
      <c r="C1422" t="s">
        <v>7208</v>
      </c>
      <c r="D1422" s="13">
        <v>10</v>
      </c>
    </row>
    <row r="1423" spans="3:4" x14ac:dyDescent="0.2">
      <c r="C1423" t="s">
        <v>7288</v>
      </c>
      <c r="D1423" s="13">
        <v>10</v>
      </c>
    </row>
    <row r="1424" spans="3:4" x14ac:dyDescent="0.2">
      <c r="C1424" t="s">
        <v>7303</v>
      </c>
      <c r="D1424" s="13">
        <v>10</v>
      </c>
    </row>
    <row r="1425" spans="3:4" x14ac:dyDescent="0.2">
      <c r="C1425" t="s">
        <v>7318</v>
      </c>
      <c r="D1425" s="13">
        <v>10</v>
      </c>
    </row>
    <row r="1426" spans="3:4" x14ac:dyDescent="0.2">
      <c r="C1426" t="s">
        <v>7336</v>
      </c>
      <c r="D1426" s="13">
        <v>10</v>
      </c>
    </row>
    <row r="1427" spans="3:4" x14ac:dyDescent="0.2">
      <c r="C1427" t="s">
        <v>7364</v>
      </c>
      <c r="D1427" s="13">
        <v>10</v>
      </c>
    </row>
    <row r="1428" spans="3:4" x14ac:dyDescent="0.2">
      <c r="C1428" t="s">
        <v>7385</v>
      </c>
      <c r="D1428" s="13">
        <v>10</v>
      </c>
    </row>
    <row r="1429" spans="3:4" x14ac:dyDescent="0.2">
      <c r="C1429" t="s">
        <v>7387</v>
      </c>
      <c r="D1429" s="13">
        <v>10</v>
      </c>
    </row>
    <row r="1430" spans="3:4" x14ac:dyDescent="0.2">
      <c r="C1430" t="s">
        <v>7389</v>
      </c>
      <c r="D1430" s="13">
        <v>10</v>
      </c>
    </row>
    <row r="1431" spans="3:4" x14ac:dyDescent="0.2">
      <c r="C1431" t="s">
        <v>7404</v>
      </c>
      <c r="D1431" s="13">
        <v>10</v>
      </c>
    </row>
    <row r="1432" spans="3:4" x14ac:dyDescent="0.2">
      <c r="C1432" t="s">
        <v>7406</v>
      </c>
      <c r="D1432" s="13">
        <v>10</v>
      </c>
    </row>
    <row r="1433" spans="3:4" x14ac:dyDescent="0.2">
      <c r="C1433" t="s">
        <v>7421</v>
      </c>
      <c r="D1433" s="13">
        <v>10</v>
      </c>
    </row>
    <row r="1434" spans="3:4" x14ac:dyDescent="0.2">
      <c r="C1434" t="s">
        <v>7429</v>
      </c>
      <c r="D1434" s="13">
        <v>10</v>
      </c>
    </row>
    <row r="1435" spans="3:4" x14ac:dyDescent="0.2">
      <c r="C1435" t="s">
        <v>7479</v>
      </c>
      <c r="D1435" s="13">
        <v>10</v>
      </c>
    </row>
    <row r="1436" spans="3:4" x14ac:dyDescent="0.2">
      <c r="C1436" t="s">
        <v>7485</v>
      </c>
      <c r="D1436" s="13">
        <v>10</v>
      </c>
    </row>
    <row r="1437" spans="3:4" x14ac:dyDescent="0.2">
      <c r="C1437" t="s">
        <v>7498</v>
      </c>
      <c r="D1437" s="13">
        <v>10</v>
      </c>
    </row>
    <row r="1438" spans="3:4" x14ac:dyDescent="0.2">
      <c r="C1438" t="s">
        <v>7513</v>
      </c>
      <c r="D1438" s="13">
        <v>10</v>
      </c>
    </row>
    <row r="1439" spans="3:4" x14ac:dyDescent="0.2">
      <c r="C1439" t="s">
        <v>7568</v>
      </c>
      <c r="D1439" s="13">
        <v>10</v>
      </c>
    </row>
    <row r="1440" spans="3:4" x14ac:dyDescent="0.2">
      <c r="C1440" t="s">
        <v>7576</v>
      </c>
      <c r="D1440" s="13">
        <v>10</v>
      </c>
    </row>
    <row r="1441" spans="3:4" x14ac:dyDescent="0.2">
      <c r="C1441" t="s">
        <v>7626</v>
      </c>
      <c r="D1441" s="13">
        <v>10</v>
      </c>
    </row>
    <row r="1442" spans="3:4" x14ac:dyDescent="0.2">
      <c r="C1442" t="s">
        <v>7656</v>
      </c>
      <c r="D1442" s="13">
        <v>10</v>
      </c>
    </row>
    <row r="1443" spans="3:4" x14ac:dyDescent="0.2">
      <c r="C1443" t="s">
        <v>7664</v>
      </c>
      <c r="D1443" s="13">
        <v>10</v>
      </c>
    </row>
    <row r="1444" spans="3:4" x14ac:dyDescent="0.2">
      <c r="C1444" t="s">
        <v>7676</v>
      </c>
      <c r="D1444" s="13">
        <v>10</v>
      </c>
    </row>
    <row r="1445" spans="3:4" x14ac:dyDescent="0.2">
      <c r="C1445" t="s">
        <v>7745</v>
      </c>
      <c r="D1445" s="13">
        <v>10</v>
      </c>
    </row>
    <row r="1446" spans="3:4" x14ac:dyDescent="0.2">
      <c r="C1446" t="s">
        <v>7747</v>
      </c>
      <c r="D1446" s="13">
        <v>10</v>
      </c>
    </row>
    <row r="1447" spans="3:4" x14ac:dyDescent="0.2">
      <c r="C1447" t="s">
        <v>7761</v>
      </c>
      <c r="D1447" s="13">
        <v>10</v>
      </c>
    </row>
    <row r="1448" spans="3:4" x14ac:dyDescent="0.2">
      <c r="C1448" t="s">
        <v>7781</v>
      </c>
      <c r="D1448" s="13">
        <v>10</v>
      </c>
    </row>
    <row r="1449" spans="3:4" x14ac:dyDescent="0.2">
      <c r="C1449" t="s">
        <v>7849</v>
      </c>
      <c r="D1449" s="13">
        <v>10</v>
      </c>
    </row>
    <row r="1450" spans="3:4" x14ac:dyDescent="0.2">
      <c r="C1450" t="s">
        <v>7878</v>
      </c>
      <c r="D1450" s="13">
        <v>10</v>
      </c>
    </row>
    <row r="1451" spans="3:4" x14ac:dyDescent="0.2">
      <c r="C1451" t="s">
        <v>7900</v>
      </c>
      <c r="D1451" s="13">
        <v>10</v>
      </c>
    </row>
    <row r="1452" spans="3:4" x14ac:dyDescent="0.2">
      <c r="C1452" t="s">
        <v>7935</v>
      </c>
      <c r="D1452" s="13">
        <v>10</v>
      </c>
    </row>
    <row r="1453" spans="3:4" x14ac:dyDescent="0.2">
      <c r="C1453" t="s">
        <v>7961</v>
      </c>
      <c r="D1453" s="13">
        <v>10</v>
      </c>
    </row>
    <row r="1454" spans="3:4" x14ac:dyDescent="0.2">
      <c r="C1454" t="s">
        <v>8019</v>
      </c>
      <c r="D1454" s="13">
        <v>10</v>
      </c>
    </row>
    <row r="1455" spans="3:4" x14ac:dyDescent="0.2">
      <c r="C1455" t="s">
        <v>8059</v>
      </c>
      <c r="D1455" s="13">
        <v>10</v>
      </c>
    </row>
    <row r="1456" spans="3:4" x14ac:dyDescent="0.2">
      <c r="C1456" t="s">
        <v>8061</v>
      </c>
      <c r="D1456" s="13">
        <v>10</v>
      </c>
    </row>
    <row r="1457" spans="3:4" x14ac:dyDescent="0.2">
      <c r="C1457" t="s">
        <v>8063</v>
      </c>
      <c r="D1457" s="13">
        <v>10</v>
      </c>
    </row>
    <row r="1458" spans="3:4" x14ac:dyDescent="0.2">
      <c r="C1458" t="s">
        <v>8077</v>
      </c>
      <c r="D1458" s="13">
        <v>10</v>
      </c>
    </row>
    <row r="1459" spans="3:4" x14ac:dyDescent="0.2">
      <c r="C1459" t="s">
        <v>8177</v>
      </c>
      <c r="D1459" s="13">
        <v>10</v>
      </c>
    </row>
    <row r="1460" spans="3:4" x14ac:dyDescent="0.2">
      <c r="C1460" t="s">
        <v>8205</v>
      </c>
      <c r="D1460" s="13">
        <v>10</v>
      </c>
    </row>
    <row r="1461" spans="3:4" x14ac:dyDescent="0.2">
      <c r="C1461" t="s">
        <v>8225</v>
      </c>
      <c r="D1461" s="13">
        <v>10</v>
      </c>
    </row>
    <row r="1462" spans="3:4" x14ac:dyDescent="0.2">
      <c r="C1462" t="s">
        <v>8258</v>
      </c>
      <c r="D1462" s="13">
        <v>10</v>
      </c>
    </row>
    <row r="1463" spans="3:4" x14ac:dyDescent="0.2">
      <c r="C1463" t="s">
        <v>8273</v>
      </c>
      <c r="D1463" s="13">
        <v>10</v>
      </c>
    </row>
    <row r="1464" spans="3:4" x14ac:dyDescent="0.2">
      <c r="C1464" t="s">
        <v>8279</v>
      </c>
      <c r="D1464" s="13">
        <v>10</v>
      </c>
    </row>
    <row r="1465" spans="3:4" x14ac:dyDescent="0.2">
      <c r="C1465" t="s">
        <v>8291</v>
      </c>
      <c r="D1465" s="13">
        <v>10</v>
      </c>
    </row>
    <row r="1466" spans="3:4" x14ac:dyDescent="0.2">
      <c r="C1466" t="s">
        <v>8342</v>
      </c>
      <c r="D1466" s="13">
        <v>10</v>
      </c>
    </row>
    <row r="1467" spans="3:4" x14ac:dyDescent="0.2">
      <c r="C1467" t="s">
        <v>8367</v>
      </c>
      <c r="D1467" s="13">
        <v>10</v>
      </c>
    </row>
    <row r="1468" spans="3:4" x14ac:dyDescent="0.2">
      <c r="C1468" t="s">
        <v>8399</v>
      </c>
      <c r="D1468" s="13">
        <v>10</v>
      </c>
    </row>
    <row r="1469" spans="3:4" x14ac:dyDescent="0.2">
      <c r="C1469" t="s">
        <v>8434</v>
      </c>
      <c r="D1469" s="13">
        <v>10</v>
      </c>
    </row>
    <row r="1470" spans="3:4" x14ac:dyDescent="0.2">
      <c r="C1470" t="s">
        <v>8475</v>
      </c>
      <c r="D1470" s="13">
        <v>10</v>
      </c>
    </row>
    <row r="1471" spans="3:4" x14ac:dyDescent="0.2">
      <c r="C1471" t="s">
        <v>8527</v>
      </c>
      <c r="D1471" s="13">
        <v>10</v>
      </c>
    </row>
    <row r="1472" spans="3:4" x14ac:dyDescent="0.2">
      <c r="C1472" t="s">
        <v>8535</v>
      </c>
      <c r="D1472" s="13">
        <v>10</v>
      </c>
    </row>
    <row r="1473" spans="3:4" x14ac:dyDescent="0.2">
      <c r="C1473" t="s">
        <v>8610</v>
      </c>
      <c r="D1473" s="13">
        <v>10</v>
      </c>
    </row>
    <row r="1474" spans="3:4" x14ac:dyDescent="0.2">
      <c r="C1474" t="s">
        <v>8616</v>
      </c>
      <c r="D1474" s="13">
        <v>10</v>
      </c>
    </row>
    <row r="1475" spans="3:4" x14ac:dyDescent="0.2">
      <c r="C1475" t="s">
        <v>8640</v>
      </c>
      <c r="D1475" s="13">
        <v>10</v>
      </c>
    </row>
    <row r="1476" spans="3:4" x14ac:dyDescent="0.2">
      <c r="C1476" t="s">
        <v>8652</v>
      </c>
      <c r="D1476" s="13">
        <v>10</v>
      </c>
    </row>
    <row r="1477" spans="3:4" x14ac:dyDescent="0.2">
      <c r="C1477" t="s">
        <v>8671</v>
      </c>
      <c r="D1477" s="13">
        <v>10</v>
      </c>
    </row>
    <row r="1478" spans="3:4" x14ac:dyDescent="0.2">
      <c r="C1478" t="s">
        <v>523</v>
      </c>
      <c r="D1478" s="13">
        <v>10</v>
      </c>
    </row>
    <row r="1479" spans="3:4" x14ac:dyDescent="0.2">
      <c r="C1479" t="s">
        <v>797</v>
      </c>
      <c r="D1479" s="13">
        <v>10</v>
      </c>
    </row>
    <row r="1480" spans="3:4" x14ac:dyDescent="0.2">
      <c r="C1480" t="s">
        <v>1388</v>
      </c>
      <c r="D1480" s="13">
        <v>10</v>
      </c>
    </row>
    <row r="1481" spans="3:4" x14ac:dyDescent="0.2">
      <c r="C1481" t="s">
        <v>1631</v>
      </c>
      <c r="D1481" s="13">
        <v>10</v>
      </c>
    </row>
    <row r="1482" spans="3:4" x14ac:dyDescent="0.2">
      <c r="C1482" t="s">
        <v>1784</v>
      </c>
      <c r="D1482" s="13">
        <v>10</v>
      </c>
    </row>
    <row r="1483" spans="3:4" x14ac:dyDescent="0.2">
      <c r="C1483" t="s">
        <v>2397</v>
      </c>
      <c r="D1483" s="13">
        <v>10</v>
      </c>
    </row>
    <row r="1484" spans="3:4" x14ac:dyDescent="0.2">
      <c r="C1484" t="s">
        <v>2398</v>
      </c>
      <c r="D1484" s="13">
        <v>10</v>
      </c>
    </row>
    <row r="1485" spans="3:4" x14ac:dyDescent="0.2">
      <c r="C1485" t="s">
        <v>2435</v>
      </c>
      <c r="D1485" s="13">
        <v>10</v>
      </c>
    </row>
    <row r="1486" spans="3:4" x14ac:dyDescent="0.2">
      <c r="C1486" t="s">
        <v>2481</v>
      </c>
      <c r="D1486" s="13">
        <v>10</v>
      </c>
    </row>
    <row r="1487" spans="3:4" x14ac:dyDescent="0.2">
      <c r="C1487" t="s">
        <v>2653</v>
      </c>
      <c r="D1487" s="13">
        <v>10</v>
      </c>
    </row>
    <row r="1488" spans="3:4" x14ac:dyDescent="0.2">
      <c r="C1488" t="s">
        <v>3142</v>
      </c>
      <c r="D1488" s="13">
        <v>10</v>
      </c>
    </row>
    <row r="1489" spans="3:4" x14ac:dyDescent="0.2">
      <c r="C1489" t="s">
        <v>3549</v>
      </c>
      <c r="D1489" s="13">
        <v>10</v>
      </c>
    </row>
    <row r="1490" spans="3:4" x14ac:dyDescent="0.2">
      <c r="C1490" t="s">
        <v>4198</v>
      </c>
      <c r="D1490" s="13">
        <v>10</v>
      </c>
    </row>
    <row r="1491" spans="3:4" x14ac:dyDescent="0.2">
      <c r="C1491" t="s">
        <v>4253</v>
      </c>
      <c r="D1491" s="13">
        <v>10</v>
      </c>
    </row>
    <row r="1492" spans="3:4" x14ac:dyDescent="0.2">
      <c r="C1492" t="s">
        <v>4596</v>
      </c>
      <c r="D1492" s="13">
        <v>10</v>
      </c>
    </row>
    <row r="1493" spans="3:4" x14ac:dyDescent="0.2">
      <c r="C1493" t="s">
        <v>4768</v>
      </c>
      <c r="D1493" s="13">
        <v>10</v>
      </c>
    </row>
    <row r="1494" spans="3:4" x14ac:dyDescent="0.2">
      <c r="C1494" t="s">
        <v>4907</v>
      </c>
      <c r="D1494" s="13">
        <v>10</v>
      </c>
    </row>
    <row r="1495" spans="3:4" x14ac:dyDescent="0.2">
      <c r="C1495" t="s">
        <v>5165</v>
      </c>
      <c r="D1495" s="13">
        <v>10</v>
      </c>
    </row>
    <row r="1496" spans="3:4" x14ac:dyDescent="0.2">
      <c r="C1496" t="s">
        <v>5288</v>
      </c>
      <c r="D1496" s="13">
        <v>10</v>
      </c>
    </row>
    <row r="1497" spans="3:4" x14ac:dyDescent="0.2">
      <c r="C1497" t="s">
        <v>5951</v>
      </c>
      <c r="D1497" s="13">
        <v>10</v>
      </c>
    </row>
    <row r="1498" spans="3:4" x14ac:dyDescent="0.2">
      <c r="C1498" t="s">
        <v>6236</v>
      </c>
      <c r="D1498" s="13">
        <v>10</v>
      </c>
    </row>
    <row r="1499" spans="3:4" x14ac:dyDescent="0.2">
      <c r="C1499" t="s">
        <v>6277</v>
      </c>
      <c r="D1499" s="13">
        <v>10</v>
      </c>
    </row>
    <row r="1500" spans="3:4" x14ac:dyDescent="0.2">
      <c r="C1500" t="s">
        <v>6402</v>
      </c>
      <c r="D1500" s="13">
        <v>10</v>
      </c>
    </row>
    <row r="1501" spans="3:4" x14ac:dyDescent="0.2">
      <c r="C1501" t="s">
        <v>6545</v>
      </c>
      <c r="D1501" s="13">
        <v>10</v>
      </c>
    </row>
    <row r="1502" spans="3:4" x14ac:dyDescent="0.2">
      <c r="C1502" t="s">
        <v>7536</v>
      </c>
      <c r="D1502" s="13">
        <v>10</v>
      </c>
    </row>
    <row r="1503" spans="3:4" x14ac:dyDescent="0.2">
      <c r="C1503" t="s">
        <v>7769</v>
      </c>
      <c r="D1503" s="13">
        <v>10</v>
      </c>
    </row>
    <row r="1504" spans="3:4" x14ac:dyDescent="0.2">
      <c r="C1504" t="s">
        <v>7951</v>
      </c>
      <c r="D1504" s="13">
        <v>10</v>
      </c>
    </row>
    <row r="1505" spans="3:4" x14ac:dyDescent="0.2">
      <c r="C1505" t="s">
        <v>8103</v>
      </c>
      <c r="D1505" s="13">
        <v>10</v>
      </c>
    </row>
    <row r="1506" spans="3:4" x14ac:dyDescent="0.2">
      <c r="C1506" t="s">
        <v>8135</v>
      </c>
      <c r="D1506" s="13">
        <v>10</v>
      </c>
    </row>
    <row r="1507" spans="3:4" x14ac:dyDescent="0.2">
      <c r="C1507" t="s">
        <v>8147</v>
      </c>
      <c r="D1507" s="13">
        <v>10</v>
      </c>
    </row>
    <row r="1508" spans="3:4" x14ac:dyDescent="0.2">
      <c r="C1508" t="s">
        <v>8151</v>
      </c>
      <c r="D1508" s="13">
        <v>10</v>
      </c>
    </row>
    <row r="1509" spans="3:4" x14ac:dyDescent="0.2">
      <c r="C1509" t="s">
        <v>8249</v>
      </c>
      <c r="D1509" s="13">
        <v>10</v>
      </c>
    </row>
    <row r="1510" spans="3:4" x14ac:dyDescent="0.2">
      <c r="C1510" t="s">
        <v>8257</v>
      </c>
      <c r="D1510" s="13">
        <v>10</v>
      </c>
    </row>
    <row r="1511" spans="3:4" x14ac:dyDescent="0.2">
      <c r="C1511" t="s">
        <v>8346</v>
      </c>
      <c r="D1511" s="13">
        <v>10</v>
      </c>
    </row>
    <row r="1512" spans="3:4" x14ac:dyDescent="0.2">
      <c r="C1512" t="s">
        <v>8432</v>
      </c>
      <c r="D1512" s="13">
        <v>10</v>
      </c>
    </row>
    <row r="1513" spans="3:4" x14ac:dyDescent="0.2">
      <c r="C1513" t="s">
        <v>8683</v>
      </c>
      <c r="D1513" s="13">
        <v>10</v>
      </c>
    </row>
    <row r="1514" spans="3:4" x14ac:dyDescent="0.2">
      <c r="C1514" t="s">
        <v>8714</v>
      </c>
      <c r="D1514" s="13">
        <v>10</v>
      </c>
    </row>
    <row r="1515" spans="3:4" x14ac:dyDescent="0.2">
      <c r="C1515" t="s">
        <v>227</v>
      </c>
      <c r="D1515" s="13">
        <v>10</v>
      </c>
    </row>
    <row r="1516" spans="3:4" x14ac:dyDescent="0.2">
      <c r="C1516" t="s">
        <v>548</v>
      </c>
      <c r="D1516" s="13">
        <v>10</v>
      </c>
    </row>
    <row r="1517" spans="3:4" x14ac:dyDescent="0.2">
      <c r="C1517" t="s">
        <v>588</v>
      </c>
      <c r="D1517" s="13">
        <v>10</v>
      </c>
    </row>
    <row r="1518" spans="3:4" x14ac:dyDescent="0.2">
      <c r="C1518" t="s">
        <v>749</v>
      </c>
      <c r="D1518" s="13">
        <v>10</v>
      </c>
    </row>
    <row r="1519" spans="3:4" x14ac:dyDescent="0.2">
      <c r="C1519" t="s">
        <v>912</v>
      </c>
      <c r="D1519" s="13">
        <v>10</v>
      </c>
    </row>
    <row r="1520" spans="3:4" x14ac:dyDescent="0.2">
      <c r="C1520" t="s">
        <v>955</v>
      </c>
      <c r="D1520" s="13">
        <v>10</v>
      </c>
    </row>
    <row r="1521" spans="3:4" x14ac:dyDescent="0.2">
      <c r="C1521" t="s">
        <v>1047</v>
      </c>
      <c r="D1521" s="13">
        <v>10</v>
      </c>
    </row>
    <row r="1522" spans="3:4" x14ac:dyDescent="0.2">
      <c r="C1522" t="s">
        <v>1272</v>
      </c>
      <c r="D1522" s="13">
        <v>10</v>
      </c>
    </row>
    <row r="1523" spans="3:4" x14ac:dyDescent="0.2">
      <c r="C1523" t="s">
        <v>1569</v>
      </c>
      <c r="D1523" s="13">
        <v>10</v>
      </c>
    </row>
    <row r="1524" spans="3:4" x14ac:dyDescent="0.2">
      <c r="C1524" t="s">
        <v>1659</v>
      </c>
      <c r="D1524" s="13">
        <v>10</v>
      </c>
    </row>
    <row r="1525" spans="3:4" x14ac:dyDescent="0.2">
      <c r="C1525" t="s">
        <v>2029</v>
      </c>
      <c r="D1525" s="13">
        <v>10</v>
      </c>
    </row>
    <row r="1526" spans="3:4" x14ac:dyDescent="0.2">
      <c r="C1526" t="s">
        <v>2647</v>
      </c>
      <c r="D1526" s="13">
        <v>10</v>
      </c>
    </row>
    <row r="1527" spans="3:4" x14ac:dyDescent="0.2">
      <c r="C1527" t="s">
        <v>3483</v>
      </c>
      <c r="D1527" s="13">
        <v>10</v>
      </c>
    </row>
    <row r="1528" spans="3:4" x14ac:dyDescent="0.2">
      <c r="C1528" t="s">
        <v>3563</v>
      </c>
      <c r="D1528" s="13">
        <v>10</v>
      </c>
    </row>
    <row r="1529" spans="3:4" x14ac:dyDescent="0.2">
      <c r="C1529" t="s">
        <v>3755</v>
      </c>
      <c r="D1529" s="13">
        <v>10</v>
      </c>
    </row>
    <row r="1530" spans="3:4" x14ac:dyDescent="0.2">
      <c r="C1530" t="s">
        <v>4634</v>
      </c>
      <c r="D1530" s="13">
        <v>10</v>
      </c>
    </row>
    <row r="1531" spans="3:4" x14ac:dyDescent="0.2">
      <c r="C1531" t="s">
        <v>4687</v>
      </c>
      <c r="D1531" s="13">
        <v>10</v>
      </c>
    </row>
    <row r="1532" spans="3:4" x14ac:dyDescent="0.2">
      <c r="C1532" t="s">
        <v>5163</v>
      </c>
      <c r="D1532" s="13">
        <v>10</v>
      </c>
    </row>
    <row r="1533" spans="3:4" x14ac:dyDescent="0.2">
      <c r="C1533" t="s">
        <v>5366</v>
      </c>
      <c r="D1533" s="13">
        <v>10</v>
      </c>
    </row>
    <row r="1534" spans="3:4" x14ac:dyDescent="0.2">
      <c r="C1534" t="s">
        <v>5393</v>
      </c>
      <c r="D1534" s="13">
        <v>10</v>
      </c>
    </row>
    <row r="1535" spans="3:4" x14ac:dyDescent="0.2">
      <c r="C1535" t="s">
        <v>5472</v>
      </c>
      <c r="D1535" s="13">
        <v>10</v>
      </c>
    </row>
    <row r="1536" spans="3:4" x14ac:dyDescent="0.2">
      <c r="C1536" t="s">
        <v>5508</v>
      </c>
      <c r="D1536" s="13">
        <v>10</v>
      </c>
    </row>
    <row r="1537" spans="3:4" x14ac:dyDescent="0.2">
      <c r="C1537" t="s">
        <v>5685</v>
      </c>
      <c r="D1537" s="13">
        <v>10</v>
      </c>
    </row>
    <row r="1538" spans="3:4" x14ac:dyDescent="0.2">
      <c r="C1538" t="s">
        <v>5739</v>
      </c>
      <c r="D1538" s="13">
        <v>10</v>
      </c>
    </row>
    <row r="1539" spans="3:4" x14ac:dyDescent="0.2">
      <c r="C1539" t="s">
        <v>5791</v>
      </c>
      <c r="D1539" s="13">
        <v>10</v>
      </c>
    </row>
    <row r="1540" spans="3:4" x14ac:dyDescent="0.2">
      <c r="C1540" t="s">
        <v>6030</v>
      </c>
      <c r="D1540" s="13">
        <v>10</v>
      </c>
    </row>
    <row r="1541" spans="3:4" x14ac:dyDescent="0.2">
      <c r="C1541" t="s">
        <v>6222</v>
      </c>
      <c r="D1541" s="13">
        <v>10</v>
      </c>
    </row>
    <row r="1542" spans="3:4" x14ac:dyDescent="0.2">
      <c r="C1542" t="s">
        <v>6507</v>
      </c>
      <c r="D1542" s="13">
        <v>10</v>
      </c>
    </row>
    <row r="1543" spans="3:4" x14ac:dyDescent="0.2">
      <c r="C1543" t="s">
        <v>6604</v>
      </c>
      <c r="D1543" s="13">
        <v>10</v>
      </c>
    </row>
    <row r="1544" spans="3:4" x14ac:dyDescent="0.2">
      <c r="C1544" t="s">
        <v>6692</v>
      </c>
      <c r="D1544" s="13">
        <v>10</v>
      </c>
    </row>
    <row r="1545" spans="3:4" x14ac:dyDescent="0.2">
      <c r="C1545" t="s">
        <v>6778</v>
      </c>
      <c r="D1545" s="13">
        <v>10</v>
      </c>
    </row>
    <row r="1546" spans="3:4" x14ac:dyDescent="0.2">
      <c r="C1546" t="s">
        <v>7017</v>
      </c>
      <c r="D1546" s="13">
        <v>10</v>
      </c>
    </row>
    <row r="1547" spans="3:4" x14ac:dyDescent="0.2">
      <c r="C1547" t="s">
        <v>7261</v>
      </c>
      <c r="D1547" s="13">
        <v>10</v>
      </c>
    </row>
    <row r="1548" spans="3:4" x14ac:dyDescent="0.2">
      <c r="C1548" t="s">
        <v>7329</v>
      </c>
      <c r="D1548" s="13">
        <v>10</v>
      </c>
    </row>
    <row r="1549" spans="3:4" x14ac:dyDescent="0.2">
      <c r="C1549" t="s">
        <v>7490</v>
      </c>
      <c r="D1549" s="13">
        <v>10</v>
      </c>
    </row>
    <row r="1550" spans="3:4" x14ac:dyDescent="0.2">
      <c r="C1550" t="s">
        <v>7496</v>
      </c>
      <c r="D1550" s="13">
        <v>10</v>
      </c>
    </row>
    <row r="1551" spans="3:4" x14ac:dyDescent="0.2">
      <c r="C1551" t="s">
        <v>7606</v>
      </c>
      <c r="D1551" s="13">
        <v>10</v>
      </c>
    </row>
    <row r="1552" spans="3:4" x14ac:dyDescent="0.2">
      <c r="C1552" t="s">
        <v>7641</v>
      </c>
      <c r="D1552" s="13">
        <v>10</v>
      </c>
    </row>
    <row r="1553" spans="3:4" x14ac:dyDescent="0.2">
      <c r="C1553" t="s">
        <v>7670</v>
      </c>
      <c r="D1553" s="13">
        <v>10</v>
      </c>
    </row>
    <row r="1554" spans="3:4" x14ac:dyDescent="0.2">
      <c r="C1554" t="s">
        <v>7759</v>
      </c>
      <c r="D1554" s="13">
        <v>10</v>
      </c>
    </row>
    <row r="1555" spans="3:4" x14ac:dyDescent="0.2">
      <c r="C1555" t="s">
        <v>7886</v>
      </c>
      <c r="D1555" s="13">
        <v>10</v>
      </c>
    </row>
    <row r="1556" spans="3:4" x14ac:dyDescent="0.2">
      <c r="C1556" t="s">
        <v>8111</v>
      </c>
      <c r="D1556" s="13">
        <v>10</v>
      </c>
    </row>
    <row r="1557" spans="3:4" x14ac:dyDescent="0.2">
      <c r="C1557" t="s">
        <v>8117</v>
      </c>
      <c r="D1557" s="13">
        <v>10</v>
      </c>
    </row>
    <row r="1558" spans="3:4" x14ac:dyDescent="0.2">
      <c r="C1558" t="s">
        <v>8375</v>
      </c>
      <c r="D1558" s="13">
        <v>10</v>
      </c>
    </row>
    <row r="1559" spans="3:4" x14ac:dyDescent="0.2">
      <c r="C1559" t="s">
        <v>8444</v>
      </c>
      <c r="D1559" s="13">
        <v>10</v>
      </c>
    </row>
    <row r="1560" spans="3:4" x14ac:dyDescent="0.2">
      <c r="C1560" t="s">
        <v>8546</v>
      </c>
      <c r="D1560" s="13">
        <v>10</v>
      </c>
    </row>
    <row r="1561" spans="3:4" x14ac:dyDescent="0.2">
      <c r="C1561" t="s">
        <v>8587</v>
      </c>
      <c r="D1561" s="13">
        <v>10</v>
      </c>
    </row>
    <row r="1562" spans="3:4" x14ac:dyDescent="0.2">
      <c r="C1562" t="s">
        <v>8614</v>
      </c>
      <c r="D1562" s="13">
        <v>10</v>
      </c>
    </row>
    <row r="1563" spans="3:4" x14ac:dyDescent="0.2">
      <c r="C1563" t="s">
        <v>8698</v>
      </c>
      <c r="D1563" s="13">
        <v>10</v>
      </c>
    </row>
    <row r="1564" spans="3:4" x14ac:dyDescent="0.2">
      <c r="C1564" t="s">
        <v>140</v>
      </c>
      <c r="D1564" s="13">
        <v>10</v>
      </c>
    </row>
    <row r="1565" spans="3:4" x14ac:dyDescent="0.2">
      <c r="C1565" t="s">
        <v>961</v>
      </c>
      <c r="D1565" s="13">
        <v>10</v>
      </c>
    </row>
    <row r="1566" spans="3:4" x14ac:dyDescent="0.2">
      <c r="C1566" t="s">
        <v>1674</v>
      </c>
      <c r="D1566" s="13">
        <v>10</v>
      </c>
    </row>
    <row r="1567" spans="3:4" x14ac:dyDescent="0.2">
      <c r="C1567" t="s">
        <v>2883</v>
      </c>
      <c r="D1567" s="13">
        <v>10</v>
      </c>
    </row>
    <row r="1568" spans="3:4" x14ac:dyDescent="0.2">
      <c r="C1568" t="s">
        <v>3421</v>
      </c>
      <c r="D1568" s="13">
        <v>10</v>
      </c>
    </row>
    <row r="1569" spans="3:4" x14ac:dyDescent="0.2">
      <c r="C1569" t="s">
        <v>5104</v>
      </c>
      <c r="D1569" s="13">
        <v>10</v>
      </c>
    </row>
    <row r="1570" spans="3:4" x14ac:dyDescent="0.2">
      <c r="C1570" t="s">
        <v>6015</v>
      </c>
      <c r="D1570" s="13">
        <v>10</v>
      </c>
    </row>
    <row r="1571" spans="3:4" x14ac:dyDescent="0.2">
      <c r="C1571" t="s">
        <v>7933</v>
      </c>
      <c r="D1571" s="13">
        <v>10</v>
      </c>
    </row>
    <row r="1572" spans="3:4" x14ac:dyDescent="0.2">
      <c r="C1572" t="s">
        <v>7943</v>
      </c>
      <c r="D1572" s="13">
        <v>10</v>
      </c>
    </row>
    <row r="1573" spans="3:4" x14ac:dyDescent="0.2">
      <c r="C1573" t="s">
        <v>6369</v>
      </c>
      <c r="D1573" s="13">
        <v>10</v>
      </c>
    </row>
    <row r="1574" spans="3:4" x14ac:dyDescent="0.2">
      <c r="C1574" t="s">
        <v>2475</v>
      </c>
      <c r="D1574" s="13">
        <v>10</v>
      </c>
    </row>
    <row r="1575" spans="3:4" x14ac:dyDescent="0.2">
      <c r="C1575" t="s">
        <v>3693</v>
      </c>
      <c r="D1575" s="13">
        <v>10</v>
      </c>
    </row>
    <row r="1576" spans="3:4" x14ac:dyDescent="0.2">
      <c r="C1576" t="s">
        <v>4884</v>
      </c>
      <c r="D1576" s="13">
        <v>10</v>
      </c>
    </row>
    <row r="1577" spans="3:4" x14ac:dyDescent="0.2">
      <c r="C1577" t="s">
        <v>433</v>
      </c>
      <c r="D1577" s="13">
        <v>10</v>
      </c>
    </row>
    <row r="1578" spans="3:4" x14ac:dyDescent="0.2">
      <c r="C1578" t="s">
        <v>503</v>
      </c>
      <c r="D1578" s="13">
        <v>10</v>
      </c>
    </row>
    <row r="1579" spans="3:4" x14ac:dyDescent="0.2">
      <c r="C1579" t="s">
        <v>559</v>
      </c>
      <c r="D1579" s="13">
        <v>10</v>
      </c>
    </row>
    <row r="1580" spans="3:4" x14ac:dyDescent="0.2">
      <c r="C1580" t="s">
        <v>807</v>
      </c>
      <c r="D1580" s="13">
        <v>10</v>
      </c>
    </row>
    <row r="1581" spans="3:4" x14ac:dyDescent="0.2">
      <c r="C1581" t="s">
        <v>831</v>
      </c>
      <c r="D1581" s="13">
        <v>10</v>
      </c>
    </row>
    <row r="1582" spans="3:4" x14ac:dyDescent="0.2">
      <c r="C1582" t="s">
        <v>1114</v>
      </c>
      <c r="D1582" s="13">
        <v>10</v>
      </c>
    </row>
    <row r="1583" spans="3:4" x14ac:dyDescent="0.2">
      <c r="C1583" t="s">
        <v>1148</v>
      </c>
      <c r="D1583" s="13">
        <v>10</v>
      </c>
    </row>
    <row r="1584" spans="3:4" x14ac:dyDescent="0.2">
      <c r="C1584" t="s">
        <v>1423</v>
      </c>
      <c r="D1584" s="13">
        <v>10</v>
      </c>
    </row>
    <row r="1585" spans="3:4" x14ac:dyDescent="0.2">
      <c r="C1585" t="s">
        <v>1641</v>
      </c>
      <c r="D1585" s="13">
        <v>10</v>
      </c>
    </row>
    <row r="1586" spans="3:4" x14ac:dyDescent="0.2">
      <c r="C1586" t="s">
        <v>1688</v>
      </c>
      <c r="D1586" s="13">
        <v>10</v>
      </c>
    </row>
    <row r="1587" spans="3:4" x14ac:dyDescent="0.2">
      <c r="C1587" t="s">
        <v>2011</v>
      </c>
      <c r="D1587" s="13">
        <v>10</v>
      </c>
    </row>
    <row r="1588" spans="3:4" x14ac:dyDescent="0.2">
      <c r="C1588" t="s">
        <v>2132</v>
      </c>
      <c r="D1588" s="13">
        <v>10</v>
      </c>
    </row>
    <row r="1589" spans="3:4" x14ac:dyDescent="0.2">
      <c r="C1589" t="s">
        <v>2270</v>
      </c>
      <c r="D1589" s="13">
        <v>10</v>
      </c>
    </row>
    <row r="1590" spans="3:4" x14ac:dyDescent="0.2">
      <c r="C1590" t="s">
        <v>2757</v>
      </c>
      <c r="D1590" s="13">
        <v>10</v>
      </c>
    </row>
    <row r="1591" spans="3:4" x14ac:dyDescent="0.2">
      <c r="C1591" t="s">
        <v>2968</v>
      </c>
      <c r="D1591" s="13">
        <v>10</v>
      </c>
    </row>
    <row r="1592" spans="3:4" x14ac:dyDescent="0.2">
      <c r="C1592" t="s">
        <v>3182</v>
      </c>
      <c r="D1592" s="13">
        <v>10</v>
      </c>
    </row>
    <row r="1593" spans="3:4" x14ac:dyDescent="0.2">
      <c r="C1593" t="s">
        <v>3612</v>
      </c>
      <c r="D1593" s="13">
        <v>10</v>
      </c>
    </row>
    <row r="1594" spans="3:4" x14ac:dyDescent="0.2">
      <c r="C1594" t="s">
        <v>4735</v>
      </c>
      <c r="D1594" s="13">
        <v>10</v>
      </c>
    </row>
    <row r="1595" spans="3:4" x14ac:dyDescent="0.2">
      <c r="C1595" t="s">
        <v>4739</v>
      </c>
      <c r="D1595" s="13">
        <v>10</v>
      </c>
    </row>
    <row r="1596" spans="3:4" x14ac:dyDescent="0.2">
      <c r="C1596" t="s">
        <v>4992</v>
      </c>
      <c r="D1596" s="13">
        <v>10</v>
      </c>
    </row>
    <row r="1597" spans="3:4" x14ac:dyDescent="0.2">
      <c r="C1597" t="s">
        <v>5069</v>
      </c>
      <c r="D1597" s="13">
        <v>10</v>
      </c>
    </row>
    <row r="1598" spans="3:4" x14ac:dyDescent="0.2">
      <c r="C1598" t="s">
        <v>6019</v>
      </c>
      <c r="D1598" s="13">
        <v>10</v>
      </c>
    </row>
    <row r="1599" spans="3:4" x14ac:dyDescent="0.2">
      <c r="C1599" t="s">
        <v>6284</v>
      </c>
      <c r="D1599" s="13">
        <v>10</v>
      </c>
    </row>
    <row r="1600" spans="3:4" x14ac:dyDescent="0.2">
      <c r="C1600" t="s">
        <v>6325</v>
      </c>
      <c r="D1600" s="13">
        <v>10</v>
      </c>
    </row>
    <row r="1601" spans="3:4" x14ac:dyDescent="0.2">
      <c r="C1601" t="s">
        <v>6667</v>
      </c>
      <c r="D1601" s="13">
        <v>10</v>
      </c>
    </row>
    <row r="1602" spans="3:4" x14ac:dyDescent="0.2">
      <c r="C1602" t="s">
        <v>6999</v>
      </c>
      <c r="D1602" s="13">
        <v>10</v>
      </c>
    </row>
    <row r="1603" spans="3:4" x14ac:dyDescent="0.2">
      <c r="C1603" t="s">
        <v>7504</v>
      </c>
      <c r="D1603" s="13">
        <v>10</v>
      </c>
    </row>
    <row r="1604" spans="3:4" x14ac:dyDescent="0.2">
      <c r="C1604" t="s">
        <v>7833</v>
      </c>
      <c r="D1604" s="13">
        <v>10</v>
      </c>
    </row>
    <row r="1605" spans="3:4" x14ac:dyDescent="0.2">
      <c r="C1605" t="s">
        <v>8316</v>
      </c>
      <c r="D1605" s="13">
        <v>10</v>
      </c>
    </row>
    <row r="1606" spans="3:4" x14ac:dyDescent="0.2">
      <c r="C1606" t="s">
        <v>963</v>
      </c>
      <c r="D1606" s="13">
        <v>10</v>
      </c>
    </row>
    <row r="1607" spans="3:4" x14ac:dyDescent="0.2">
      <c r="C1607" t="s">
        <v>1539</v>
      </c>
      <c r="D1607" s="13">
        <v>10</v>
      </c>
    </row>
    <row r="1608" spans="3:4" x14ac:dyDescent="0.2">
      <c r="C1608" t="s">
        <v>1663</v>
      </c>
      <c r="D1608" s="13">
        <v>10</v>
      </c>
    </row>
    <row r="1609" spans="3:4" x14ac:dyDescent="0.2">
      <c r="C1609" t="s">
        <v>1701</v>
      </c>
      <c r="D1609" s="13">
        <v>10</v>
      </c>
    </row>
    <row r="1610" spans="3:4" x14ac:dyDescent="0.2">
      <c r="C1610" t="s">
        <v>1967</v>
      </c>
      <c r="D1610" s="13">
        <v>10</v>
      </c>
    </row>
    <row r="1611" spans="3:4" x14ac:dyDescent="0.2">
      <c r="C1611" t="s">
        <v>2364</v>
      </c>
      <c r="D1611" s="13">
        <v>10</v>
      </c>
    </row>
    <row r="1612" spans="3:4" x14ac:dyDescent="0.2">
      <c r="C1612" t="s">
        <v>2655</v>
      </c>
      <c r="D1612" s="13">
        <v>10</v>
      </c>
    </row>
    <row r="1613" spans="3:4" x14ac:dyDescent="0.2">
      <c r="C1613" t="s">
        <v>2930</v>
      </c>
      <c r="D1613" s="13">
        <v>10</v>
      </c>
    </row>
    <row r="1614" spans="3:4" x14ac:dyDescent="0.2">
      <c r="C1614" t="s">
        <v>3379</v>
      </c>
      <c r="D1614" s="13">
        <v>10</v>
      </c>
    </row>
    <row r="1615" spans="3:4" x14ac:dyDescent="0.2">
      <c r="C1615" t="s">
        <v>3606</v>
      </c>
      <c r="D1615" s="13">
        <v>10</v>
      </c>
    </row>
    <row r="1616" spans="3:4" x14ac:dyDescent="0.2">
      <c r="C1616" t="s">
        <v>4041</v>
      </c>
      <c r="D1616" s="13">
        <v>10</v>
      </c>
    </row>
    <row r="1617" spans="3:4" x14ac:dyDescent="0.2">
      <c r="C1617" t="s">
        <v>4158</v>
      </c>
      <c r="D1617" s="13">
        <v>10</v>
      </c>
    </row>
    <row r="1618" spans="3:4" x14ac:dyDescent="0.2">
      <c r="C1618" t="s">
        <v>4316</v>
      </c>
      <c r="D1618" s="13">
        <v>10</v>
      </c>
    </row>
    <row r="1619" spans="3:4" x14ac:dyDescent="0.2">
      <c r="C1619" t="s">
        <v>4317</v>
      </c>
      <c r="D1619" s="13">
        <v>10</v>
      </c>
    </row>
    <row r="1620" spans="3:4" x14ac:dyDescent="0.2">
      <c r="C1620" t="s">
        <v>4354</v>
      </c>
      <c r="D1620" s="13">
        <v>10</v>
      </c>
    </row>
    <row r="1621" spans="3:4" x14ac:dyDescent="0.2">
      <c r="C1621" t="s">
        <v>4425</v>
      </c>
      <c r="D1621" s="13">
        <v>10</v>
      </c>
    </row>
    <row r="1622" spans="3:4" x14ac:dyDescent="0.2">
      <c r="C1622" t="s">
        <v>4510</v>
      </c>
      <c r="D1622" s="13">
        <v>10</v>
      </c>
    </row>
    <row r="1623" spans="3:4" x14ac:dyDescent="0.2">
      <c r="C1623" t="s">
        <v>4586</v>
      </c>
      <c r="D1623" s="13">
        <v>10</v>
      </c>
    </row>
    <row r="1624" spans="3:4" x14ac:dyDescent="0.2">
      <c r="C1624" t="s">
        <v>4833</v>
      </c>
      <c r="D1624" s="13">
        <v>10</v>
      </c>
    </row>
    <row r="1625" spans="3:4" x14ac:dyDescent="0.2">
      <c r="C1625" t="s">
        <v>4882</v>
      </c>
      <c r="D1625" s="13">
        <v>10</v>
      </c>
    </row>
    <row r="1626" spans="3:4" x14ac:dyDescent="0.2">
      <c r="C1626" t="s">
        <v>5030</v>
      </c>
      <c r="D1626" s="13">
        <v>10</v>
      </c>
    </row>
    <row r="1627" spans="3:4" x14ac:dyDescent="0.2">
      <c r="C1627" t="s">
        <v>5194</v>
      </c>
      <c r="D1627" s="13">
        <v>10</v>
      </c>
    </row>
    <row r="1628" spans="3:4" x14ac:dyDescent="0.2">
      <c r="C1628" t="s">
        <v>5943</v>
      </c>
      <c r="D1628" s="13">
        <v>10</v>
      </c>
    </row>
    <row r="1629" spans="3:4" x14ac:dyDescent="0.2">
      <c r="C1629" t="s">
        <v>6066</v>
      </c>
      <c r="D1629" s="13">
        <v>10</v>
      </c>
    </row>
    <row r="1630" spans="3:4" x14ac:dyDescent="0.2">
      <c r="C1630" t="s">
        <v>6076</v>
      </c>
      <c r="D1630" s="13">
        <v>10</v>
      </c>
    </row>
    <row r="1631" spans="3:4" x14ac:dyDescent="0.2">
      <c r="C1631" t="s">
        <v>6354</v>
      </c>
      <c r="D1631" s="13">
        <v>10</v>
      </c>
    </row>
    <row r="1632" spans="3:4" x14ac:dyDescent="0.2">
      <c r="C1632" t="s">
        <v>6383</v>
      </c>
      <c r="D1632" s="13">
        <v>10</v>
      </c>
    </row>
    <row r="1633" spans="3:4" x14ac:dyDescent="0.2">
      <c r="C1633" t="s">
        <v>6489</v>
      </c>
      <c r="D1633" s="13">
        <v>10</v>
      </c>
    </row>
    <row r="1634" spans="3:4" x14ac:dyDescent="0.2">
      <c r="C1634" t="s">
        <v>6782</v>
      </c>
      <c r="D1634" s="13">
        <v>10</v>
      </c>
    </row>
    <row r="1635" spans="3:4" x14ac:dyDescent="0.2">
      <c r="C1635" t="s">
        <v>6898</v>
      </c>
      <c r="D1635" s="13">
        <v>10</v>
      </c>
    </row>
    <row r="1636" spans="3:4" x14ac:dyDescent="0.2">
      <c r="C1636" t="s">
        <v>7280</v>
      </c>
      <c r="D1636" s="13">
        <v>10</v>
      </c>
    </row>
    <row r="1637" spans="3:4" x14ac:dyDescent="0.2">
      <c r="C1637" t="s">
        <v>7320</v>
      </c>
      <c r="D1637" s="13">
        <v>10</v>
      </c>
    </row>
    <row r="1638" spans="3:4" x14ac:dyDescent="0.2">
      <c r="C1638" t="s">
        <v>7333</v>
      </c>
      <c r="D1638" s="13">
        <v>10</v>
      </c>
    </row>
    <row r="1639" spans="3:4" x14ac:dyDescent="0.2">
      <c r="C1639" t="s">
        <v>7423</v>
      </c>
      <c r="D1639" s="13">
        <v>10</v>
      </c>
    </row>
    <row r="1640" spans="3:4" x14ac:dyDescent="0.2">
      <c r="C1640" t="s">
        <v>7489</v>
      </c>
      <c r="D1640" s="13">
        <v>10</v>
      </c>
    </row>
    <row r="1641" spans="3:4" x14ac:dyDescent="0.2">
      <c r="C1641" t="s">
        <v>8237</v>
      </c>
      <c r="D1641" s="13">
        <v>10</v>
      </c>
    </row>
    <row r="1642" spans="3:4" x14ac:dyDescent="0.2">
      <c r="C1642" t="s">
        <v>8260</v>
      </c>
      <c r="D1642" s="13">
        <v>10</v>
      </c>
    </row>
    <row r="1643" spans="3:4" x14ac:dyDescent="0.2">
      <c r="C1643" t="s">
        <v>8328</v>
      </c>
      <c r="D1643" s="13">
        <v>10</v>
      </c>
    </row>
    <row r="1644" spans="3:4" x14ac:dyDescent="0.2">
      <c r="C1644" t="s">
        <v>8419</v>
      </c>
      <c r="D1644" s="13">
        <v>10</v>
      </c>
    </row>
    <row r="1645" spans="3:4" x14ac:dyDescent="0.2">
      <c r="C1645" t="s">
        <v>8421</v>
      </c>
      <c r="D1645" s="13">
        <v>10</v>
      </c>
    </row>
    <row r="1646" spans="3:4" x14ac:dyDescent="0.2">
      <c r="C1646" t="s">
        <v>8493</v>
      </c>
      <c r="D1646" s="13">
        <v>10</v>
      </c>
    </row>
    <row r="1647" spans="3:4" x14ac:dyDescent="0.2">
      <c r="C1647" t="s">
        <v>8542</v>
      </c>
      <c r="D1647" s="13">
        <v>10</v>
      </c>
    </row>
    <row r="1648" spans="3:4" x14ac:dyDescent="0.2">
      <c r="C1648" t="s">
        <v>238</v>
      </c>
      <c r="D1648" s="13">
        <v>10</v>
      </c>
    </row>
    <row r="1649" spans="3:4" x14ac:dyDescent="0.2">
      <c r="C1649" t="s">
        <v>270</v>
      </c>
      <c r="D1649" s="13">
        <v>10</v>
      </c>
    </row>
    <row r="1650" spans="3:4" x14ac:dyDescent="0.2">
      <c r="C1650" t="s">
        <v>272</v>
      </c>
      <c r="D1650" s="13">
        <v>10</v>
      </c>
    </row>
    <row r="1651" spans="3:4" x14ac:dyDescent="0.2">
      <c r="C1651" t="s">
        <v>338</v>
      </c>
      <c r="D1651" s="13">
        <v>10</v>
      </c>
    </row>
    <row r="1652" spans="3:4" x14ac:dyDescent="0.2">
      <c r="C1652" t="s">
        <v>622</v>
      </c>
      <c r="D1652" s="13">
        <v>10</v>
      </c>
    </row>
    <row r="1653" spans="3:4" x14ac:dyDescent="0.2">
      <c r="C1653" t="s">
        <v>821</v>
      </c>
      <c r="D1653" s="13">
        <v>10</v>
      </c>
    </row>
    <row r="1654" spans="3:4" x14ac:dyDescent="0.2">
      <c r="C1654" t="s">
        <v>1108</v>
      </c>
      <c r="D1654" s="13">
        <v>10</v>
      </c>
    </row>
    <row r="1655" spans="3:4" x14ac:dyDescent="0.2">
      <c r="C1655" t="s">
        <v>1122</v>
      </c>
      <c r="D1655" s="13">
        <v>10</v>
      </c>
    </row>
    <row r="1656" spans="3:4" x14ac:dyDescent="0.2">
      <c r="C1656" t="s">
        <v>1523</v>
      </c>
      <c r="D1656" s="13">
        <v>10</v>
      </c>
    </row>
    <row r="1657" spans="3:4" x14ac:dyDescent="0.2">
      <c r="C1657" t="s">
        <v>2455</v>
      </c>
      <c r="D1657" s="13">
        <v>10</v>
      </c>
    </row>
    <row r="1658" spans="3:4" x14ac:dyDescent="0.2">
      <c r="C1658" t="s">
        <v>2810</v>
      </c>
      <c r="D1658" s="13">
        <v>10</v>
      </c>
    </row>
    <row r="1659" spans="3:4" x14ac:dyDescent="0.2">
      <c r="C1659" t="s">
        <v>2864</v>
      </c>
      <c r="D1659" s="13">
        <v>10</v>
      </c>
    </row>
    <row r="1660" spans="3:4" x14ac:dyDescent="0.2">
      <c r="C1660" t="s">
        <v>3020</v>
      </c>
      <c r="D1660" s="13">
        <v>10</v>
      </c>
    </row>
    <row r="1661" spans="3:4" x14ac:dyDescent="0.2">
      <c r="C1661" t="s">
        <v>3615</v>
      </c>
      <c r="D1661" s="13">
        <v>10</v>
      </c>
    </row>
    <row r="1662" spans="3:4" x14ac:dyDescent="0.2">
      <c r="C1662" t="s">
        <v>4035</v>
      </c>
      <c r="D1662" s="13">
        <v>10</v>
      </c>
    </row>
    <row r="1663" spans="3:4" x14ac:dyDescent="0.2">
      <c r="C1663" t="s">
        <v>4538</v>
      </c>
      <c r="D1663" s="13">
        <v>10</v>
      </c>
    </row>
    <row r="1664" spans="3:4" x14ac:dyDescent="0.2">
      <c r="C1664" t="s">
        <v>4731</v>
      </c>
      <c r="D1664" s="13">
        <v>10</v>
      </c>
    </row>
    <row r="1665" spans="3:4" x14ac:dyDescent="0.2">
      <c r="C1665" t="s">
        <v>4880</v>
      </c>
      <c r="D1665" s="13">
        <v>10</v>
      </c>
    </row>
    <row r="1666" spans="3:4" x14ac:dyDescent="0.2">
      <c r="C1666" t="s">
        <v>5192</v>
      </c>
      <c r="D1666" s="13">
        <v>10</v>
      </c>
    </row>
    <row r="1667" spans="3:4" x14ac:dyDescent="0.2">
      <c r="C1667" t="s">
        <v>5259</v>
      </c>
      <c r="D1667" s="13">
        <v>10</v>
      </c>
    </row>
    <row r="1668" spans="3:4" x14ac:dyDescent="0.2">
      <c r="C1668" t="s">
        <v>5268</v>
      </c>
      <c r="D1668" s="13">
        <v>10</v>
      </c>
    </row>
    <row r="1669" spans="3:4" x14ac:dyDescent="0.2">
      <c r="C1669" t="s">
        <v>5458</v>
      </c>
      <c r="D1669" s="13">
        <v>10</v>
      </c>
    </row>
    <row r="1670" spans="3:4" x14ac:dyDescent="0.2">
      <c r="C1670" t="s">
        <v>5764</v>
      </c>
      <c r="D1670" s="13">
        <v>10</v>
      </c>
    </row>
    <row r="1671" spans="3:4" x14ac:dyDescent="0.2">
      <c r="C1671" t="s">
        <v>5880</v>
      </c>
      <c r="D1671" s="13">
        <v>10</v>
      </c>
    </row>
    <row r="1672" spans="3:4" x14ac:dyDescent="0.2">
      <c r="C1672" t="s">
        <v>6191</v>
      </c>
      <c r="D1672" s="13">
        <v>10</v>
      </c>
    </row>
    <row r="1673" spans="3:4" x14ac:dyDescent="0.2">
      <c r="C1673" t="s">
        <v>6786</v>
      </c>
      <c r="D1673" s="13">
        <v>10</v>
      </c>
    </row>
    <row r="1674" spans="3:4" x14ac:dyDescent="0.2">
      <c r="C1674" t="s">
        <v>7246</v>
      </c>
      <c r="D1674" s="13">
        <v>10</v>
      </c>
    </row>
    <row r="1675" spans="3:4" x14ac:dyDescent="0.2">
      <c r="C1675" t="s">
        <v>7408</v>
      </c>
      <c r="D1675" s="13">
        <v>10</v>
      </c>
    </row>
    <row r="1676" spans="3:4" x14ac:dyDescent="0.2">
      <c r="C1676" t="s">
        <v>8171</v>
      </c>
      <c r="D1676" s="13">
        <v>10</v>
      </c>
    </row>
    <row r="1677" spans="3:4" x14ac:dyDescent="0.2">
      <c r="C1677" t="s">
        <v>8413</v>
      </c>
      <c r="D1677" s="13">
        <v>10</v>
      </c>
    </row>
    <row r="1678" spans="3:4" x14ac:dyDescent="0.2">
      <c r="C1678" t="s">
        <v>282</v>
      </c>
      <c r="D1678" s="13">
        <v>10</v>
      </c>
    </row>
    <row r="1679" spans="3:4" x14ac:dyDescent="0.2">
      <c r="C1679" t="s">
        <v>284</v>
      </c>
      <c r="D1679" s="13">
        <v>10</v>
      </c>
    </row>
    <row r="1680" spans="3:4" x14ac:dyDescent="0.2">
      <c r="C1680" t="s">
        <v>409</v>
      </c>
      <c r="D1680" s="13">
        <v>10</v>
      </c>
    </row>
    <row r="1681" spans="3:4" x14ac:dyDescent="0.2">
      <c r="C1681" t="s">
        <v>447</v>
      </c>
      <c r="D1681" s="13">
        <v>10</v>
      </c>
    </row>
    <row r="1682" spans="3:4" x14ac:dyDescent="0.2">
      <c r="C1682" t="s">
        <v>513</v>
      </c>
      <c r="D1682" s="13">
        <v>10</v>
      </c>
    </row>
    <row r="1683" spans="3:4" x14ac:dyDescent="0.2">
      <c r="C1683" t="s">
        <v>550</v>
      </c>
      <c r="D1683" s="13">
        <v>10</v>
      </c>
    </row>
    <row r="1684" spans="3:4" x14ac:dyDescent="0.2">
      <c r="C1684" t="s">
        <v>557</v>
      </c>
      <c r="D1684" s="13">
        <v>10</v>
      </c>
    </row>
    <row r="1685" spans="3:4" x14ac:dyDescent="0.2">
      <c r="C1685" t="s">
        <v>602</v>
      </c>
      <c r="D1685" s="13">
        <v>10</v>
      </c>
    </row>
    <row r="1686" spans="3:4" x14ac:dyDescent="0.2">
      <c r="C1686" t="s">
        <v>624</v>
      </c>
      <c r="D1686" s="13">
        <v>10</v>
      </c>
    </row>
    <row r="1687" spans="3:4" x14ac:dyDescent="0.2">
      <c r="C1687" t="s">
        <v>639</v>
      </c>
      <c r="D1687" s="13">
        <v>10</v>
      </c>
    </row>
    <row r="1688" spans="3:4" x14ac:dyDescent="0.2">
      <c r="C1688" t="s">
        <v>647</v>
      </c>
      <c r="D1688" s="13">
        <v>10</v>
      </c>
    </row>
    <row r="1689" spans="3:4" x14ac:dyDescent="0.2">
      <c r="C1689" t="s">
        <v>686</v>
      </c>
      <c r="D1689" s="13">
        <v>10</v>
      </c>
    </row>
    <row r="1690" spans="3:4" x14ac:dyDescent="0.2">
      <c r="C1690" t="s">
        <v>711</v>
      </c>
      <c r="D1690" s="13">
        <v>10</v>
      </c>
    </row>
    <row r="1691" spans="3:4" x14ac:dyDescent="0.2">
      <c r="C1691" t="s">
        <v>732</v>
      </c>
      <c r="D1691" s="13">
        <v>10</v>
      </c>
    </row>
    <row r="1692" spans="3:4" x14ac:dyDescent="0.2">
      <c r="C1692" t="s">
        <v>805</v>
      </c>
      <c r="D1692" s="13">
        <v>10</v>
      </c>
    </row>
    <row r="1693" spans="3:4" x14ac:dyDescent="0.2">
      <c r="C1693" t="s">
        <v>868</v>
      </c>
      <c r="D1693" s="13">
        <v>10</v>
      </c>
    </row>
    <row r="1694" spans="3:4" x14ac:dyDescent="0.2">
      <c r="C1694" t="s">
        <v>894</v>
      </c>
      <c r="D1694" s="13">
        <v>10</v>
      </c>
    </row>
    <row r="1695" spans="3:4" x14ac:dyDescent="0.2">
      <c r="C1695" t="s">
        <v>923</v>
      </c>
      <c r="D1695" s="13">
        <v>10</v>
      </c>
    </row>
    <row r="1696" spans="3:4" x14ac:dyDescent="0.2">
      <c r="C1696" t="s">
        <v>941</v>
      </c>
      <c r="D1696" s="13">
        <v>10</v>
      </c>
    </row>
    <row r="1697" spans="3:4" x14ac:dyDescent="0.2">
      <c r="C1697" t="s">
        <v>949</v>
      </c>
      <c r="D1697" s="13">
        <v>10</v>
      </c>
    </row>
    <row r="1698" spans="3:4" x14ac:dyDescent="0.2">
      <c r="C1698" t="s">
        <v>967</v>
      </c>
      <c r="D1698" s="13">
        <v>10</v>
      </c>
    </row>
    <row r="1699" spans="3:4" x14ac:dyDescent="0.2">
      <c r="C1699" t="s">
        <v>1005</v>
      </c>
      <c r="D1699" s="13">
        <v>10</v>
      </c>
    </row>
    <row r="1700" spans="3:4" x14ac:dyDescent="0.2">
      <c r="C1700" t="s">
        <v>1023</v>
      </c>
      <c r="D1700" s="13">
        <v>10</v>
      </c>
    </row>
    <row r="1701" spans="3:4" x14ac:dyDescent="0.2">
      <c r="C1701" t="s">
        <v>1104</v>
      </c>
      <c r="D1701" s="13">
        <v>10</v>
      </c>
    </row>
    <row r="1702" spans="3:4" x14ac:dyDescent="0.2">
      <c r="C1702" t="s">
        <v>1167</v>
      </c>
      <c r="D1702" s="13">
        <v>10</v>
      </c>
    </row>
    <row r="1703" spans="3:4" x14ac:dyDescent="0.2">
      <c r="C1703" t="s">
        <v>1231</v>
      </c>
      <c r="D1703" s="13">
        <v>10</v>
      </c>
    </row>
    <row r="1704" spans="3:4" x14ac:dyDescent="0.2">
      <c r="C1704" t="s">
        <v>1253</v>
      </c>
      <c r="D1704" s="13">
        <v>10</v>
      </c>
    </row>
    <row r="1705" spans="3:4" x14ac:dyDescent="0.2">
      <c r="C1705" t="s">
        <v>1288</v>
      </c>
      <c r="D1705" s="13">
        <v>10</v>
      </c>
    </row>
    <row r="1706" spans="3:4" x14ac:dyDescent="0.2">
      <c r="C1706" t="s">
        <v>1309</v>
      </c>
      <c r="D1706" s="13">
        <v>10</v>
      </c>
    </row>
    <row r="1707" spans="3:4" x14ac:dyDescent="0.2">
      <c r="C1707" t="s">
        <v>1358</v>
      </c>
      <c r="D1707" s="13">
        <v>10</v>
      </c>
    </row>
    <row r="1708" spans="3:4" x14ac:dyDescent="0.2">
      <c r="C1708" t="s">
        <v>1370</v>
      </c>
      <c r="D1708" s="13">
        <v>10</v>
      </c>
    </row>
    <row r="1709" spans="3:4" x14ac:dyDescent="0.2">
      <c r="C1709" t="s">
        <v>1400</v>
      </c>
      <c r="D1709" s="13">
        <v>10</v>
      </c>
    </row>
    <row r="1710" spans="3:4" x14ac:dyDescent="0.2">
      <c r="C1710" t="s">
        <v>1414</v>
      </c>
      <c r="D1710" s="13">
        <v>10</v>
      </c>
    </row>
    <row r="1711" spans="3:4" x14ac:dyDescent="0.2">
      <c r="C1711" t="s">
        <v>1416</v>
      </c>
      <c r="D1711" s="13">
        <v>10</v>
      </c>
    </row>
    <row r="1712" spans="3:4" x14ac:dyDescent="0.2">
      <c r="C1712" t="s">
        <v>1444</v>
      </c>
      <c r="D1712" s="13">
        <v>10</v>
      </c>
    </row>
    <row r="1713" spans="3:4" x14ac:dyDescent="0.2">
      <c r="C1713" t="s">
        <v>1533</v>
      </c>
      <c r="D1713" s="13">
        <v>10</v>
      </c>
    </row>
    <row r="1714" spans="3:4" x14ac:dyDescent="0.2">
      <c r="C1714" t="s">
        <v>1541</v>
      </c>
      <c r="D1714" s="13">
        <v>10</v>
      </c>
    </row>
    <row r="1715" spans="3:4" x14ac:dyDescent="0.2">
      <c r="C1715" t="s">
        <v>1621</v>
      </c>
      <c r="D1715" s="13">
        <v>10</v>
      </c>
    </row>
    <row r="1716" spans="3:4" x14ac:dyDescent="0.2">
      <c r="C1716" t="s">
        <v>1665</v>
      </c>
      <c r="D1716" s="13">
        <v>10</v>
      </c>
    </row>
    <row r="1717" spans="3:4" x14ac:dyDescent="0.2">
      <c r="C1717" t="s">
        <v>1672</v>
      </c>
      <c r="D1717" s="13">
        <v>10</v>
      </c>
    </row>
    <row r="1718" spans="3:4" x14ac:dyDescent="0.2">
      <c r="C1718" t="s">
        <v>1733</v>
      </c>
      <c r="D1718" s="13">
        <v>10</v>
      </c>
    </row>
    <row r="1719" spans="3:4" x14ac:dyDescent="0.2">
      <c r="C1719" t="s">
        <v>1771</v>
      </c>
      <c r="D1719" s="13">
        <v>10</v>
      </c>
    </row>
    <row r="1720" spans="3:4" x14ac:dyDescent="0.2">
      <c r="C1720" t="s">
        <v>1829</v>
      </c>
      <c r="D1720" s="13">
        <v>10</v>
      </c>
    </row>
    <row r="1721" spans="3:4" x14ac:dyDescent="0.2">
      <c r="C1721" t="s">
        <v>1833</v>
      </c>
      <c r="D1721" s="13">
        <v>10</v>
      </c>
    </row>
    <row r="1722" spans="3:4" x14ac:dyDescent="0.2">
      <c r="C1722" t="s">
        <v>2017</v>
      </c>
      <c r="D1722" s="13">
        <v>10</v>
      </c>
    </row>
    <row r="1723" spans="3:4" x14ac:dyDescent="0.2">
      <c r="C1723" t="s">
        <v>2031</v>
      </c>
      <c r="D1723" s="13">
        <v>10</v>
      </c>
    </row>
    <row r="1724" spans="3:4" x14ac:dyDescent="0.2">
      <c r="C1724" t="s">
        <v>2052</v>
      </c>
      <c r="D1724" s="13">
        <v>10</v>
      </c>
    </row>
    <row r="1725" spans="3:4" x14ac:dyDescent="0.2">
      <c r="C1725" t="s">
        <v>2151</v>
      </c>
      <c r="D1725" s="13">
        <v>10</v>
      </c>
    </row>
    <row r="1726" spans="3:4" x14ac:dyDescent="0.2">
      <c r="C1726" t="s">
        <v>2176</v>
      </c>
      <c r="D1726" s="13">
        <v>10</v>
      </c>
    </row>
    <row r="1727" spans="3:4" x14ac:dyDescent="0.2">
      <c r="C1727" t="s">
        <v>2252</v>
      </c>
      <c r="D1727" s="13">
        <v>10</v>
      </c>
    </row>
    <row r="1728" spans="3:4" x14ac:dyDescent="0.2">
      <c r="C1728" t="s">
        <v>2354</v>
      </c>
      <c r="D1728" s="13">
        <v>10</v>
      </c>
    </row>
    <row r="1729" spans="3:4" x14ac:dyDescent="0.2">
      <c r="C1729" t="s">
        <v>2380</v>
      </c>
      <c r="D1729" s="13">
        <v>10</v>
      </c>
    </row>
    <row r="1730" spans="3:4" x14ac:dyDescent="0.2">
      <c r="C1730" t="s">
        <v>2409</v>
      </c>
      <c r="D1730" s="13">
        <v>10</v>
      </c>
    </row>
    <row r="1731" spans="3:4" x14ac:dyDescent="0.2">
      <c r="C1731" t="s">
        <v>2515</v>
      </c>
      <c r="D1731" s="13">
        <v>10</v>
      </c>
    </row>
    <row r="1732" spans="3:4" x14ac:dyDescent="0.2">
      <c r="C1732" t="s">
        <v>2569</v>
      </c>
      <c r="D1732" s="13">
        <v>10</v>
      </c>
    </row>
    <row r="1733" spans="3:4" x14ac:dyDescent="0.2">
      <c r="C1733" t="s">
        <v>2591</v>
      </c>
      <c r="D1733" s="13">
        <v>10</v>
      </c>
    </row>
    <row r="1734" spans="3:4" x14ac:dyDescent="0.2">
      <c r="C1734" t="s">
        <v>2601</v>
      </c>
      <c r="D1734" s="13">
        <v>10</v>
      </c>
    </row>
    <row r="1735" spans="3:4" x14ac:dyDescent="0.2">
      <c r="C1735" t="s">
        <v>2627</v>
      </c>
      <c r="D1735" s="13">
        <v>10</v>
      </c>
    </row>
    <row r="1736" spans="3:4" x14ac:dyDescent="0.2">
      <c r="C1736" t="s">
        <v>2702</v>
      </c>
      <c r="D1736" s="13">
        <v>10</v>
      </c>
    </row>
    <row r="1737" spans="3:4" x14ac:dyDescent="0.2">
      <c r="C1737" t="s">
        <v>2710</v>
      </c>
      <c r="D1737" s="13">
        <v>10</v>
      </c>
    </row>
    <row r="1738" spans="3:4" x14ac:dyDescent="0.2">
      <c r="C1738" t="s">
        <v>2789</v>
      </c>
      <c r="D1738" s="13">
        <v>10</v>
      </c>
    </row>
    <row r="1739" spans="3:4" x14ac:dyDescent="0.2">
      <c r="C1739" t="s">
        <v>2891</v>
      </c>
      <c r="D1739" s="13">
        <v>10</v>
      </c>
    </row>
    <row r="1740" spans="3:4" x14ac:dyDescent="0.2">
      <c r="C1740" t="s">
        <v>2897</v>
      </c>
      <c r="D1740" s="13">
        <v>10</v>
      </c>
    </row>
    <row r="1741" spans="3:4" x14ac:dyDescent="0.2">
      <c r="C1741" t="s">
        <v>2928</v>
      </c>
      <c r="D1741" s="13">
        <v>10</v>
      </c>
    </row>
    <row r="1742" spans="3:4" x14ac:dyDescent="0.2">
      <c r="C1742" t="s">
        <v>3047</v>
      </c>
      <c r="D1742" s="13">
        <v>10</v>
      </c>
    </row>
    <row r="1743" spans="3:4" x14ac:dyDescent="0.2">
      <c r="C1743" t="s">
        <v>3115</v>
      </c>
      <c r="D1743" s="13">
        <v>10</v>
      </c>
    </row>
    <row r="1744" spans="3:4" x14ac:dyDescent="0.2">
      <c r="C1744" t="s">
        <v>3234</v>
      </c>
      <c r="D1744" s="13">
        <v>10</v>
      </c>
    </row>
    <row r="1745" spans="3:4" x14ac:dyDescent="0.2">
      <c r="C1745" t="s">
        <v>3258</v>
      </c>
      <c r="D1745" s="13">
        <v>10</v>
      </c>
    </row>
    <row r="1746" spans="3:4" x14ac:dyDescent="0.2">
      <c r="C1746" t="s">
        <v>3313</v>
      </c>
      <c r="D1746" s="13">
        <v>10</v>
      </c>
    </row>
    <row r="1747" spans="3:4" x14ac:dyDescent="0.2">
      <c r="C1747" t="s">
        <v>3371</v>
      </c>
      <c r="D1747" s="13">
        <v>10</v>
      </c>
    </row>
    <row r="1748" spans="3:4" x14ac:dyDescent="0.2">
      <c r="C1748" t="s">
        <v>3383</v>
      </c>
      <c r="D1748" s="13">
        <v>10</v>
      </c>
    </row>
    <row r="1749" spans="3:4" x14ac:dyDescent="0.2">
      <c r="C1749" t="s">
        <v>3425</v>
      </c>
      <c r="D1749" s="13">
        <v>10</v>
      </c>
    </row>
    <row r="1750" spans="3:4" x14ac:dyDescent="0.2">
      <c r="C1750" t="s">
        <v>3451</v>
      </c>
      <c r="D1750" s="13">
        <v>10</v>
      </c>
    </row>
    <row r="1751" spans="3:4" x14ac:dyDescent="0.2">
      <c r="C1751" t="s">
        <v>3491</v>
      </c>
      <c r="D1751" s="13">
        <v>10</v>
      </c>
    </row>
    <row r="1752" spans="3:4" x14ac:dyDescent="0.2">
      <c r="C1752" t="s">
        <v>3547</v>
      </c>
      <c r="D1752" s="13">
        <v>10</v>
      </c>
    </row>
    <row r="1753" spans="3:4" x14ac:dyDescent="0.2">
      <c r="C1753" t="s">
        <v>3597</v>
      </c>
      <c r="D1753" s="13">
        <v>10</v>
      </c>
    </row>
    <row r="1754" spans="3:4" x14ac:dyDescent="0.2">
      <c r="C1754" t="s">
        <v>3641</v>
      </c>
      <c r="D1754" s="13">
        <v>10</v>
      </c>
    </row>
    <row r="1755" spans="3:4" x14ac:dyDescent="0.2">
      <c r="C1755" t="s">
        <v>3651</v>
      </c>
      <c r="D1755" s="13">
        <v>10</v>
      </c>
    </row>
    <row r="1756" spans="3:4" x14ac:dyDescent="0.2">
      <c r="C1756" t="s">
        <v>3674</v>
      </c>
      <c r="D1756" s="13">
        <v>10</v>
      </c>
    </row>
    <row r="1757" spans="3:4" x14ac:dyDescent="0.2">
      <c r="C1757" t="s">
        <v>3699</v>
      </c>
      <c r="D1757" s="13">
        <v>10</v>
      </c>
    </row>
    <row r="1758" spans="3:4" x14ac:dyDescent="0.2">
      <c r="C1758" t="s">
        <v>3709</v>
      </c>
      <c r="D1758" s="13">
        <v>10</v>
      </c>
    </row>
    <row r="1759" spans="3:4" x14ac:dyDescent="0.2">
      <c r="C1759" t="s">
        <v>3723</v>
      </c>
      <c r="D1759" s="13">
        <v>10</v>
      </c>
    </row>
    <row r="1760" spans="3:4" x14ac:dyDescent="0.2">
      <c r="C1760" t="s">
        <v>3765</v>
      </c>
      <c r="D1760" s="13">
        <v>10</v>
      </c>
    </row>
    <row r="1761" spans="3:4" x14ac:dyDescent="0.2">
      <c r="C1761" t="s">
        <v>3793</v>
      </c>
      <c r="D1761" s="13">
        <v>10</v>
      </c>
    </row>
    <row r="1762" spans="3:4" x14ac:dyDescent="0.2">
      <c r="C1762" t="s">
        <v>3824</v>
      </c>
      <c r="D1762" s="13">
        <v>10</v>
      </c>
    </row>
    <row r="1763" spans="3:4" x14ac:dyDescent="0.2">
      <c r="C1763" t="s">
        <v>3894</v>
      </c>
      <c r="D1763" s="13">
        <v>10</v>
      </c>
    </row>
    <row r="1764" spans="3:4" x14ac:dyDescent="0.2">
      <c r="C1764" t="s">
        <v>3974</v>
      </c>
      <c r="D1764" s="13">
        <v>10</v>
      </c>
    </row>
    <row r="1765" spans="3:4" x14ac:dyDescent="0.2">
      <c r="C1765" t="s">
        <v>3992</v>
      </c>
      <c r="D1765" s="13">
        <v>10</v>
      </c>
    </row>
    <row r="1766" spans="3:4" x14ac:dyDescent="0.2">
      <c r="C1766" t="s">
        <v>4139</v>
      </c>
      <c r="D1766" s="13">
        <v>10</v>
      </c>
    </row>
    <row r="1767" spans="3:4" x14ac:dyDescent="0.2">
      <c r="C1767" t="s">
        <v>4168</v>
      </c>
      <c r="D1767" s="13">
        <v>10</v>
      </c>
    </row>
    <row r="1768" spans="3:4" x14ac:dyDescent="0.2">
      <c r="C1768" t="s">
        <v>4251</v>
      </c>
      <c r="D1768" s="13">
        <v>10</v>
      </c>
    </row>
    <row r="1769" spans="3:4" x14ac:dyDescent="0.2">
      <c r="C1769" t="s">
        <v>4295</v>
      </c>
      <c r="D1769" s="13">
        <v>10</v>
      </c>
    </row>
    <row r="1770" spans="3:4" x14ac:dyDescent="0.2">
      <c r="C1770" t="s">
        <v>4303</v>
      </c>
      <c r="D1770" s="13">
        <v>10</v>
      </c>
    </row>
    <row r="1771" spans="3:4" x14ac:dyDescent="0.2">
      <c r="C1771" t="s">
        <v>4314</v>
      </c>
      <c r="D1771" s="13">
        <v>10</v>
      </c>
    </row>
    <row r="1772" spans="3:4" x14ac:dyDescent="0.2">
      <c r="C1772" t="s">
        <v>4352</v>
      </c>
      <c r="D1772" s="13">
        <v>10</v>
      </c>
    </row>
    <row r="1773" spans="3:4" x14ac:dyDescent="0.2">
      <c r="C1773" t="s">
        <v>4362</v>
      </c>
      <c r="D1773" s="13">
        <v>10</v>
      </c>
    </row>
    <row r="1774" spans="3:4" x14ac:dyDescent="0.2">
      <c r="C1774" t="s">
        <v>4370</v>
      </c>
      <c r="D1774" s="13">
        <v>10</v>
      </c>
    </row>
    <row r="1775" spans="3:4" x14ac:dyDescent="0.2">
      <c r="C1775" t="s">
        <v>4473</v>
      </c>
      <c r="D1775" s="13">
        <v>10</v>
      </c>
    </row>
    <row r="1776" spans="3:4" x14ac:dyDescent="0.2">
      <c r="C1776" t="s">
        <v>4516</v>
      </c>
      <c r="D1776" s="13">
        <v>10</v>
      </c>
    </row>
    <row r="1777" spans="3:4" x14ac:dyDescent="0.2">
      <c r="C1777" t="s">
        <v>4640</v>
      </c>
      <c r="D1777" s="13">
        <v>10</v>
      </c>
    </row>
    <row r="1778" spans="3:4" x14ac:dyDescent="0.2">
      <c r="C1778" t="s">
        <v>4652</v>
      </c>
      <c r="D1778" s="13">
        <v>10</v>
      </c>
    </row>
    <row r="1779" spans="3:4" x14ac:dyDescent="0.2">
      <c r="C1779" t="s">
        <v>4704</v>
      </c>
      <c r="D1779" s="13">
        <v>10</v>
      </c>
    </row>
    <row r="1780" spans="3:4" x14ac:dyDescent="0.2">
      <c r="C1780" t="s">
        <v>4733</v>
      </c>
      <c r="D1780" s="13">
        <v>10</v>
      </c>
    </row>
    <row r="1781" spans="3:4" x14ac:dyDescent="0.2">
      <c r="C1781" t="s">
        <v>4803</v>
      </c>
      <c r="D1781" s="13">
        <v>10</v>
      </c>
    </row>
    <row r="1782" spans="3:4" x14ac:dyDescent="0.2">
      <c r="C1782" t="s">
        <v>4963</v>
      </c>
      <c r="D1782" s="13">
        <v>10</v>
      </c>
    </row>
    <row r="1783" spans="3:4" x14ac:dyDescent="0.2">
      <c r="C1783" t="s">
        <v>5116</v>
      </c>
      <c r="D1783" s="13">
        <v>10</v>
      </c>
    </row>
    <row r="1784" spans="3:4" x14ac:dyDescent="0.2">
      <c r="C1784" t="s">
        <v>5118</v>
      </c>
      <c r="D1784" s="13">
        <v>10</v>
      </c>
    </row>
    <row r="1785" spans="3:4" x14ac:dyDescent="0.2">
      <c r="C1785" t="s">
        <v>5198</v>
      </c>
      <c r="D1785" s="13">
        <v>10</v>
      </c>
    </row>
    <row r="1786" spans="3:4" x14ac:dyDescent="0.2">
      <c r="C1786" t="s">
        <v>5210</v>
      </c>
      <c r="D1786" s="13">
        <v>10</v>
      </c>
    </row>
    <row r="1787" spans="3:4" x14ac:dyDescent="0.2">
      <c r="C1787" t="s">
        <v>5217</v>
      </c>
      <c r="D1787" s="13">
        <v>10</v>
      </c>
    </row>
    <row r="1788" spans="3:4" x14ac:dyDescent="0.2">
      <c r="C1788" t="s">
        <v>5261</v>
      </c>
      <c r="D1788" s="13">
        <v>10</v>
      </c>
    </row>
    <row r="1789" spans="3:4" x14ac:dyDescent="0.2">
      <c r="C1789" t="s">
        <v>5296</v>
      </c>
      <c r="D1789" s="13">
        <v>10</v>
      </c>
    </row>
    <row r="1790" spans="3:4" x14ac:dyDescent="0.2">
      <c r="C1790" t="s">
        <v>5354</v>
      </c>
      <c r="D1790" s="13">
        <v>10</v>
      </c>
    </row>
    <row r="1791" spans="3:4" x14ac:dyDescent="0.2">
      <c r="C1791" t="s">
        <v>5416</v>
      </c>
      <c r="D1791" s="13">
        <v>10</v>
      </c>
    </row>
    <row r="1792" spans="3:4" x14ac:dyDescent="0.2">
      <c r="C1792" t="s">
        <v>5450</v>
      </c>
      <c r="D1792" s="13">
        <v>10</v>
      </c>
    </row>
    <row r="1793" spans="3:4" x14ac:dyDescent="0.2">
      <c r="C1793" t="s">
        <v>5478</v>
      </c>
      <c r="D1793" s="13">
        <v>10</v>
      </c>
    </row>
    <row r="1794" spans="3:4" x14ac:dyDescent="0.2">
      <c r="C1794" t="s">
        <v>5528</v>
      </c>
      <c r="D1794" s="13">
        <v>10</v>
      </c>
    </row>
    <row r="1795" spans="3:4" x14ac:dyDescent="0.2">
      <c r="C1795" t="s">
        <v>5659</v>
      </c>
      <c r="D1795" s="13">
        <v>10</v>
      </c>
    </row>
    <row r="1796" spans="3:4" x14ac:dyDescent="0.2">
      <c r="C1796" t="s">
        <v>5735</v>
      </c>
      <c r="D1796" s="13">
        <v>10</v>
      </c>
    </row>
    <row r="1797" spans="3:4" x14ac:dyDescent="0.2">
      <c r="C1797" t="s">
        <v>5737</v>
      </c>
      <c r="D1797" s="13">
        <v>10</v>
      </c>
    </row>
    <row r="1798" spans="3:4" x14ac:dyDescent="0.2">
      <c r="C1798" t="s">
        <v>5892</v>
      </c>
      <c r="D1798" s="13">
        <v>10</v>
      </c>
    </row>
    <row r="1799" spans="3:4" x14ac:dyDescent="0.2">
      <c r="C1799" t="s">
        <v>5905</v>
      </c>
      <c r="D1799" s="13">
        <v>10</v>
      </c>
    </row>
    <row r="1800" spans="3:4" x14ac:dyDescent="0.2">
      <c r="C1800" t="s">
        <v>5917</v>
      </c>
      <c r="D1800" s="13">
        <v>10</v>
      </c>
    </row>
    <row r="1801" spans="3:4" x14ac:dyDescent="0.2">
      <c r="C1801" t="s">
        <v>5930</v>
      </c>
      <c r="D1801" s="13">
        <v>10</v>
      </c>
    </row>
    <row r="1802" spans="3:4" x14ac:dyDescent="0.2">
      <c r="C1802" t="s">
        <v>5984</v>
      </c>
      <c r="D1802" s="13">
        <v>10</v>
      </c>
    </row>
    <row r="1803" spans="3:4" x14ac:dyDescent="0.2">
      <c r="C1803" t="s">
        <v>5988</v>
      </c>
      <c r="D1803" s="13">
        <v>10</v>
      </c>
    </row>
    <row r="1804" spans="3:4" x14ac:dyDescent="0.2">
      <c r="C1804" t="s">
        <v>5997</v>
      </c>
      <c r="D1804" s="13">
        <v>10</v>
      </c>
    </row>
    <row r="1805" spans="3:4" x14ac:dyDescent="0.2">
      <c r="C1805" t="s">
        <v>5999</v>
      </c>
      <c r="D1805" s="13">
        <v>10</v>
      </c>
    </row>
    <row r="1806" spans="3:4" x14ac:dyDescent="0.2">
      <c r="C1806" t="s">
        <v>6054</v>
      </c>
      <c r="D1806" s="13">
        <v>10</v>
      </c>
    </row>
    <row r="1807" spans="3:4" x14ac:dyDescent="0.2">
      <c r="C1807" t="s">
        <v>6100</v>
      </c>
      <c r="D1807" s="13">
        <v>10</v>
      </c>
    </row>
    <row r="1808" spans="3:4" x14ac:dyDescent="0.2">
      <c r="C1808" t="s">
        <v>6215</v>
      </c>
      <c r="D1808" s="13">
        <v>10</v>
      </c>
    </row>
    <row r="1809" spans="3:4" x14ac:dyDescent="0.2">
      <c r="C1809" t="s">
        <v>6219</v>
      </c>
      <c r="D1809" s="13">
        <v>10</v>
      </c>
    </row>
    <row r="1810" spans="3:4" x14ac:dyDescent="0.2">
      <c r="C1810" t="s">
        <v>6239</v>
      </c>
      <c r="D1810" s="13">
        <v>10</v>
      </c>
    </row>
    <row r="1811" spans="3:4" x14ac:dyDescent="0.2">
      <c r="C1811" t="s">
        <v>6259</v>
      </c>
      <c r="D1811" s="13">
        <v>10</v>
      </c>
    </row>
    <row r="1812" spans="3:4" x14ac:dyDescent="0.2">
      <c r="C1812" t="s">
        <v>6315</v>
      </c>
      <c r="D1812" s="13">
        <v>10</v>
      </c>
    </row>
    <row r="1813" spans="3:4" x14ac:dyDescent="0.2">
      <c r="C1813" t="s">
        <v>6371</v>
      </c>
      <c r="D1813" s="13">
        <v>10</v>
      </c>
    </row>
    <row r="1814" spans="3:4" x14ac:dyDescent="0.2">
      <c r="C1814" t="s">
        <v>6410</v>
      </c>
      <c r="D1814" s="13">
        <v>10</v>
      </c>
    </row>
    <row r="1815" spans="3:4" x14ac:dyDescent="0.2">
      <c r="C1815" t="s">
        <v>6526</v>
      </c>
      <c r="D1815" s="13">
        <v>10</v>
      </c>
    </row>
    <row r="1816" spans="3:4" x14ac:dyDescent="0.2">
      <c r="C1816" t="s">
        <v>6606</v>
      </c>
      <c r="D1816" s="13">
        <v>10</v>
      </c>
    </row>
    <row r="1817" spans="3:4" x14ac:dyDescent="0.2">
      <c r="C1817" t="s">
        <v>6608</v>
      </c>
      <c r="D1817" s="13">
        <v>10</v>
      </c>
    </row>
    <row r="1818" spans="3:4" x14ac:dyDescent="0.2">
      <c r="C1818" t="s">
        <v>6645</v>
      </c>
      <c r="D1818" s="13">
        <v>10</v>
      </c>
    </row>
    <row r="1819" spans="3:4" x14ac:dyDescent="0.2">
      <c r="C1819" t="s">
        <v>6646</v>
      </c>
      <c r="D1819" s="13">
        <v>10</v>
      </c>
    </row>
    <row r="1820" spans="3:4" x14ac:dyDescent="0.2">
      <c r="C1820" t="s">
        <v>6659</v>
      </c>
      <c r="D1820" s="13">
        <v>10</v>
      </c>
    </row>
    <row r="1821" spans="3:4" x14ac:dyDescent="0.2">
      <c r="C1821" t="s">
        <v>6741</v>
      </c>
      <c r="D1821" s="13">
        <v>10</v>
      </c>
    </row>
    <row r="1822" spans="3:4" x14ac:dyDescent="0.2">
      <c r="C1822" t="s">
        <v>6780</v>
      </c>
      <c r="D1822" s="13">
        <v>10</v>
      </c>
    </row>
    <row r="1823" spans="3:4" x14ac:dyDescent="0.2">
      <c r="C1823" t="s">
        <v>6811</v>
      </c>
      <c r="D1823" s="13">
        <v>10</v>
      </c>
    </row>
    <row r="1824" spans="3:4" x14ac:dyDescent="0.2">
      <c r="C1824" t="s">
        <v>6819</v>
      </c>
      <c r="D1824" s="13">
        <v>10</v>
      </c>
    </row>
    <row r="1825" spans="3:4" x14ac:dyDescent="0.2">
      <c r="C1825" t="s">
        <v>6935</v>
      </c>
      <c r="D1825" s="13">
        <v>10</v>
      </c>
    </row>
    <row r="1826" spans="3:4" x14ac:dyDescent="0.2">
      <c r="C1826" t="s">
        <v>6953</v>
      </c>
      <c r="D1826" s="13">
        <v>10</v>
      </c>
    </row>
    <row r="1827" spans="3:4" x14ac:dyDescent="0.2">
      <c r="C1827" t="s">
        <v>6959</v>
      </c>
      <c r="D1827" s="13">
        <v>10</v>
      </c>
    </row>
    <row r="1828" spans="3:4" x14ac:dyDescent="0.2">
      <c r="C1828" t="s">
        <v>6995</v>
      </c>
      <c r="D1828" s="13">
        <v>10</v>
      </c>
    </row>
    <row r="1829" spans="3:4" x14ac:dyDescent="0.2">
      <c r="C1829" t="s">
        <v>7039</v>
      </c>
      <c r="D1829" s="13">
        <v>10</v>
      </c>
    </row>
    <row r="1830" spans="3:4" x14ac:dyDescent="0.2">
      <c r="C1830" t="s">
        <v>7206</v>
      </c>
      <c r="D1830" s="13">
        <v>10</v>
      </c>
    </row>
    <row r="1831" spans="3:4" x14ac:dyDescent="0.2">
      <c r="C1831" t="s">
        <v>7268</v>
      </c>
      <c r="D1831" s="13">
        <v>10</v>
      </c>
    </row>
    <row r="1832" spans="3:4" x14ac:dyDescent="0.2">
      <c r="C1832" t="s">
        <v>7274</v>
      </c>
      <c r="D1832" s="13">
        <v>10</v>
      </c>
    </row>
    <row r="1833" spans="3:4" x14ac:dyDescent="0.2">
      <c r="C1833" t="s">
        <v>7294</v>
      </c>
      <c r="D1833" s="13">
        <v>10</v>
      </c>
    </row>
    <row r="1834" spans="3:4" x14ac:dyDescent="0.2">
      <c r="C1834" t="s">
        <v>7377</v>
      </c>
      <c r="D1834" s="13">
        <v>10</v>
      </c>
    </row>
    <row r="1835" spans="3:4" x14ac:dyDescent="0.2">
      <c r="C1835" t="s">
        <v>7439</v>
      </c>
      <c r="D1835" s="13">
        <v>10</v>
      </c>
    </row>
    <row r="1836" spans="3:4" x14ac:dyDescent="0.2">
      <c r="C1836" t="s">
        <v>7443</v>
      </c>
      <c r="D1836" s="13">
        <v>10</v>
      </c>
    </row>
    <row r="1837" spans="3:4" x14ac:dyDescent="0.2">
      <c r="C1837" t="s">
        <v>7471</v>
      </c>
      <c r="D1837" s="13">
        <v>10</v>
      </c>
    </row>
    <row r="1838" spans="3:4" x14ac:dyDescent="0.2">
      <c r="C1838" t="s">
        <v>7516</v>
      </c>
      <c r="D1838" s="13">
        <v>10</v>
      </c>
    </row>
    <row r="1839" spans="3:4" x14ac:dyDescent="0.2">
      <c r="C1839" t="s">
        <v>7532</v>
      </c>
      <c r="D1839" s="13">
        <v>10</v>
      </c>
    </row>
    <row r="1840" spans="3:4" x14ac:dyDescent="0.2">
      <c r="C1840" t="s">
        <v>7643</v>
      </c>
      <c r="D1840" s="13">
        <v>10</v>
      </c>
    </row>
    <row r="1841" spans="3:4" x14ac:dyDescent="0.2">
      <c r="C1841" t="s">
        <v>7662</v>
      </c>
      <c r="D1841" s="13">
        <v>10</v>
      </c>
    </row>
    <row r="1842" spans="3:4" x14ac:dyDescent="0.2">
      <c r="C1842" t="s">
        <v>7700</v>
      </c>
      <c r="D1842" s="13">
        <v>10</v>
      </c>
    </row>
    <row r="1843" spans="3:4" x14ac:dyDescent="0.2">
      <c r="C1843" t="s">
        <v>7710</v>
      </c>
      <c r="D1843" s="13">
        <v>10</v>
      </c>
    </row>
    <row r="1844" spans="3:4" x14ac:dyDescent="0.2">
      <c r="C1844" t="s">
        <v>7771</v>
      </c>
      <c r="D1844" s="13">
        <v>10</v>
      </c>
    </row>
    <row r="1845" spans="3:4" x14ac:dyDescent="0.2">
      <c r="C1845" t="s">
        <v>7789</v>
      </c>
      <c r="D1845" s="13">
        <v>10</v>
      </c>
    </row>
    <row r="1846" spans="3:4" x14ac:dyDescent="0.2">
      <c r="C1846" t="s">
        <v>7819</v>
      </c>
      <c r="D1846" s="13">
        <v>10</v>
      </c>
    </row>
    <row r="1847" spans="3:4" x14ac:dyDescent="0.2">
      <c r="C1847" t="s">
        <v>7847</v>
      </c>
      <c r="D1847" s="13">
        <v>10</v>
      </c>
    </row>
    <row r="1848" spans="3:4" x14ac:dyDescent="0.2">
      <c r="C1848" t="s">
        <v>7855</v>
      </c>
      <c r="D1848" s="13">
        <v>10</v>
      </c>
    </row>
    <row r="1849" spans="3:4" x14ac:dyDescent="0.2">
      <c r="C1849" t="s">
        <v>7890</v>
      </c>
      <c r="D1849" s="13">
        <v>10</v>
      </c>
    </row>
    <row r="1850" spans="3:4" x14ac:dyDescent="0.2">
      <c r="C1850" t="s">
        <v>7924</v>
      </c>
      <c r="D1850" s="13">
        <v>10</v>
      </c>
    </row>
    <row r="1851" spans="3:4" x14ac:dyDescent="0.2">
      <c r="C1851" t="s">
        <v>7987</v>
      </c>
      <c r="D1851" s="13">
        <v>10</v>
      </c>
    </row>
    <row r="1852" spans="3:4" x14ac:dyDescent="0.2">
      <c r="C1852" t="s">
        <v>8185</v>
      </c>
      <c r="D1852" s="13">
        <v>10</v>
      </c>
    </row>
    <row r="1853" spans="3:4" x14ac:dyDescent="0.2">
      <c r="C1853" t="s">
        <v>8277</v>
      </c>
      <c r="D1853" s="13">
        <v>10</v>
      </c>
    </row>
    <row r="1854" spans="3:4" x14ac:dyDescent="0.2">
      <c r="C1854" t="s">
        <v>8307</v>
      </c>
      <c r="D1854" s="13">
        <v>10</v>
      </c>
    </row>
    <row r="1855" spans="3:4" x14ac:dyDescent="0.2">
      <c r="C1855" t="s">
        <v>8358</v>
      </c>
      <c r="D1855" s="13">
        <v>10</v>
      </c>
    </row>
    <row r="1856" spans="3:4" x14ac:dyDescent="0.2">
      <c r="C1856" t="s">
        <v>8385</v>
      </c>
      <c r="D1856" s="13">
        <v>10</v>
      </c>
    </row>
    <row r="1857" spans="3:4" x14ac:dyDescent="0.2">
      <c r="C1857" t="s">
        <v>8440</v>
      </c>
      <c r="D1857" s="13">
        <v>10</v>
      </c>
    </row>
    <row r="1858" spans="3:4" x14ac:dyDescent="0.2">
      <c r="C1858" t="s">
        <v>8479</v>
      </c>
      <c r="D1858" s="13">
        <v>10</v>
      </c>
    </row>
    <row r="1859" spans="3:4" x14ac:dyDescent="0.2">
      <c r="C1859" t="s">
        <v>8481</v>
      </c>
      <c r="D1859" s="13">
        <v>10</v>
      </c>
    </row>
    <row r="1860" spans="3:4" x14ac:dyDescent="0.2">
      <c r="C1860" t="s">
        <v>8540</v>
      </c>
      <c r="D1860" s="13">
        <v>10</v>
      </c>
    </row>
    <row r="1861" spans="3:4" x14ac:dyDescent="0.2">
      <c r="C1861" t="s">
        <v>8541</v>
      </c>
      <c r="D1861" s="13">
        <v>10</v>
      </c>
    </row>
    <row r="1862" spans="3:4" x14ac:dyDescent="0.2">
      <c r="C1862" t="s">
        <v>8581</v>
      </c>
      <c r="D1862" s="13">
        <v>10</v>
      </c>
    </row>
    <row r="1863" spans="3:4" x14ac:dyDescent="0.2">
      <c r="C1863" t="s">
        <v>8632</v>
      </c>
      <c r="D1863" s="13">
        <v>10</v>
      </c>
    </row>
    <row r="1864" spans="3:4" x14ac:dyDescent="0.2">
      <c r="C1864" t="s">
        <v>8658</v>
      </c>
      <c r="D1864" s="13">
        <v>10</v>
      </c>
    </row>
    <row r="1865" spans="3:4" x14ac:dyDescent="0.2">
      <c r="C1865" t="s">
        <v>8696</v>
      </c>
      <c r="D1865" s="13">
        <v>10</v>
      </c>
    </row>
    <row r="1866" spans="3:4" x14ac:dyDescent="0.2">
      <c r="C1866" t="s">
        <v>8720</v>
      </c>
      <c r="D1866" s="13">
        <v>10</v>
      </c>
    </row>
    <row r="1867" spans="3:4" x14ac:dyDescent="0.2">
      <c r="C1867" t="s">
        <v>217</v>
      </c>
      <c r="D1867" s="13">
        <v>10</v>
      </c>
    </row>
    <row r="1868" spans="3:4" x14ac:dyDescent="0.2">
      <c r="C1868" t="s">
        <v>369</v>
      </c>
      <c r="D1868" s="13">
        <v>10</v>
      </c>
    </row>
    <row r="1869" spans="3:4" x14ac:dyDescent="0.2">
      <c r="C1869" t="s">
        <v>1055</v>
      </c>
      <c r="D1869" s="13">
        <v>10</v>
      </c>
    </row>
    <row r="1870" spans="3:4" x14ac:dyDescent="0.2">
      <c r="C1870" t="s">
        <v>1431</v>
      </c>
      <c r="D1870" s="13">
        <v>10</v>
      </c>
    </row>
    <row r="1871" spans="3:4" x14ac:dyDescent="0.2">
      <c r="C1871" t="s">
        <v>1613</v>
      </c>
      <c r="D1871" s="13">
        <v>10</v>
      </c>
    </row>
    <row r="1872" spans="3:4" x14ac:dyDescent="0.2">
      <c r="C1872" t="s">
        <v>2296</v>
      </c>
      <c r="D1872" s="13">
        <v>10</v>
      </c>
    </row>
    <row r="1873" spans="3:4" x14ac:dyDescent="0.2">
      <c r="C1873" t="s">
        <v>2457</v>
      </c>
      <c r="D1873" s="13">
        <v>10</v>
      </c>
    </row>
    <row r="1874" spans="3:4" x14ac:dyDescent="0.2">
      <c r="C1874" t="s">
        <v>2477</v>
      </c>
      <c r="D1874" s="13">
        <v>10</v>
      </c>
    </row>
    <row r="1875" spans="3:4" x14ac:dyDescent="0.2">
      <c r="C1875" t="s">
        <v>2505</v>
      </c>
      <c r="D1875" s="13">
        <v>10</v>
      </c>
    </row>
    <row r="1876" spans="3:4" x14ac:dyDescent="0.2">
      <c r="C1876" t="s">
        <v>2862</v>
      </c>
      <c r="D1876" s="13">
        <v>10</v>
      </c>
    </row>
    <row r="1877" spans="3:4" x14ac:dyDescent="0.2">
      <c r="C1877" t="s">
        <v>2906</v>
      </c>
      <c r="D1877" s="13">
        <v>10</v>
      </c>
    </row>
    <row r="1878" spans="3:4" x14ac:dyDescent="0.2">
      <c r="C1878" t="s">
        <v>3053</v>
      </c>
      <c r="D1878" s="13">
        <v>10</v>
      </c>
    </row>
    <row r="1879" spans="3:4" x14ac:dyDescent="0.2">
      <c r="C1879" t="s">
        <v>3242</v>
      </c>
      <c r="D1879" s="13">
        <v>10</v>
      </c>
    </row>
    <row r="1880" spans="3:4" x14ac:dyDescent="0.2">
      <c r="C1880" t="s">
        <v>3633</v>
      </c>
      <c r="D1880" s="13">
        <v>10</v>
      </c>
    </row>
    <row r="1881" spans="3:4" x14ac:dyDescent="0.2">
      <c r="C1881" t="s">
        <v>3639</v>
      </c>
      <c r="D1881" s="13">
        <v>10</v>
      </c>
    </row>
    <row r="1882" spans="3:4" x14ac:dyDescent="0.2">
      <c r="C1882" t="s">
        <v>3913</v>
      </c>
      <c r="D1882" s="13">
        <v>10</v>
      </c>
    </row>
    <row r="1883" spans="3:4" x14ac:dyDescent="0.2">
      <c r="C1883" t="s">
        <v>4174</v>
      </c>
      <c r="D1883" s="13">
        <v>10</v>
      </c>
    </row>
    <row r="1884" spans="3:4" x14ac:dyDescent="0.2">
      <c r="C1884" t="s">
        <v>5200</v>
      </c>
      <c r="D1884" s="13">
        <v>10</v>
      </c>
    </row>
    <row r="1885" spans="3:4" x14ac:dyDescent="0.2">
      <c r="C1885" t="s">
        <v>5430</v>
      </c>
      <c r="D1885" s="13">
        <v>10</v>
      </c>
    </row>
    <row r="1886" spans="3:4" x14ac:dyDescent="0.2">
      <c r="C1886" t="s">
        <v>5566</v>
      </c>
      <c r="D1886" s="13">
        <v>10</v>
      </c>
    </row>
    <row r="1887" spans="3:4" x14ac:dyDescent="0.2">
      <c r="C1887" t="s">
        <v>6487</v>
      </c>
      <c r="D1887" s="13">
        <v>10</v>
      </c>
    </row>
    <row r="1888" spans="3:4" x14ac:dyDescent="0.2">
      <c r="C1888" t="s">
        <v>6842</v>
      </c>
      <c r="D1888" s="13">
        <v>10</v>
      </c>
    </row>
    <row r="1889" spans="3:4" x14ac:dyDescent="0.2">
      <c r="C1889" t="s">
        <v>7035</v>
      </c>
      <c r="D1889" s="13">
        <v>10</v>
      </c>
    </row>
    <row r="1890" spans="3:4" x14ac:dyDescent="0.2">
      <c r="C1890" t="s">
        <v>7196</v>
      </c>
      <c r="D1890" s="13">
        <v>10</v>
      </c>
    </row>
    <row r="1891" spans="3:4" x14ac:dyDescent="0.2">
      <c r="C1891" t="s">
        <v>7255</v>
      </c>
      <c r="D1891" s="13">
        <v>10</v>
      </c>
    </row>
    <row r="1892" spans="3:4" x14ac:dyDescent="0.2">
      <c r="C1892" t="s">
        <v>7419</v>
      </c>
      <c r="D1892" s="13">
        <v>10</v>
      </c>
    </row>
    <row r="1893" spans="3:4" x14ac:dyDescent="0.2">
      <c r="C1893" t="s">
        <v>7580</v>
      </c>
      <c r="D1893" s="13">
        <v>10</v>
      </c>
    </row>
    <row r="1894" spans="3:4" x14ac:dyDescent="0.2">
      <c r="C1894" t="s">
        <v>7599</v>
      </c>
      <c r="D1894" s="13">
        <v>10</v>
      </c>
    </row>
    <row r="1895" spans="3:4" x14ac:dyDescent="0.2">
      <c r="C1895" t="s">
        <v>7805</v>
      </c>
      <c r="D1895" s="13">
        <v>10</v>
      </c>
    </row>
    <row r="1896" spans="3:4" x14ac:dyDescent="0.2">
      <c r="C1896" t="s">
        <v>7815</v>
      </c>
      <c r="D1896" s="13">
        <v>10</v>
      </c>
    </row>
    <row r="1897" spans="3:4" x14ac:dyDescent="0.2">
      <c r="C1897" t="s">
        <v>7829</v>
      </c>
      <c r="D1897" s="13">
        <v>10</v>
      </c>
    </row>
    <row r="1898" spans="3:4" x14ac:dyDescent="0.2">
      <c r="C1898" t="s">
        <v>8265</v>
      </c>
      <c r="D1898" s="13">
        <v>10</v>
      </c>
    </row>
    <row r="1899" spans="3:4" x14ac:dyDescent="0.2">
      <c r="C1899" t="s">
        <v>8679</v>
      </c>
      <c r="D1899" s="13">
        <v>10</v>
      </c>
    </row>
    <row r="1900" spans="3:4" x14ac:dyDescent="0.2">
      <c r="C1900" t="s">
        <v>1009</v>
      </c>
      <c r="D1900" s="13">
        <v>10</v>
      </c>
    </row>
    <row r="1901" spans="3:4" x14ac:dyDescent="0.2">
      <c r="C1901" t="s">
        <v>1146</v>
      </c>
      <c r="D1901" s="13">
        <v>10</v>
      </c>
    </row>
    <row r="1902" spans="3:4" x14ac:dyDescent="0.2">
      <c r="C1902" t="s">
        <v>1475</v>
      </c>
      <c r="D1902" s="13">
        <v>10</v>
      </c>
    </row>
    <row r="1903" spans="3:4" x14ac:dyDescent="0.2">
      <c r="C1903" t="s">
        <v>1639</v>
      </c>
      <c r="D1903" s="13">
        <v>10</v>
      </c>
    </row>
    <row r="1904" spans="3:4" x14ac:dyDescent="0.2">
      <c r="C1904" t="s">
        <v>1892</v>
      </c>
      <c r="D1904" s="13">
        <v>10</v>
      </c>
    </row>
    <row r="1905" spans="3:4" x14ac:dyDescent="0.2">
      <c r="C1905" t="s">
        <v>2218</v>
      </c>
      <c r="D1905" s="13">
        <v>10</v>
      </c>
    </row>
    <row r="1906" spans="3:4" x14ac:dyDescent="0.2">
      <c r="C1906" t="s">
        <v>2386</v>
      </c>
      <c r="D1906" s="13">
        <v>10</v>
      </c>
    </row>
    <row r="1907" spans="3:4" x14ac:dyDescent="0.2">
      <c r="C1907" t="s">
        <v>2887</v>
      </c>
      <c r="D1907" s="13">
        <v>10</v>
      </c>
    </row>
    <row r="1908" spans="3:4" x14ac:dyDescent="0.2">
      <c r="C1908" t="s">
        <v>3266</v>
      </c>
      <c r="D1908" s="13">
        <v>10</v>
      </c>
    </row>
    <row r="1909" spans="3:4" x14ac:dyDescent="0.2">
      <c r="C1909" t="s">
        <v>3344</v>
      </c>
      <c r="D1909" s="13">
        <v>10</v>
      </c>
    </row>
    <row r="1910" spans="3:4" x14ac:dyDescent="0.2">
      <c r="C1910" t="s">
        <v>4062</v>
      </c>
      <c r="D1910" s="13">
        <v>10</v>
      </c>
    </row>
    <row r="1911" spans="3:4" x14ac:dyDescent="0.2">
      <c r="C1911" t="s">
        <v>4475</v>
      </c>
      <c r="D1911" s="13">
        <v>10</v>
      </c>
    </row>
    <row r="1912" spans="3:4" x14ac:dyDescent="0.2">
      <c r="C1912" t="s">
        <v>4499</v>
      </c>
      <c r="D1912" s="13">
        <v>10</v>
      </c>
    </row>
    <row r="1913" spans="3:4" x14ac:dyDescent="0.2">
      <c r="C1913" t="s">
        <v>4741</v>
      </c>
      <c r="D1913" s="13">
        <v>10</v>
      </c>
    </row>
    <row r="1914" spans="3:4" x14ac:dyDescent="0.2">
      <c r="C1914" t="s">
        <v>4764</v>
      </c>
      <c r="D1914" s="13">
        <v>10</v>
      </c>
    </row>
    <row r="1915" spans="3:4" x14ac:dyDescent="0.2">
      <c r="C1915" t="s">
        <v>4906</v>
      </c>
      <c r="D1915" s="13">
        <v>10</v>
      </c>
    </row>
    <row r="1916" spans="3:4" x14ac:dyDescent="0.2">
      <c r="C1916" t="s">
        <v>5106</v>
      </c>
      <c r="D1916" s="13">
        <v>10</v>
      </c>
    </row>
    <row r="1917" spans="3:4" x14ac:dyDescent="0.2">
      <c r="C1917" t="s">
        <v>5399</v>
      </c>
      <c r="D1917" s="13">
        <v>10</v>
      </c>
    </row>
    <row r="1918" spans="3:4" x14ac:dyDescent="0.2">
      <c r="C1918" t="s">
        <v>5689</v>
      </c>
      <c r="D1918" s="13">
        <v>10</v>
      </c>
    </row>
    <row r="1919" spans="3:4" x14ac:dyDescent="0.2">
      <c r="C1919" t="s">
        <v>5903</v>
      </c>
      <c r="D1919" s="13">
        <v>10</v>
      </c>
    </row>
    <row r="1920" spans="3:4" x14ac:dyDescent="0.2">
      <c r="C1920" t="s">
        <v>6477</v>
      </c>
      <c r="D1920" s="13">
        <v>10</v>
      </c>
    </row>
    <row r="1921" spans="3:4" x14ac:dyDescent="0.2">
      <c r="C1921" t="s">
        <v>6559</v>
      </c>
      <c r="D1921" s="13">
        <v>10</v>
      </c>
    </row>
    <row r="1922" spans="3:4" x14ac:dyDescent="0.2">
      <c r="C1922" t="s">
        <v>6635</v>
      </c>
      <c r="D1922" s="13">
        <v>10</v>
      </c>
    </row>
    <row r="1923" spans="3:4" x14ac:dyDescent="0.2">
      <c r="C1923" t="s">
        <v>6872</v>
      </c>
      <c r="D1923" s="13">
        <v>10</v>
      </c>
    </row>
    <row r="1924" spans="3:4" x14ac:dyDescent="0.2">
      <c r="C1924" t="s">
        <v>7093</v>
      </c>
      <c r="D1924" s="13">
        <v>10</v>
      </c>
    </row>
    <row r="1925" spans="3:4" x14ac:dyDescent="0.2">
      <c r="C1925" t="s">
        <v>7425</v>
      </c>
      <c r="D1925" s="13">
        <v>10</v>
      </c>
    </row>
    <row r="1926" spans="3:4" x14ac:dyDescent="0.2">
      <c r="C1926" t="s">
        <v>8314</v>
      </c>
      <c r="D1926" s="13">
        <v>10</v>
      </c>
    </row>
    <row r="1927" spans="3:4" x14ac:dyDescent="0.2">
      <c r="C1927" t="s">
        <v>326</v>
      </c>
      <c r="D1927" s="13">
        <v>10</v>
      </c>
    </row>
    <row r="1928" spans="3:4" x14ac:dyDescent="0.2">
      <c r="C1928" t="s">
        <v>3043</v>
      </c>
      <c r="D1928" s="13">
        <v>10</v>
      </c>
    </row>
    <row r="1929" spans="3:4" x14ac:dyDescent="0.2">
      <c r="C1929" t="s">
        <v>1150</v>
      </c>
      <c r="D1929" s="13">
        <v>10</v>
      </c>
    </row>
    <row r="1930" spans="3:4" x14ac:dyDescent="0.2">
      <c r="C1930" t="s">
        <v>2704</v>
      </c>
      <c r="D1930" s="13">
        <v>10</v>
      </c>
    </row>
    <row r="1931" spans="3:4" x14ac:dyDescent="0.2">
      <c r="C1931" t="s">
        <v>3361</v>
      </c>
      <c r="D1931" s="13">
        <v>10</v>
      </c>
    </row>
    <row r="1932" spans="3:4" x14ac:dyDescent="0.2">
      <c r="C1932" t="s">
        <v>3443</v>
      </c>
      <c r="D1932" s="13">
        <v>10</v>
      </c>
    </row>
    <row r="1933" spans="3:4" x14ac:dyDescent="0.2">
      <c r="C1933" t="s">
        <v>4431</v>
      </c>
      <c r="D1933" s="13">
        <v>10</v>
      </c>
    </row>
    <row r="1934" spans="3:4" x14ac:dyDescent="0.2">
      <c r="C1934" t="s">
        <v>7706</v>
      </c>
      <c r="D1934" s="13">
        <v>10</v>
      </c>
    </row>
    <row r="1935" spans="3:4" x14ac:dyDescent="0.2">
      <c r="C1935" t="s">
        <v>8415</v>
      </c>
      <c r="D1935" s="13">
        <v>10</v>
      </c>
    </row>
    <row r="1936" spans="3:4" x14ac:dyDescent="0.2">
      <c r="C1936" t="s">
        <v>166</v>
      </c>
      <c r="D1936" s="13">
        <v>10</v>
      </c>
    </row>
    <row r="1937" spans="3:4" x14ac:dyDescent="0.2">
      <c r="C1937" t="s">
        <v>1301</v>
      </c>
      <c r="D1937" s="13">
        <v>10</v>
      </c>
    </row>
    <row r="1938" spans="3:4" x14ac:dyDescent="0.2">
      <c r="C1938" t="s">
        <v>1408</v>
      </c>
      <c r="D1938" s="13">
        <v>10</v>
      </c>
    </row>
    <row r="1939" spans="3:4" x14ac:dyDescent="0.2">
      <c r="C1939" t="s">
        <v>1607</v>
      </c>
      <c r="D1939" s="13">
        <v>10</v>
      </c>
    </row>
    <row r="1940" spans="3:4" x14ac:dyDescent="0.2">
      <c r="C1940" t="s">
        <v>1679</v>
      </c>
      <c r="D1940" s="13">
        <v>10</v>
      </c>
    </row>
    <row r="1941" spans="3:4" x14ac:dyDescent="0.2">
      <c r="C1941" t="s">
        <v>2286</v>
      </c>
      <c r="D1941" s="13">
        <v>10</v>
      </c>
    </row>
    <row r="1942" spans="3:4" x14ac:dyDescent="0.2">
      <c r="C1942" t="s">
        <v>2376</v>
      </c>
      <c r="D1942" s="13">
        <v>10</v>
      </c>
    </row>
    <row r="1943" spans="3:4" x14ac:dyDescent="0.2">
      <c r="C1943" t="s">
        <v>2839</v>
      </c>
      <c r="D1943" s="13">
        <v>10</v>
      </c>
    </row>
    <row r="1944" spans="3:4" x14ac:dyDescent="0.2">
      <c r="C1944" t="s">
        <v>2944</v>
      </c>
      <c r="D1944" s="13">
        <v>10</v>
      </c>
    </row>
    <row r="1945" spans="3:4" x14ac:dyDescent="0.2">
      <c r="C1945" t="s">
        <v>3194</v>
      </c>
      <c r="D1945" s="13">
        <v>10</v>
      </c>
    </row>
    <row r="1946" spans="3:4" x14ac:dyDescent="0.2">
      <c r="C1946" t="s">
        <v>3410</v>
      </c>
      <c r="D1946" s="13">
        <v>10</v>
      </c>
    </row>
    <row r="1947" spans="3:4" x14ac:dyDescent="0.2">
      <c r="C1947" t="s">
        <v>5009</v>
      </c>
      <c r="D1947" s="13">
        <v>10</v>
      </c>
    </row>
    <row r="1948" spans="3:4" x14ac:dyDescent="0.2">
      <c r="C1948" t="s">
        <v>5072</v>
      </c>
      <c r="D1948" s="13">
        <v>10</v>
      </c>
    </row>
    <row r="1949" spans="3:4" x14ac:dyDescent="0.2">
      <c r="C1949" t="s">
        <v>1229</v>
      </c>
      <c r="D1949" s="13">
        <v>10</v>
      </c>
    </row>
    <row r="1950" spans="3:4" x14ac:dyDescent="0.2">
      <c r="C1950" t="s">
        <v>2645</v>
      </c>
      <c r="D1950" s="13">
        <v>10</v>
      </c>
    </row>
    <row r="1951" spans="3:4" x14ac:dyDescent="0.2">
      <c r="C1951" t="s">
        <v>2885</v>
      </c>
      <c r="D1951" s="13">
        <v>10</v>
      </c>
    </row>
    <row r="1952" spans="3:4" x14ac:dyDescent="0.2">
      <c r="C1952" t="s">
        <v>2889</v>
      </c>
      <c r="D1952" s="13">
        <v>10</v>
      </c>
    </row>
    <row r="1953" spans="3:4" x14ac:dyDescent="0.2">
      <c r="C1953" t="s">
        <v>3279</v>
      </c>
      <c r="D1953" s="13">
        <v>10</v>
      </c>
    </row>
    <row r="1954" spans="3:4" x14ac:dyDescent="0.2">
      <c r="C1954" t="s">
        <v>3293</v>
      </c>
      <c r="D1954" s="13">
        <v>10</v>
      </c>
    </row>
    <row r="1955" spans="3:4" x14ac:dyDescent="0.2">
      <c r="C1955" t="s">
        <v>3925</v>
      </c>
      <c r="D1955" s="13">
        <v>10</v>
      </c>
    </row>
    <row r="1956" spans="3:4" x14ac:dyDescent="0.2">
      <c r="C1956" t="s">
        <v>4432</v>
      </c>
      <c r="D1956" s="13">
        <v>10</v>
      </c>
    </row>
    <row r="1957" spans="3:4" x14ac:dyDescent="0.2">
      <c r="C1957" t="s">
        <v>4481</v>
      </c>
      <c r="D1957" s="13">
        <v>10</v>
      </c>
    </row>
    <row r="1958" spans="3:4" x14ac:dyDescent="0.2">
      <c r="C1958" t="s">
        <v>4628</v>
      </c>
      <c r="D1958" s="13">
        <v>10</v>
      </c>
    </row>
    <row r="1959" spans="3:4" x14ac:dyDescent="0.2">
      <c r="C1959" t="s">
        <v>5677</v>
      </c>
      <c r="D1959" s="13">
        <v>10</v>
      </c>
    </row>
    <row r="1960" spans="3:4" x14ac:dyDescent="0.2">
      <c r="C1960" t="s">
        <v>6296</v>
      </c>
      <c r="D1960" s="13">
        <v>10</v>
      </c>
    </row>
    <row r="1961" spans="3:4" x14ac:dyDescent="0.2">
      <c r="C1961" t="s">
        <v>7345</v>
      </c>
      <c r="D1961" s="13">
        <v>10</v>
      </c>
    </row>
    <row r="1962" spans="3:4" x14ac:dyDescent="0.2">
      <c r="C1962" t="s">
        <v>7937</v>
      </c>
      <c r="D1962" s="13">
        <v>10</v>
      </c>
    </row>
    <row r="1963" spans="3:4" x14ac:dyDescent="0.2">
      <c r="C1963" t="s">
        <v>244</v>
      </c>
      <c r="D1963" s="13">
        <v>10</v>
      </c>
    </row>
    <row r="1964" spans="3:4" x14ac:dyDescent="0.2">
      <c r="C1964" t="s">
        <v>1124</v>
      </c>
      <c r="D1964" s="13">
        <v>10</v>
      </c>
    </row>
    <row r="1965" spans="3:4" x14ac:dyDescent="0.2">
      <c r="C1965" t="s">
        <v>1187</v>
      </c>
      <c r="D1965" s="13">
        <v>10</v>
      </c>
    </row>
    <row r="1966" spans="3:4" x14ac:dyDescent="0.2">
      <c r="C1966" t="s">
        <v>1655</v>
      </c>
      <c r="D1966" s="13">
        <v>10</v>
      </c>
    </row>
    <row r="1967" spans="3:4" x14ac:dyDescent="0.2">
      <c r="C1967" t="s">
        <v>1711</v>
      </c>
      <c r="D1967" s="13">
        <v>10</v>
      </c>
    </row>
    <row r="1968" spans="3:4" x14ac:dyDescent="0.2">
      <c r="C1968" t="s">
        <v>1831</v>
      </c>
      <c r="D1968" s="13">
        <v>10</v>
      </c>
    </row>
    <row r="1969" spans="3:4" x14ac:dyDescent="0.2">
      <c r="C1969" t="s">
        <v>2407</v>
      </c>
      <c r="D1969" s="13">
        <v>10</v>
      </c>
    </row>
    <row r="1970" spans="3:4" x14ac:dyDescent="0.2">
      <c r="C1970" t="s">
        <v>2639</v>
      </c>
      <c r="D1970" s="13">
        <v>10</v>
      </c>
    </row>
    <row r="1971" spans="3:4" x14ac:dyDescent="0.2">
      <c r="C1971" t="s">
        <v>2706</v>
      </c>
      <c r="D1971" s="13">
        <v>10</v>
      </c>
    </row>
    <row r="1972" spans="3:4" x14ac:dyDescent="0.2">
      <c r="C1972" t="s">
        <v>2926</v>
      </c>
      <c r="D1972" s="13">
        <v>10</v>
      </c>
    </row>
    <row r="1973" spans="3:4" x14ac:dyDescent="0.2">
      <c r="C1973" t="s">
        <v>3541</v>
      </c>
      <c r="D1973" s="13">
        <v>10</v>
      </c>
    </row>
    <row r="1974" spans="3:4" x14ac:dyDescent="0.2">
      <c r="C1974" t="s">
        <v>5159</v>
      </c>
      <c r="D1974" s="13">
        <v>10</v>
      </c>
    </row>
    <row r="1975" spans="3:4" x14ac:dyDescent="0.2">
      <c r="C1975" t="s">
        <v>5557</v>
      </c>
      <c r="D1975" s="13">
        <v>10</v>
      </c>
    </row>
    <row r="1976" spans="3:4" x14ac:dyDescent="0.2">
      <c r="C1976" t="s">
        <v>5707</v>
      </c>
      <c r="D1976" s="13">
        <v>10</v>
      </c>
    </row>
    <row r="1977" spans="3:4" x14ac:dyDescent="0.2">
      <c r="C1977" t="s">
        <v>6485</v>
      </c>
      <c r="D1977" s="13">
        <v>10</v>
      </c>
    </row>
    <row r="1978" spans="3:4" x14ac:dyDescent="0.2">
      <c r="C1978" t="s">
        <v>6890</v>
      </c>
      <c r="D1978" s="13">
        <v>10</v>
      </c>
    </row>
    <row r="1979" spans="3:4" x14ac:dyDescent="0.2">
      <c r="C1979" t="s">
        <v>7441</v>
      </c>
      <c r="D1979" s="13">
        <v>10</v>
      </c>
    </row>
    <row r="1980" spans="3:4" x14ac:dyDescent="0.2">
      <c r="C1980" t="s">
        <v>7757</v>
      </c>
      <c r="D1980" s="13">
        <v>10</v>
      </c>
    </row>
    <row r="1981" spans="3:4" x14ac:dyDescent="0.2">
      <c r="C1981" t="s">
        <v>8336</v>
      </c>
      <c r="D1981" s="13">
        <v>10</v>
      </c>
    </row>
    <row r="1982" spans="3:4" x14ac:dyDescent="0.2">
      <c r="C1982" t="s">
        <v>399</v>
      </c>
      <c r="D1982" s="13">
        <v>10</v>
      </c>
    </row>
    <row r="1983" spans="3:4" x14ac:dyDescent="0.2">
      <c r="C1983" t="s">
        <v>517</v>
      </c>
      <c r="D1983" s="13">
        <v>10</v>
      </c>
    </row>
    <row r="1984" spans="3:4" x14ac:dyDescent="0.2">
      <c r="C1984" t="s">
        <v>2333</v>
      </c>
      <c r="D1984" s="13">
        <v>10</v>
      </c>
    </row>
    <row r="1985" spans="3:4" x14ac:dyDescent="0.2">
      <c r="C1985" t="s">
        <v>2567</v>
      </c>
      <c r="D1985" s="13">
        <v>10</v>
      </c>
    </row>
    <row r="1986" spans="3:4" x14ac:dyDescent="0.2">
      <c r="C1986" t="s">
        <v>3680</v>
      </c>
      <c r="D1986" s="13">
        <v>10</v>
      </c>
    </row>
    <row r="1987" spans="3:4" x14ac:dyDescent="0.2">
      <c r="C1987" t="s">
        <v>4052</v>
      </c>
      <c r="D1987" s="13">
        <v>10</v>
      </c>
    </row>
    <row r="1988" spans="3:4" x14ac:dyDescent="0.2">
      <c r="C1988" t="s">
        <v>4289</v>
      </c>
      <c r="D1988" s="13">
        <v>10</v>
      </c>
    </row>
    <row r="1989" spans="3:4" x14ac:dyDescent="0.2">
      <c r="C1989" t="s">
        <v>4312</v>
      </c>
      <c r="D1989" s="13">
        <v>10</v>
      </c>
    </row>
    <row r="1990" spans="3:4" x14ac:dyDescent="0.2">
      <c r="C1990" t="s">
        <v>4953</v>
      </c>
      <c r="D1990" s="13">
        <v>10</v>
      </c>
    </row>
    <row r="1991" spans="3:4" x14ac:dyDescent="0.2">
      <c r="C1991" t="s">
        <v>5426</v>
      </c>
      <c r="D1991" s="13">
        <v>10</v>
      </c>
    </row>
    <row r="1992" spans="3:4" x14ac:dyDescent="0.2">
      <c r="C1992" t="s">
        <v>5863</v>
      </c>
      <c r="D1992" s="13">
        <v>10</v>
      </c>
    </row>
    <row r="1993" spans="3:4" x14ac:dyDescent="0.2">
      <c r="C1993" t="s">
        <v>6766</v>
      </c>
      <c r="D1993" s="13">
        <v>10</v>
      </c>
    </row>
    <row r="1994" spans="3:4" x14ac:dyDescent="0.2">
      <c r="C1994" t="s">
        <v>7678</v>
      </c>
      <c r="D1994" s="13">
        <v>10</v>
      </c>
    </row>
    <row r="1995" spans="3:4" x14ac:dyDescent="0.2">
      <c r="C1995" t="s">
        <v>7863</v>
      </c>
      <c r="D1995" s="13">
        <v>10</v>
      </c>
    </row>
    <row r="1996" spans="3:4" x14ac:dyDescent="0.2">
      <c r="C1996" t="s">
        <v>8087</v>
      </c>
      <c r="D1996" s="13">
        <v>10</v>
      </c>
    </row>
    <row r="1997" spans="3:4" x14ac:dyDescent="0.2">
      <c r="C1997" t="s">
        <v>207</v>
      </c>
      <c r="D1997" s="13">
        <v>10</v>
      </c>
    </row>
    <row r="1998" spans="3:4" x14ac:dyDescent="0.2">
      <c r="C1998" t="s">
        <v>213</v>
      </c>
      <c r="D1998" s="13">
        <v>10</v>
      </c>
    </row>
    <row r="1999" spans="3:4" x14ac:dyDescent="0.2">
      <c r="C1999" t="s">
        <v>266</v>
      </c>
      <c r="D1999" s="13">
        <v>10</v>
      </c>
    </row>
    <row r="2000" spans="3:4" x14ac:dyDescent="0.2">
      <c r="C2000" t="s">
        <v>322</v>
      </c>
      <c r="D2000" s="13">
        <v>10</v>
      </c>
    </row>
    <row r="2001" spans="3:4" x14ac:dyDescent="0.2">
      <c r="C2001" t="s">
        <v>324</v>
      </c>
      <c r="D2001" s="13">
        <v>10</v>
      </c>
    </row>
    <row r="2002" spans="3:4" x14ac:dyDescent="0.2">
      <c r="C2002" t="s">
        <v>373</v>
      </c>
      <c r="D2002" s="13">
        <v>10</v>
      </c>
    </row>
    <row r="2003" spans="3:4" x14ac:dyDescent="0.2">
      <c r="C2003" t="s">
        <v>381</v>
      </c>
      <c r="D2003" s="13">
        <v>10</v>
      </c>
    </row>
    <row r="2004" spans="3:4" x14ac:dyDescent="0.2">
      <c r="C2004" t="s">
        <v>385</v>
      </c>
      <c r="D2004" s="13">
        <v>10</v>
      </c>
    </row>
    <row r="2005" spans="3:4" x14ac:dyDescent="0.2">
      <c r="C2005" t="s">
        <v>465</v>
      </c>
      <c r="D2005" s="13">
        <v>10</v>
      </c>
    </row>
    <row r="2006" spans="3:4" x14ac:dyDescent="0.2">
      <c r="C2006" t="s">
        <v>497</v>
      </c>
      <c r="D2006" s="13">
        <v>10</v>
      </c>
    </row>
    <row r="2007" spans="3:4" x14ac:dyDescent="0.2">
      <c r="C2007" t="s">
        <v>511</v>
      </c>
      <c r="D2007" s="13">
        <v>10</v>
      </c>
    </row>
    <row r="2008" spans="3:4" x14ac:dyDescent="0.2">
      <c r="C2008" t="s">
        <v>633</v>
      </c>
      <c r="D2008" s="13">
        <v>10</v>
      </c>
    </row>
    <row r="2009" spans="3:4" x14ac:dyDescent="0.2">
      <c r="C2009" t="s">
        <v>692</v>
      </c>
      <c r="D2009" s="13">
        <v>10</v>
      </c>
    </row>
    <row r="2010" spans="3:4" x14ac:dyDescent="0.2">
      <c r="C2010" t="s">
        <v>764</v>
      </c>
      <c r="D2010" s="13">
        <v>10</v>
      </c>
    </row>
    <row r="2011" spans="3:4" x14ac:dyDescent="0.2">
      <c r="C2011" t="s">
        <v>768</v>
      </c>
      <c r="D2011" s="13">
        <v>10</v>
      </c>
    </row>
    <row r="2012" spans="3:4" x14ac:dyDescent="0.2">
      <c r="C2012" t="s">
        <v>819</v>
      </c>
      <c r="D2012" s="13">
        <v>10</v>
      </c>
    </row>
    <row r="2013" spans="3:4" x14ac:dyDescent="0.2">
      <c r="C2013" t="s">
        <v>827</v>
      </c>
      <c r="D2013" s="13">
        <v>10</v>
      </c>
    </row>
    <row r="2014" spans="3:4" x14ac:dyDescent="0.2">
      <c r="C2014" t="s">
        <v>847</v>
      </c>
      <c r="D2014" s="13">
        <v>10</v>
      </c>
    </row>
    <row r="2015" spans="3:4" x14ac:dyDescent="0.2">
      <c r="C2015" t="s">
        <v>850</v>
      </c>
      <c r="D2015" s="13">
        <v>10</v>
      </c>
    </row>
    <row r="2016" spans="3:4" x14ac:dyDescent="0.2">
      <c r="C2016" t="s">
        <v>892</v>
      </c>
      <c r="D2016" s="13">
        <v>10</v>
      </c>
    </row>
    <row r="2017" spans="3:4" x14ac:dyDescent="0.2">
      <c r="C2017" t="s">
        <v>908</v>
      </c>
      <c r="D2017" s="13">
        <v>10</v>
      </c>
    </row>
    <row r="2018" spans="3:4" x14ac:dyDescent="0.2">
      <c r="C2018" t="s">
        <v>910</v>
      </c>
      <c r="D2018" s="13">
        <v>10</v>
      </c>
    </row>
    <row r="2019" spans="3:4" x14ac:dyDescent="0.2">
      <c r="C2019" t="s">
        <v>959</v>
      </c>
      <c r="D2019" s="13">
        <v>10</v>
      </c>
    </row>
    <row r="2020" spans="3:4" x14ac:dyDescent="0.2">
      <c r="C2020" t="s">
        <v>1011</v>
      </c>
      <c r="D2020" s="13">
        <v>10</v>
      </c>
    </row>
    <row r="2021" spans="3:4" x14ac:dyDescent="0.2">
      <c r="C2021" t="s">
        <v>1061</v>
      </c>
      <c r="D2021" s="13">
        <v>10</v>
      </c>
    </row>
    <row r="2022" spans="3:4" x14ac:dyDescent="0.2">
      <c r="C2022" t="s">
        <v>1092</v>
      </c>
      <c r="D2022" s="13">
        <v>10</v>
      </c>
    </row>
    <row r="2023" spans="3:4" x14ac:dyDescent="0.2">
      <c r="C2023" t="s">
        <v>1102</v>
      </c>
      <c r="D2023" s="13">
        <v>10</v>
      </c>
    </row>
    <row r="2024" spans="3:4" x14ac:dyDescent="0.2">
      <c r="C2024" t="s">
        <v>1118</v>
      </c>
      <c r="D2024" s="13">
        <v>10</v>
      </c>
    </row>
    <row r="2025" spans="3:4" x14ac:dyDescent="0.2">
      <c r="C2025" t="s">
        <v>1126</v>
      </c>
      <c r="D2025" s="13">
        <v>10</v>
      </c>
    </row>
    <row r="2026" spans="3:4" x14ac:dyDescent="0.2">
      <c r="C2026" t="s">
        <v>1203</v>
      </c>
      <c r="D2026" s="13">
        <v>10</v>
      </c>
    </row>
    <row r="2027" spans="3:4" x14ac:dyDescent="0.2">
      <c r="C2027" t="s">
        <v>1278</v>
      </c>
      <c r="D2027" s="13">
        <v>10</v>
      </c>
    </row>
    <row r="2028" spans="3:4" x14ac:dyDescent="0.2">
      <c r="C2028" t="s">
        <v>1282</v>
      </c>
      <c r="D2028" s="13">
        <v>10</v>
      </c>
    </row>
    <row r="2029" spans="3:4" x14ac:dyDescent="0.2">
      <c r="C2029" t="s">
        <v>1333</v>
      </c>
      <c r="D2029" s="13">
        <v>10</v>
      </c>
    </row>
    <row r="2030" spans="3:4" x14ac:dyDescent="0.2">
      <c r="C2030" t="s">
        <v>1337</v>
      </c>
      <c r="D2030" s="13">
        <v>10</v>
      </c>
    </row>
    <row r="2031" spans="3:4" x14ac:dyDescent="0.2">
      <c r="C2031" t="s">
        <v>1429</v>
      </c>
      <c r="D2031" s="13">
        <v>10</v>
      </c>
    </row>
    <row r="2032" spans="3:4" x14ac:dyDescent="0.2">
      <c r="C2032" t="s">
        <v>1440</v>
      </c>
      <c r="D2032" s="13">
        <v>10</v>
      </c>
    </row>
    <row r="2033" spans="3:4" x14ac:dyDescent="0.2">
      <c r="C2033" t="s">
        <v>1450</v>
      </c>
      <c r="D2033" s="13">
        <v>10</v>
      </c>
    </row>
    <row r="2034" spans="3:4" x14ac:dyDescent="0.2">
      <c r="C2034" t="s">
        <v>1465</v>
      </c>
      <c r="D2034" s="13">
        <v>10</v>
      </c>
    </row>
    <row r="2035" spans="3:4" x14ac:dyDescent="0.2">
      <c r="C2035" t="s">
        <v>1473</v>
      </c>
      <c r="D2035" s="13">
        <v>10</v>
      </c>
    </row>
    <row r="2036" spans="3:4" x14ac:dyDescent="0.2">
      <c r="C2036" t="s">
        <v>1494</v>
      </c>
      <c r="D2036" s="13">
        <v>10</v>
      </c>
    </row>
    <row r="2037" spans="3:4" x14ac:dyDescent="0.2">
      <c r="C2037" t="s">
        <v>1547</v>
      </c>
      <c r="D2037" s="13">
        <v>10</v>
      </c>
    </row>
    <row r="2038" spans="3:4" x14ac:dyDescent="0.2">
      <c r="C2038" t="s">
        <v>1579</v>
      </c>
      <c r="D2038" s="13">
        <v>10</v>
      </c>
    </row>
    <row r="2039" spans="3:4" x14ac:dyDescent="0.2">
      <c r="C2039" t="s">
        <v>1583</v>
      </c>
      <c r="D2039" s="13">
        <v>10</v>
      </c>
    </row>
    <row r="2040" spans="3:4" x14ac:dyDescent="0.2">
      <c r="C2040" t="s">
        <v>1603</v>
      </c>
      <c r="D2040" s="13">
        <v>10</v>
      </c>
    </row>
    <row r="2041" spans="3:4" x14ac:dyDescent="0.2">
      <c r="C2041" t="s">
        <v>1683</v>
      </c>
      <c r="D2041" s="13">
        <v>10</v>
      </c>
    </row>
    <row r="2042" spans="3:4" x14ac:dyDescent="0.2">
      <c r="C2042" t="s">
        <v>1815</v>
      </c>
      <c r="D2042" s="13">
        <v>10</v>
      </c>
    </row>
    <row r="2043" spans="3:4" x14ac:dyDescent="0.2">
      <c r="C2043" t="s">
        <v>1906</v>
      </c>
      <c r="D2043" s="13">
        <v>10</v>
      </c>
    </row>
    <row r="2044" spans="3:4" x14ac:dyDescent="0.2">
      <c r="C2044" t="s">
        <v>1957</v>
      </c>
      <c r="D2044" s="13">
        <v>10</v>
      </c>
    </row>
    <row r="2045" spans="3:4" x14ac:dyDescent="0.2">
      <c r="C2045" t="s">
        <v>1959</v>
      </c>
      <c r="D2045" s="13">
        <v>10</v>
      </c>
    </row>
    <row r="2046" spans="3:4" x14ac:dyDescent="0.2">
      <c r="C2046" t="s">
        <v>2112</v>
      </c>
      <c r="D2046" s="13">
        <v>10</v>
      </c>
    </row>
    <row r="2047" spans="3:4" x14ac:dyDescent="0.2">
      <c r="C2047" t="s">
        <v>2136</v>
      </c>
      <c r="D2047" s="13">
        <v>10</v>
      </c>
    </row>
    <row r="2048" spans="3:4" x14ac:dyDescent="0.2">
      <c r="C2048" t="s">
        <v>2142</v>
      </c>
      <c r="D2048" s="13">
        <v>10</v>
      </c>
    </row>
    <row r="2049" spans="3:4" x14ac:dyDescent="0.2">
      <c r="C2049" t="s">
        <v>2209</v>
      </c>
      <c r="D2049" s="13">
        <v>10</v>
      </c>
    </row>
    <row r="2050" spans="3:4" x14ac:dyDescent="0.2">
      <c r="C2050" t="s">
        <v>2220</v>
      </c>
      <c r="D2050" s="13">
        <v>10</v>
      </c>
    </row>
    <row r="2051" spans="3:4" x14ac:dyDescent="0.2">
      <c r="C2051" t="s">
        <v>2240</v>
      </c>
      <c r="D2051" s="13">
        <v>10</v>
      </c>
    </row>
    <row r="2052" spans="3:4" x14ac:dyDescent="0.2">
      <c r="C2052" t="s">
        <v>2242</v>
      </c>
      <c r="D2052" s="13">
        <v>10</v>
      </c>
    </row>
    <row r="2053" spans="3:4" x14ac:dyDescent="0.2">
      <c r="C2053" t="s">
        <v>2292</v>
      </c>
      <c r="D2053" s="13">
        <v>10</v>
      </c>
    </row>
    <row r="2054" spans="3:4" x14ac:dyDescent="0.2">
      <c r="C2054" t="s">
        <v>2298</v>
      </c>
      <c r="D2054" s="13">
        <v>10</v>
      </c>
    </row>
    <row r="2055" spans="3:4" x14ac:dyDescent="0.2">
      <c r="C2055" t="s">
        <v>2300</v>
      </c>
      <c r="D2055" s="13">
        <v>10</v>
      </c>
    </row>
    <row r="2056" spans="3:4" x14ac:dyDescent="0.2">
      <c r="C2056" t="s">
        <v>2337</v>
      </c>
      <c r="D2056" s="13">
        <v>10</v>
      </c>
    </row>
    <row r="2057" spans="3:4" x14ac:dyDescent="0.2">
      <c r="C2057" t="s">
        <v>2366</v>
      </c>
      <c r="D2057" s="13">
        <v>10</v>
      </c>
    </row>
    <row r="2058" spans="3:4" x14ac:dyDescent="0.2">
      <c r="C2058" t="s">
        <v>2370</v>
      </c>
      <c r="D2058" s="13">
        <v>10</v>
      </c>
    </row>
    <row r="2059" spans="3:4" x14ac:dyDescent="0.2">
      <c r="C2059" t="s">
        <v>2532</v>
      </c>
      <c r="D2059" s="13">
        <v>10</v>
      </c>
    </row>
    <row r="2060" spans="3:4" x14ac:dyDescent="0.2">
      <c r="C2060" t="s">
        <v>2607</v>
      </c>
      <c r="D2060" s="13">
        <v>10</v>
      </c>
    </row>
    <row r="2061" spans="3:4" x14ac:dyDescent="0.2">
      <c r="C2061" t="s">
        <v>2641</v>
      </c>
      <c r="D2061" s="13">
        <v>10</v>
      </c>
    </row>
    <row r="2062" spans="3:4" x14ac:dyDescent="0.2">
      <c r="C2062" t="s">
        <v>2687</v>
      </c>
      <c r="D2062" s="13">
        <v>10</v>
      </c>
    </row>
    <row r="2063" spans="3:4" x14ac:dyDescent="0.2">
      <c r="C2063" t="s">
        <v>2722</v>
      </c>
      <c r="D2063" s="13">
        <v>10</v>
      </c>
    </row>
    <row r="2064" spans="3:4" x14ac:dyDescent="0.2">
      <c r="C2064" t="s">
        <v>2785</v>
      </c>
      <c r="D2064" s="13">
        <v>10</v>
      </c>
    </row>
    <row r="2065" spans="3:4" x14ac:dyDescent="0.2">
      <c r="C2065" t="s">
        <v>2837</v>
      </c>
      <c r="D2065" s="13">
        <v>10</v>
      </c>
    </row>
    <row r="2066" spans="3:4" x14ac:dyDescent="0.2">
      <c r="C2066" t="s">
        <v>2854</v>
      </c>
      <c r="D2066" s="13">
        <v>10</v>
      </c>
    </row>
    <row r="2067" spans="3:4" x14ac:dyDescent="0.2">
      <c r="C2067" t="s">
        <v>2932</v>
      </c>
      <c r="D2067" s="13">
        <v>10</v>
      </c>
    </row>
    <row r="2068" spans="3:4" x14ac:dyDescent="0.2">
      <c r="C2068" t="s">
        <v>2974</v>
      </c>
      <c r="D2068" s="13">
        <v>10</v>
      </c>
    </row>
    <row r="2069" spans="3:4" x14ac:dyDescent="0.2">
      <c r="C2069" t="s">
        <v>3051</v>
      </c>
      <c r="D2069" s="13">
        <v>10</v>
      </c>
    </row>
    <row r="2070" spans="3:4" x14ac:dyDescent="0.2">
      <c r="C2070" t="s">
        <v>3097</v>
      </c>
      <c r="D2070" s="13">
        <v>10</v>
      </c>
    </row>
    <row r="2071" spans="3:4" x14ac:dyDescent="0.2">
      <c r="C2071" t="s">
        <v>3107</v>
      </c>
      <c r="D2071" s="13">
        <v>10</v>
      </c>
    </row>
    <row r="2072" spans="3:4" x14ac:dyDescent="0.2">
      <c r="C2072" t="s">
        <v>3111</v>
      </c>
      <c r="D2072" s="13">
        <v>10</v>
      </c>
    </row>
    <row r="2073" spans="3:4" x14ac:dyDescent="0.2">
      <c r="C2073" t="s">
        <v>3113</v>
      </c>
      <c r="D2073" s="13">
        <v>10</v>
      </c>
    </row>
    <row r="2074" spans="3:4" x14ac:dyDescent="0.2">
      <c r="C2074" t="s">
        <v>3152</v>
      </c>
      <c r="D2074" s="13">
        <v>10</v>
      </c>
    </row>
    <row r="2075" spans="3:4" x14ac:dyDescent="0.2">
      <c r="C2075" t="s">
        <v>3160</v>
      </c>
      <c r="D2075" s="13">
        <v>10</v>
      </c>
    </row>
    <row r="2076" spans="3:4" x14ac:dyDescent="0.2">
      <c r="C2076" t="s">
        <v>3162</v>
      </c>
      <c r="D2076" s="13">
        <v>10</v>
      </c>
    </row>
    <row r="2077" spans="3:4" x14ac:dyDescent="0.2">
      <c r="C2077" t="s">
        <v>3218</v>
      </c>
      <c r="D2077" s="13">
        <v>10</v>
      </c>
    </row>
    <row r="2078" spans="3:4" x14ac:dyDescent="0.2">
      <c r="C2078" t="s">
        <v>3256</v>
      </c>
      <c r="D2078" s="13">
        <v>10</v>
      </c>
    </row>
    <row r="2079" spans="3:4" x14ac:dyDescent="0.2">
      <c r="C2079" t="s">
        <v>3262</v>
      </c>
      <c r="D2079" s="13">
        <v>10</v>
      </c>
    </row>
    <row r="2080" spans="3:4" x14ac:dyDescent="0.2">
      <c r="C2080" t="s">
        <v>3273</v>
      </c>
      <c r="D2080" s="13">
        <v>10</v>
      </c>
    </row>
    <row r="2081" spans="3:4" x14ac:dyDescent="0.2">
      <c r="C2081" t="s">
        <v>3363</v>
      </c>
      <c r="D2081" s="13">
        <v>10</v>
      </c>
    </row>
    <row r="2082" spans="3:4" x14ac:dyDescent="0.2">
      <c r="C2082" t="s">
        <v>3375</v>
      </c>
      <c r="D2082" s="13">
        <v>10</v>
      </c>
    </row>
    <row r="2083" spans="3:4" x14ac:dyDescent="0.2">
      <c r="C2083" t="s">
        <v>3445</v>
      </c>
      <c r="D2083" s="13">
        <v>10</v>
      </c>
    </row>
    <row r="2084" spans="3:4" x14ac:dyDescent="0.2">
      <c r="C2084" t="s">
        <v>3461</v>
      </c>
      <c r="D2084" s="13">
        <v>10</v>
      </c>
    </row>
    <row r="2085" spans="3:4" x14ac:dyDescent="0.2">
      <c r="C2085" t="s">
        <v>3473</v>
      </c>
      <c r="D2085" s="13">
        <v>10</v>
      </c>
    </row>
    <row r="2086" spans="3:4" x14ac:dyDescent="0.2">
      <c r="C2086" t="s">
        <v>3499</v>
      </c>
      <c r="D2086" s="13">
        <v>10</v>
      </c>
    </row>
    <row r="2087" spans="3:4" x14ac:dyDescent="0.2">
      <c r="C2087" t="s">
        <v>3523</v>
      </c>
      <c r="D2087" s="13">
        <v>10</v>
      </c>
    </row>
    <row r="2088" spans="3:4" x14ac:dyDescent="0.2">
      <c r="C2088" t="s">
        <v>3535</v>
      </c>
      <c r="D2088" s="13">
        <v>10</v>
      </c>
    </row>
    <row r="2089" spans="3:4" x14ac:dyDescent="0.2">
      <c r="C2089" t="s">
        <v>3599</v>
      </c>
      <c r="D2089" s="13">
        <v>10</v>
      </c>
    </row>
    <row r="2090" spans="3:4" x14ac:dyDescent="0.2">
      <c r="C2090" t="s">
        <v>3610</v>
      </c>
      <c r="D2090" s="13">
        <v>10</v>
      </c>
    </row>
    <row r="2091" spans="3:4" x14ac:dyDescent="0.2">
      <c r="C2091" t="s">
        <v>3721</v>
      </c>
      <c r="D2091" s="13">
        <v>10</v>
      </c>
    </row>
    <row r="2092" spans="3:4" x14ac:dyDescent="0.2">
      <c r="C2092" t="s">
        <v>3767</v>
      </c>
      <c r="D2092" s="13">
        <v>10</v>
      </c>
    </row>
    <row r="2093" spans="3:4" x14ac:dyDescent="0.2">
      <c r="C2093" t="s">
        <v>3803</v>
      </c>
      <c r="D2093" s="13">
        <v>10</v>
      </c>
    </row>
    <row r="2094" spans="3:4" x14ac:dyDescent="0.2">
      <c r="C2094" t="s">
        <v>3834</v>
      </c>
      <c r="D2094" s="13">
        <v>10</v>
      </c>
    </row>
    <row r="2095" spans="3:4" x14ac:dyDescent="0.2">
      <c r="C2095" t="s">
        <v>3836</v>
      </c>
      <c r="D2095" s="13">
        <v>10</v>
      </c>
    </row>
    <row r="2096" spans="3:4" x14ac:dyDescent="0.2">
      <c r="C2096" t="s">
        <v>3877</v>
      </c>
      <c r="D2096" s="13">
        <v>10</v>
      </c>
    </row>
    <row r="2097" spans="3:4" x14ac:dyDescent="0.2">
      <c r="C2097" t="s">
        <v>3968</v>
      </c>
      <c r="D2097" s="13">
        <v>10</v>
      </c>
    </row>
    <row r="2098" spans="3:4" x14ac:dyDescent="0.2">
      <c r="C2098" t="s">
        <v>4011</v>
      </c>
      <c r="D2098" s="13">
        <v>10</v>
      </c>
    </row>
    <row r="2099" spans="3:4" x14ac:dyDescent="0.2">
      <c r="C2099" t="s">
        <v>4017</v>
      </c>
      <c r="D2099" s="13">
        <v>10</v>
      </c>
    </row>
    <row r="2100" spans="3:4" x14ac:dyDescent="0.2">
      <c r="C2100" t="s">
        <v>4064</v>
      </c>
      <c r="D2100" s="13">
        <v>10</v>
      </c>
    </row>
    <row r="2101" spans="3:4" x14ac:dyDescent="0.2">
      <c r="C2101" t="s">
        <v>4170</v>
      </c>
      <c r="D2101" s="13">
        <v>10</v>
      </c>
    </row>
    <row r="2102" spans="3:4" x14ac:dyDescent="0.2">
      <c r="C2102" t="s">
        <v>4182</v>
      </c>
      <c r="D2102" s="13">
        <v>10</v>
      </c>
    </row>
    <row r="2103" spans="3:4" x14ac:dyDescent="0.2">
      <c r="C2103" t="s">
        <v>4188</v>
      </c>
      <c r="D2103" s="13">
        <v>10</v>
      </c>
    </row>
    <row r="2104" spans="3:4" x14ac:dyDescent="0.2">
      <c r="C2104" t="s">
        <v>4259</v>
      </c>
      <c r="D2104" s="13">
        <v>10</v>
      </c>
    </row>
    <row r="2105" spans="3:4" x14ac:dyDescent="0.2">
      <c r="C2105" t="s">
        <v>4297</v>
      </c>
      <c r="D2105" s="13">
        <v>10</v>
      </c>
    </row>
    <row r="2106" spans="3:4" x14ac:dyDescent="0.2">
      <c r="C2106" t="s">
        <v>4299</v>
      </c>
      <c r="D2106" s="13">
        <v>10</v>
      </c>
    </row>
    <row r="2107" spans="3:4" x14ac:dyDescent="0.2">
      <c r="C2107" t="s">
        <v>4321</v>
      </c>
      <c r="D2107" s="13">
        <v>10</v>
      </c>
    </row>
    <row r="2108" spans="3:4" x14ac:dyDescent="0.2">
      <c r="C2108" t="s">
        <v>4325</v>
      </c>
      <c r="D2108" s="13">
        <v>10</v>
      </c>
    </row>
    <row r="2109" spans="3:4" x14ac:dyDescent="0.2">
      <c r="C2109" t="s">
        <v>4331</v>
      </c>
      <c r="D2109" s="13">
        <v>10</v>
      </c>
    </row>
    <row r="2110" spans="3:4" x14ac:dyDescent="0.2">
      <c r="C2110" t="s">
        <v>4407</v>
      </c>
      <c r="D2110" s="13">
        <v>10</v>
      </c>
    </row>
    <row r="2111" spans="3:4" x14ac:dyDescent="0.2">
      <c r="C2111" t="s">
        <v>4417</v>
      </c>
      <c r="D2111" s="13">
        <v>10</v>
      </c>
    </row>
    <row r="2112" spans="3:4" x14ac:dyDescent="0.2">
      <c r="C2112" t="s">
        <v>4477</v>
      </c>
      <c r="D2112" s="13">
        <v>10</v>
      </c>
    </row>
    <row r="2113" spans="3:4" x14ac:dyDescent="0.2">
      <c r="C2113" t="s">
        <v>4483</v>
      </c>
      <c r="D2113" s="13">
        <v>10</v>
      </c>
    </row>
    <row r="2114" spans="3:4" x14ac:dyDescent="0.2">
      <c r="C2114" t="s">
        <v>4485</v>
      </c>
      <c r="D2114" s="13">
        <v>10</v>
      </c>
    </row>
    <row r="2115" spans="3:4" x14ac:dyDescent="0.2">
      <c r="C2115" t="s">
        <v>4568</v>
      </c>
      <c r="D2115" s="13">
        <v>10</v>
      </c>
    </row>
    <row r="2116" spans="3:4" x14ac:dyDescent="0.2">
      <c r="C2116" t="s">
        <v>4574</v>
      </c>
      <c r="D2116" s="13">
        <v>10</v>
      </c>
    </row>
    <row r="2117" spans="3:4" x14ac:dyDescent="0.2">
      <c r="C2117" t="s">
        <v>4598</v>
      </c>
      <c r="D2117" s="13">
        <v>10</v>
      </c>
    </row>
    <row r="2118" spans="3:4" x14ac:dyDescent="0.2">
      <c r="C2118" t="s">
        <v>4614</v>
      </c>
      <c r="D2118" s="13">
        <v>10</v>
      </c>
    </row>
    <row r="2119" spans="3:4" x14ac:dyDescent="0.2">
      <c r="C2119" t="s">
        <v>4646</v>
      </c>
      <c r="D2119" s="13">
        <v>10</v>
      </c>
    </row>
    <row r="2120" spans="3:4" x14ac:dyDescent="0.2">
      <c r="C2120" t="s">
        <v>4717</v>
      </c>
      <c r="D2120" s="13">
        <v>10</v>
      </c>
    </row>
    <row r="2121" spans="3:4" x14ac:dyDescent="0.2">
      <c r="C2121" t="s">
        <v>4787</v>
      </c>
      <c r="D2121" s="13">
        <v>10</v>
      </c>
    </row>
    <row r="2122" spans="3:4" x14ac:dyDescent="0.2">
      <c r="C2122" t="s">
        <v>4821</v>
      </c>
      <c r="D2122" s="13">
        <v>10</v>
      </c>
    </row>
    <row r="2123" spans="3:4" x14ac:dyDescent="0.2">
      <c r="C2123" t="s">
        <v>4955</v>
      </c>
      <c r="D2123" s="13">
        <v>10</v>
      </c>
    </row>
    <row r="2124" spans="3:4" x14ac:dyDescent="0.2">
      <c r="C2124" t="s">
        <v>4971</v>
      </c>
      <c r="D2124" s="13">
        <v>10</v>
      </c>
    </row>
    <row r="2125" spans="3:4" x14ac:dyDescent="0.2">
      <c r="C2125" t="s">
        <v>4988</v>
      </c>
      <c r="D2125" s="13">
        <v>10</v>
      </c>
    </row>
    <row r="2126" spans="3:4" x14ac:dyDescent="0.2">
      <c r="C2126" t="s">
        <v>5000</v>
      </c>
      <c r="D2126" s="13">
        <v>10</v>
      </c>
    </row>
    <row r="2127" spans="3:4" x14ac:dyDescent="0.2">
      <c r="C2127" t="s">
        <v>5001</v>
      </c>
      <c r="D2127" s="13">
        <v>10</v>
      </c>
    </row>
    <row r="2128" spans="3:4" x14ac:dyDescent="0.2">
      <c r="C2128" t="s">
        <v>5036</v>
      </c>
      <c r="D2128" s="13">
        <v>10</v>
      </c>
    </row>
    <row r="2129" spans="3:4" x14ac:dyDescent="0.2">
      <c r="C2129" t="s">
        <v>5056</v>
      </c>
      <c r="D2129" s="13">
        <v>10</v>
      </c>
    </row>
    <row r="2130" spans="3:4" x14ac:dyDescent="0.2">
      <c r="C2130" t="s">
        <v>5082</v>
      </c>
      <c r="D2130" s="13">
        <v>10</v>
      </c>
    </row>
    <row r="2131" spans="3:4" x14ac:dyDescent="0.2">
      <c r="C2131" t="s">
        <v>5092</v>
      </c>
      <c r="D2131" s="13">
        <v>10</v>
      </c>
    </row>
    <row r="2132" spans="3:4" x14ac:dyDescent="0.2">
      <c r="C2132" t="s">
        <v>5096</v>
      </c>
      <c r="D2132" s="13">
        <v>10</v>
      </c>
    </row>
    <row r="2133" spans="3:4" x14ac:dyDescent="0.2">
      <c r="C2133" t="s">
        <v>5180</v>
      </c>
      <c r="D2133" s="13">
        <v>10</v>
      </c>
    </row>
    <row r="2134" spans="3:4" x14ac:dyDescent="0.2">
      <c r="C2134" t="s">
        <v>5182</v>
      </c>
      <c r="D2134" s="13">
        <v>10</v>
      </c>
    </row>
    <row r="2135" spans="3:4" x14ac:dyDescent="0.2">
      <c r="C2135" t="s">
        <v>5238</v>
      </c>
      <c r="D2135" s="13">
        <v>10</v>
      </c>
    </row>
    <row r="2136" spans="3:4" x14ac:dyDescent="0.2">
      <c r="C2136" t="s">
        <v>5250</v>
      </c>
      <c r="D2136" s="13">
        <v>10</v>
      </c>
    </row>
    <row r="2137" spans="3:4" x14ac:dyDescent="0.2">
      <c r="C2137" t="s">
        <v>5305</v>
      </c>
      <c r="D2137" s="13">
        <v>10</v>
      </c>
    </row>
    <row r="2138" spans="3:4" x14ac:dyDescent="0.2">
      <c r="C2138" t="s">
        <v>5311</v>
      </c>
      <c r="D2138" s="13">
        <v>10</v>
      </c>
    </row>
    <row r="2139" spans="3:4" x14ac:dyDescent="0.2">
      <c r="C2139" t="s">
        <v>5376</v>
      </c>
      <c r="D2139" s="13">
        <v>10</v>
      </c>
    </row>
    <row r="2140" spans="3:4" x14ac:dyDescent="0.2">
      <c r="C2140" t="s">
        <v>5397</v>
      </c>
      <c r="D2140" s="13">
        <v>10</v>
      </c>
    </row>
    <row r="2141" spans="3:4" x14ac:dyDescent="0.2">
      <c r="C2141" t="s">
        <v>5407</v>
      </c>
      <c r="D2141" s="13">
        <v>10</v>
      </c>
    </row>
    <row r="2142" spans="3:4" x14ac:dyDescent="0.2">
      <c r="C2142" t="s">
        <v>5432</v>
      </c>
      <c r="D2142" s="13">
        <v>10</v>
      </c>
    </row>
    <row r="2143" spans="3:4" x14ac:dyDescent="0.2">
      <c r="C2143" t="s">
        <v>5440</v>
      </c>
      <c r="D2143" s="13">
        <v>10</v>
      </c>
    </row>
    <row r="2144" spans="3:4" x14ac:dyDescent="0.2">
      <c r="C2144" t="s">
        <v>5502</v>
      </c>
      <c r="D2144" s="13">
        <v>10</v>
      </c>
    </row>
    <row r="2145" spans="3:4" x14ac:dyDescent="0.2">
      <c r="C2145" t="s">
        <v>5621</v>
      </c>
      <c r="D2145" s="13">
        <v>10</v>
      </c>
    </row>
    <row r="2146" spans="3:4" x14ac:dyDescent="0.2">
      <c r="C2146" t="s">
        <v>5663</v>
      </c>
      <c r="D2146" s="13">
        <v>10</v>
      </c>
    </row>
    <row r="2147" spans="3:4" x14ac:dyDescent="0.2">
      <c r="C2147" t="s">
        <v>5681</v>
      </c>
      <c r="D2147" s="13">
        <v>10</v>
      </c>
    </row>
    <row r="2148" spans="3:4" x14ac:dyDescent="0.2">
      <c r="C2148" t="s">
        <v>5865</v>
      </c>
      <c r="D2148" s="13">
        <v>10</v>
      </c>
    </row>
    <row r="2149" spans="3:4" x14ac:dyDescent="0.2">
      <c r="C2149" t="s">
        <v>5873</v>
      </c>
      <c r="D2149" s="13">
        <v>10</v>
      </c>
    </row>
    <row r="2150" spans="3:4" x14ac:dyDescent="0.2">
      <c r="C2150" t="s">
        <v>5899</v>
      </c>
      <c r="D2150" s="13">
        <v>10</v>
      </c>
    </row>
    <row r="2151" spans="3:4" x14ac:dyDescent="0.2">
      <c r="C2151" t="s">
        <v>5945</v>
      </c>
      <c r="D2151" s="13">
        <v>10</v>
      </c>
    </row>
    <row r="2152" spans="3:4" x14ac:dyDescent="0.2">
      <c r="C2152" t="s">
        <v>5956</v>
      </c>
      <c r="D2152" s="13">
        <v>10</v>
      </c>
    </row>
    <row r="2153" spans="3:4" x14ac:dyDescent="0.2">
      <c r="C2153" t="s">
        <v>6017</v>
      </c>
      <c r="D2153" s="13">
        <v>10</v>
      </c>
    </row>
    <row r="2154" spans="3:4" x14ac:dyDescent="0.2">
      <c r="C2154" t="s">
        <v>6106</v>
      </c>
      <c r="D2154" s="13">
        <v>10</v>
      </c>
    </row>
    <row r="2155" spans="3:4" x14ac:dyDescent="0.2">
      <c r="C2155" t="s">
        <v>6108</v>
      </c>
      <c r="D2155" s="13">
        <v>10</v>
      </c>
    </row>
    <row r="2156" spans="3:4" x14ac:dyDescent="0.2">
      <c r="C2156" t="s">
        <v>6110</v>
      </c>
      <c r="D2156" s="13">
        <v>10</v>
      </c>
    </row>
    <row r="2157" spans="3:4" x14ac:dyDescent="0.2">
      <c r="C2157" t="s">
        <v>6134</v>
      </c>
      <c r="D2157" s="13">
        <v>10</v>
      </c>
    </row>
    <row r="2158" spans="3:4" x14ac:dyDescent="0.2">
      <c r="C2158" t="s">
        <v>6152</v>
      </c>
      <c r="D2158" s="13">
        <v>10</v>
      </c>
    </row>
    <row r="2159" spans="3:4" x14ac:dyDescent="0.2">
      <c r="C2159" t="s">
        <v>6180</v>
      </c>
      <c r="D2159" s="13">
        <v>10</v>
      </c>
    </row>
    <row r="2160" spans="3:4" x14ac:dyDescent="0.2">
      <c r="C2160" t="s">
        <v>6286</v>
      </c>
      <c r="D2160" s="13">
        <v>10</v>
      </c>
    </row>
    <row r="2161" spans="3:4" x14ac:dyDescent="0.2">
      <c r="C2161" t="s">
        <v>6412</v>
      </c>
      <c r="D2161" s="13">
        <v>10</v>
      </c>
    </row>
    <row r="2162" spans="3:4" x14ac:dyDescent="0.2">
      <c r="C2162" t="s">
        <v>6424</v>
      </c>
      <c r="D2162" s="13">
        <v>10</v>
      </c>
    </row>
    <row r="2163" spans="3:4" x14ac:dyDescent="0.2">
      <c r="C2163" t="s">
        <v>6452</v>
      </c>
      <c r="D2163" s="13">
        <v>10</v>
      </c>
    </row>
    <row r="2164" spans="3:4" x14ac:dyDescent="0.2">
      <c r="C2164" t="s">
        <v>6535</v>
      </c>
      <c r="D2164" s="13">
        <v>10</v>
      </c>
    </row>
    <row r="2165" spans="3:4" x14ac:dyDescent="0.2">
      <c r="C2165" t="s">
        <v>6561</v>
      </c>
      <c r="D2165" s="13">
        <v>10</v>
      </c>
    </row>
    <row r="2166" spans="3:4" x14ac:dyDescent="0.2">
      <c r="C2166" t="s">
        <v>6587</v>
      </c>
      <c r="D2166" s="13">
        <v>10</v>
      </c>
    </row>
    <row r="2167" spans="3:4" x14ac:dyDescent="0.2">
      <c r="C2167" t="s">
        <v>6622</v>
      </c>
      <c r="D2167" s="13">
        <v>10</v>
      </c>
    </row>
    <row r="2168" spans="3:4" x14ac:dyDescent="0.2">
      <c r="C2168" t="s">
        <v>6637</v>
      </c>
      <c r="D2168" s="13">
        <v>10</v>
      </c>
    </row>
    <row r="2169" spans="3:4" x14ac:dyDescent="0.2">
      <c r="C2169" t="s">
        <v>6648</v>
      </c>
      <c r="D2169" s="13">
        <v>10</v>
      </c>
    </row>
    <row r="2170" spans="3:4" x14ac:dyDescent="0.2">
      <c r="C2170" t="s">
        <v>6650</v>
      </c>
      <c r="D2170" s="13">
        <v>10</v>
      </c>
    </row>
    <row r="2171" spans="3:4" x14ac:dyDescent="0.2">
      <c r="C2171" t="s">
        <v>6665</v>
      </c>
      <c r="D2171" s="13">
        <v>10</v>
      </c>
    </row>
    <row r="2172" spans="3:4" x14ac:dyDescent="0.2">
      <c r="C2172" t="s">
        <v>6737</v>
      </c>
      <c r="D2172" s="13">
        <v>10</v>
      </c>
    </row>
    <row r="2173" spans="3:4" x14ac:dyDescent="0.2">
      <c r="C2173" t="s">
        <v>6863</v>
      </c>
      <c r="D2173" s="13">
        <v>10</v>
      </c>
    </row>
    <row r="2174" spans="3:4" x14ac:dyDescent="0.2">
      <c r="C2174" t="s">
        <v>6878</v>
      </c>
      <c r="D2174" s="13">
        <v>10</v>
      </c>
    </row>
    <row r="2175" spans="3:4" x14ac:dyDescent="0.2">
      <c r="C2175" t="s">
        <v>6880</v>
      </c>
      <c r="D2175" s="13">
        <v>10</v>
      </c>
    </row>
    <row r="2176" spans="3:4" x14ac:dyDescent="0.2">
      <c r="C2176" t="s">
        <v>6884</v>
      </c>
      <c r="D2176" s="13">
        <v>10</v>
      </c>
    </row>
    <row r="2177" spans="3:4" x14ac:dyDescent="0.2">
      <c r="C2177" t="s">
        <v>6896</v>
      </c>
      <c r="D2177" s="13">
        <v>10</v>
      </c>
    </row>
    <row r="2178" spans="3:4" x14ac:dyDescent="0.2">
      <c r="C2178" t="s">
        <v>6904</v>
      </c>
      <c r="D2178" s="13">
        <v>10</v>
      </c>
    </row>
    <row r="2179" spans="3:4" x14ac:dyDescent="0.2">
      <c r="C2179" t="s">
        <v>6915</v>
      </c>
      <c r="D2179" s="13">
        <v>10</v>
      </c>
    </row>
    <row r="2180" spans="3:4" x14ac:dyDescent="0.2">
      <c r="C2180" t="s">
        <v>6965</v>
      </c>
      <c r="D2180" s="13">
        <v>10</v>
      </c>
    </row>
    <row r="2181" spans="3:4" x14ac:dyDescent="0.2">
      <c r="C2181" t="s">
        <v>6973</v>
      </c>
      <c r="D2181" s="13">
        <v>10</v>
      </c>
    </row>
    <row r="2182" spans="3:4" x14ac:dyDescent="0.2">
      <c r="C2182" t="s">
        <v>7025</v>
      </c>
      <c r="D2182" s="13">
        <v>10</v>
      </c>
    </row>
    <row r="2183" spans="3:4" x14ac:dyDescent="0.2">
      <c r="C2183" t="s">
        <v>7045</v>
      </c>
      <c r="D2183" s="13">
        <v>10</v>
      </c>
    </row>
    <row r="2184" spans="3:4" x14ac:dyDescent="0.2">
      <c r="C2184" t="s">
        <v>7076</v>
      </c>
      <c r="D2184" s="13">
        <v>10</v>
      </c>
    </row>
    <row r="2185" spans="3:4" x14ac:dyDescent="0.2">
      <c r="C2185" t="s">
        <v>7106</v>
      </c>
      <c r="D2185" s="13">
        <v>10</v>
      </c>
    </row>
    <row r="2186" spans="3:4" x14ac:dyDescent="0.2">
      <c r="C2186" t="s">
        <v>7108</v>
      </c>
      <c r="D2186" s="13">
        <v>10</v>
      </c>
    </row>
    <row r="2187" spans="3:4" x14ac:dyDescent="0.2">
      <c r="C2187" t="s">
        <v>7116</v>
      </c>
      <c r="D2187" s="13">
        <v>10</v>
      </c>
    </row>
    <row r="2188" spans="3:4" x14ac:dyDescent="0.2">
      <c r="C2188" t="s">
        <v>7212</v>
      </c>
      <c r="D2188" s="13">
        <v>10</v>
      </c>
    </row>
    <row r="2189" spans="3:4" x14ac:dyDescent="0.2">
      <c r="C2189" t="s">
        <v>7239</v>
      </c>
      <c r="D2189" s="13">
        <v>10</v>
      </c>
    </row>
    <row r="2190" spans="3:4" x14ac:dyDescent="0.2">
      <c r="C2190" t="s">
        <v>7264</v>
      </c>
      <c r="D2190" s="13">
        <v>10</v>
      </c>
    </row>
    <row r="2191" spans="3:4" x14ac:dyDescent="0.2">
      <c r="C2191" t="s">
        <v>7296</v>
      </c>
      <c r="D2191" s="13">
        <v>10</v>
      </c>
    </row>
    <row r="2192" spans="3:4" x14ac:dyDescent="0.2">
      <c r="C2192" t="s">
        <v>7316</v>
      </c>
      <c r="D2192" s="13">
        <v>10</v>
      </c>
    </row>
    <row r="2193" spans="3:4" x14ac:dyDescent="0.2">
      <c r="C2193" t="s">
        <v>7362</v>
      </c>
      <c r="D2193" s="13">
        <v>10</v>
      </c>
    </row>
    <row r="2194" spans="3:4" x14ac:dyDescent="0.2">
      <c r="C2194" t="s">
        <v>7368</v>
      </c>
      <c r="D2194" s="13">
        <v>10</v>
      </c>
    </row>
    <row r="2195" spans="3:4" x14ac:dyDescent="0.2">
      <c r="C2195" t="s">
        <v>7379</v>
      </c>
      <c r="D2195" s="13">
        <v>10</v>
      </c>
    </row>
    <row r="2196" spans="3:4" x14ac:dyDescent="0.2">
      <c r="C2196" t="s">
        <v>7381</v>
      </c>
      <c r="D2196" s="13">
        <v>10</v>
      </c>
    </row>
    <row r="2197" spans="3:4" x14ac:dyDescent="0.2">
      <c r="C2197" t="s">
        <v>7437</v>
      </c>
      <c r="D2197" s="13">
        <v>10</v>
      </c>
    </row>
    <row r="2198" spans="3:4" x14ac:dyDescent="0.2">
      <c r="C2198" t="s">
        <v>7445</v>
      </c>
      <c r="D2198" s="13">
        <v>10</v>
      </c>
    </row>
    <row r="2199" spans="3:4" x14ac:dyDescent="0.2">
      <c r="C2199" t="s">
        <v>7458</v>
      </c>
      <c r="D2199" s="13">
        <v>10</v>
      </c>
    </row>
    <row r="2200" spans="3:4" x14ac:dyDescent="0.2">
      <c r="C2200" t="s">
        <v>7518</v>
      </c>
      <c r="D2200" s="13">
        <v>10</v>
      </c>
    </row>
    <row r="2201" spans="3:4" x14ac:dyDescent="0.2">
      <c r="C2201" t="s">
        <v>7572</v>
      </c>
      <c r="D2201" s="13">
        <v>10</v>
      </c>
    </row>
    <row r="2202" spans="3:4" x14ac:dyDescent="0.2">
      <c r="C2202" t="s">
        <v>7622</v>
      </c>
      <c r="D2202" s="13">
        <v>10</v>
      </c>
    </row>
    <row r="2203" spans="3:4" x14ac:dyDescent="0.2">
      <c r="C2203" t="s">
        <v>7668</v>
      </c>
      <c r="D2203" s="13">
        <v>10</v>
      </c>
    </row>
    <row r="2204" spans="3:4" x14ac:dyDescent="0.2">
      <c r="C2204" t="s">
        <v>7694</v>
      </c>
      <c r="D2204" s="13">
        <v>10</v>
      </c>
    </row>
    <row r="2205" spans="3:4" x14ac:dyDescent="0.2">
      <c r="C2205" t="s">
        <v>7718</v>
      </c>
      <c r="D2205" s="13">
        <v>10</v>
      </c>
    </row>
    <row r="2206" spans="3:4" x14ac:dyDescent="0.2">
      <c r="C2206" t="s">
        <v>7783</v>
      </c>
      <c r="D2206" s="13">
        <v>10</v>
      </c>
    </row>
    <row r="2207" spans="3:4" x14ac:dyDescent="0.2">
      <c r="C2207" t="s">
        <v>7841</v>
      </c>
      <c r="D2207" s="13">
        <v>10</v>
      </c>
    </row>
    <row r="2208" spans="3:4" x14ac:dyDescent="0.2">
      <c r="C2208" t="s">
        <v>7918</v>
      </c>
      <c r="D2208" s="13">
        <v>10</v>
      </c>
    </row>
    <row r="2209" spans="3:4" x14ac:dyDescent="0.2">
      <c r="C2209" t="s">
        <v>7945</v>
      </c>
      <c r="D2209" s="13">
        <v>10</v>
      </c>
    </row>
    <row r="2210" spans="3:4" x14ac:dyDescent="0.2">
      <c r="C2210" t="s">
        <v>7973</v>
      </c>
      <c r="D2210" s="13">
        <v>10</v>
      </c>
    </row>
    <row r="2211" spans="3:4" x14ac:dyDescent="0.2">
      <c r="C2211" t="s">
        <v>8038</v>
      </c>
      <c r="D2211" s="13">
        <v>10</v>
      </c>
    </row>
    <row r="2212" spans="3:4" x14ac:dyDescent="0.2">
      <c r="C2212" t="s">
        <v>8085</v>
      </c>
      <c r="D2212" s="13">
        <v>10</v>
      </c>
    </row>
    <row r="2213" spans="3:4" x14ac:dyDescent="0.2">
      <c r="C2213" t="s">
        <v>8149</v>
      </c>
      <c r="D2213" s="13">
        <v>10</v>
      </c>
    </row>
    <row r="2214" spans="3:4" x14ac:dyDescent="0.2">
      <c r="C2214" t="s">
        <v>8161</v>
      </c>
      <c r="D2214" s="13">
        <v>10</v>
      </c>
    </row>
    <row r="2215" spans="3:4" x14ac:dyDescent="0.2">
      <c r="C2215" t="s">
        <v>8167</v>
      </c>
      <c r="D2215" s="13">
        <v>10</v>
      </c>
    </row>
    <row r="2216" spans="3:4" x14ac:dyDescent="0.2">
      <c r="C2216" t="s">
        <v>8211</v>
      </c>
      <c r="D2216" s="13">
        <v>10</v>
      </c>
    </row>
    <row r="2217" spans="3:4" x14ac:dyDescent="0.2">
      <c r="C2217" t="s">
        <v>8221</v>
      </c>
      <c r="D2217" s="13">
        <v>10</v>
      </c>
    </row>
    <row r="2218" spans="3:4" x14ac:dyDescent="0.2">
      <c r="C2218" t="s">
        <v>8247</v>
      </c>
      <c r="D2218" s="13">
        <v>10</v>
      </c>
    </row>
    <row r="2219" spans="3:4" x14ac:dyDescent="0.2">
      <c r="C2219" t="s">
        <v>8267</v>
      </c>
      <c r="D2219" s="13">
        <v>10</v>
      </c>
    </row>
    <row r="2220" spans="3:4" x14ac:dyDescent="0.2">
      <c r="C2220" t="s">
        <v>8313</v>
      </c>
      <c r="D2220" s="13">
        <v>10</v>
      </c>
    </row>
    <row r="2221" spans="3:4" x14ac:dyDescent="0.2">
      <c r="C2221" t="s">
        <v>8350</v>
      </c>
      <c r="D2221" s="13">
        <v>10</v>
      </c>
    </row>
    <row r="2222" spans="3:4" x14ac:dyDescent="0.2">
      <c r="C2222" t="s">
        <v>8364</v>
      </c>
      <c r="D2222" s="13">
        <v>10</v>
      </c>
    </row>
    <row r="2223" spans="3:4" x14ac:dyDescent="0.2">
      <c r="C2223" t="s">
        <v>8365</v>
      </c>
      <c r="D2223" s="13">
        <v>10</v>
      </c>
    </row>
    <row r="2224" spans="3:4" x14ac:dyDescent="0.2">
      <c r="C2224" t="s">
        <v>8409</v>
      </c>
      <c r="D2224" s="13">
        <v>10</v>
      </c>
    </row>
    <row r="2225" spans="3:4" x14ac:dyDescent="0.2">
      <c r="C2225" t="s">
        <v>8411</v>
      </c>
      <c r="D2225" s="13">
        <v>10</v>
      </c>
    </row>
    <row r="2226" spans="3:4" x14ac:dyDescent="0.2">
      <c r="C2226" t="s">
        <v>8417</v>
      </c>
      <c r="D2226" s="13">
        <v>10</v>
      </c>
    </row>
    <row r="2227" spans="3:4" x14ac:dyDescent="0.2">
      <c r="C2227" t="s">
        <v>8436</v>
      </c>
      <c r="D2227" s="13">
        <v>10</v>
      </c>
    </row>
    <row r="2228" spans="3:4" x14ac:dyDescent="0.2">
      <c r="C2228" t="s">
        <v>8473</v>
      </c>
      <c r="D2228" s="13">
        <v>10</v>
      </c>
    </row>
    <row r="2229" spans="3:4" x14ac:dyDescent="0.2">
      <c r="C2229" t="s">
        <v>8497</v>
      </c>
      <c r="D2229" s="13">
        <v>10</v>
      </c>
    </row>
    <row r="2230" spans="3:4" x14ac:dyDescent="0.2">
      <c r="C2230" t="s">
        <v>8573</v>
      </c>
      <c r="D2230" s="13">
        <v>10</v>
      </c>
    </row>
    <row r="2231" spans="3:4" x14ac:dyDescent="0.2">
      <c r="C2231" t="s">
        <v>8585</v>
      </c>
      <c r="D2231" s="13">
        <v>10</v>
      </c>
    </row>
    <row r="2232" spans="3:4" x14ac:dyDescent="0.2">
      <c r="C2232" t="s">
        <v>8608</v>
      </c>
      <c r="D2232" s="13">
        <v>10</v>
      </c>
    </row>
    <row r="2233" spans="3:4" x14ac:dyDescent="0.2">
      <c r="C2233" t="s">
        <v>8634</v>
      </c>
      <c r="D2233" s="13">
        <v>10</v>
      </c>
    </row>
    <row r="2234" spans="3:4" x14ac:dyDescent="0.2">
      <c r="C2234" t="s">
        <v>8665</v>
      </c>
      <c r="D2234" s="13">
        <v>10</v>
      </c>
    </row>
    <row r="2235" spans="3:4" x14ac:dyDescent="0.2">
      <c r="C2235" t="s">
        <v>8706</v>
      </c>
      <c r="D2235" s="13">
        <v>10</v>
      </c>
    </row>
    <row r="2236" spans="3:4" x14ac:dyDescent="0.2">
      <c r="C2236" t="s">
        <v>8718</v>
      </c>
      <c r="D2236" s="13">
        <v>10</v>
      </c>
    </row>
    <row r="2237" spans="3:4" x14ac:dyDescent="0.2">
      <c r="C2237" t="s">
        <v>762</v>
      </c>
      <c r="D2237" s="13">
        <v>10</v>
      </c>
    </row>
    <row r="2238" spans="3:4" x14ac:dyDescent="0.2">
      <c r="C2238" t="s">
        <v>1508</v>
      </c>
      <c r="D2238" s="13">
        <v>10</v>
      </c>
    </row>
    <row r="2239" spans="3:4" x14ac:dyDescent="0.2">
      <c r="C2239" t="s">
        <v>1609</v>
      </c>
      <c r="D2239" s="13">
        <v>10</v>
      </c>
    </row>
    <row r="2240" spans="3:4" x14ac:dyDescent="0.2">
      <c r="C2240" t="s">
        <v>2146</v>
      </c>
      <c r="D2240" s="13">
        <v>10</v>
      </c>
    </row>
    <row r="2241" spans="3:4" x14ac:dyDescent="0.2">
      <c r="C2241" t="s">
        <v>2216</v>
      </c>
      <c r="D2241" s="13">
        <v>10</v>
      </c>
    </row>
    <row r="2242" spans="3:4" x14ac:dyDescent="0.2">
      <c r="C2242" t="s">
        <v>2244</v>
      </c>
      <c r="D2242" s="13">
        <v>10</v>
      </c>
    </row>
    <row r="2243" spans="3:4" x14ac:dyDescent="0.2">
      <c r="C2243" t="s">
        <v>2517</v>
      </c>
      <c r="D2243" s="13">
        <v>10</v>
      </c>
    </row>
    <row r="2244" spans="3:4" x14ac:dyDescent="0.2">
      <c r="C2244" t="s">
        <v>2708</v>
      </c>
      <c r="D2244" s="13">
        <v>10</v>
      </c>
    </row>
    <row r="2245" spans="3:4" x14ac:dyDescent="0.2">
      <c r="C2245" t="s">
        <v>3477</v>
      </c>
      <c r="D2245" s="13">
        <v>10</v>
      </c>
    </row>
    <row r="2246" spans="3:4" x14ac:dyDescent="0.2">
      <c r="C2246" t="s">
        <v>3551</v>
      </c>
      <c r="D2246" s="13">
        <v>10</v>
      </c>
    </row>
    <row r="2247" spans="3:4" x14ac:dyDescent="0.2">
      <c r="C2247" t="s">
        <v>4037</v>
      </c>
      <c r="D2247" s="13">
        <v>10</v>
      </c>
    </row>
    <row r="2248" spans="3:4" x14ac:dyDescent="0.2">
      <c r="C2248" t="s">
        <v>4925</v>
      </c>
      <c r="D2248" s="13">
        <v>10</v>
      </c>
    </row>
    <row r="2249" spans="3:4" x14ac:dyDescent="0.2">
      <c r="C2249" t="s">
        <v>4931</v>
      </c>
      <c r="D2249" s="13">
        <v>10</v>
      </c>
    </row>
    <row r="2250" spans="3:4" x14ac:dyDescent="0.2">
      <c r="C2250" t="s">
        <v>5015</v>
      </c>
      <c r="D2250" s="13">
        <v>10</v>
      </c>
    </row>
    <row r="2251" spans="3:4" x14ac:dyDescent="0.2">
      <c r="C2251" t="s">
        <v>5071</v>
      </c>
      <c r="D2251" s="13">
        <v>10</v>
      </c>
    </row>
    <row r="2252" spans="3:4" x14ac:dyDescent="0.2">
      <c r="C2252" t="s">
        <v>5098</v>
      </c>
      <c r="D2252" s="13">
        <v>10</v>
      </c>
    </row>
    <row r="2253" spans="3:4" x14ac:dyDescent="0.2">
      <c r="C2253" t="s">
        <v>6743</v>
      </c>
      <c r="D2253" s="13">
        <v>10</v>
      </c>
    </row>
    <row r="2254" spans="3:4" x14ac:dyDescent="0.2">
      <c r="C2254" t="s">
        <v>7647</v>
      </c>
      <c r="D2254" s="13">
        <v>10</v>
      </c>
    </row>
    <row r="2255" spans="3:4" x14ac:dyDescent="0.2">
      <c r="C2255" t="s">
        <v>7821</v>
      </c>
      <c r="D2255" s="13">
        <v>10</v>
      </c>
    </row>
    <row r="2256" spans="3:4" x14ac:dyDescent="0.2">
      <c r="C2256" t="s">
        <v>8448</v>
      </c>
      <c r="D2256" s="13">
        <v>10</v>
      </c>
    </row>
    <row r="2257" spans="3:4" x14ac:dyDescent="0.2">
      <c r="C2257" t="s">
        <v>573</v>
      </c>
      <c r="D2257" s="13">
        <v>10</v>
      </c>
    </row>
    <row r="2258" spans="3:4" x14ac:dyDescent="0.2">
      <c r="C2258" t="s">
        <v>845</v>
      </c>
      <c r="D2258" s="13">
        <v>10</v>
      </c>
    </row>
    <row r="2259" spans="3:4" x14ac:dyDescent="0.2">
      <c r="C2259" t="s">
        <v>1181</v>
      </c>
      <c r="D2259" s="13">
        <v>10</v>
      </c>
    </row>
    <row r="2260" spans="3:4" x14ac:dyDescent="0.2">
      <c r="C2260" t="s">
        <v>1935</v>
      </c>
      <c r="D2260" s="13">
        <v>10</v>
      </c>
    </row>
    <row r="2261" spans="3:4" x14ac:dyDescent="0.2">
      <c r="C2261" t="s">
        <v>2561</v>
      </c>
      <c r="D2261" s="13">
        <v>10</v>
      </c>
    </row>
    <row r="2262" spans="3:4" x14ac:dyDescent="0.2">
      <c r="C2262" t="s">
        <v>3082</v>
      </c>
      <c r="D2262" s="13">
        <v>10</v>
      </c>
    </row>
    <row r="2263" spans="3:4" x14ac:dyDescent="0.2">
      <c r="C2263" t="s">
        <v>4076</v>
      </c>
      <c r="D2263" s="13">
        <v>10</v>
      </c>
    </row>
    <row r="2264" spans="3:4" x14ac:dyDescent="0.2">
      <c r="C2264" t="s">
        <v>4388</v>
      </c>
      <c r="D2264" s="13">
        <v>10</v>
      </c>
    </row>
    <row r="2265" spans="3:4" x14ac:dyDescent="0.2">
      <c r="C2265" t="s">
        <v>4526</v>
      </c>
      <c r="D2265" s="13">
        <v>10</v>
      </c>
    </row>
    <row r="2266" spans="3:4" x14ac:dyDescent="0.2">
      <c r="C2266" t="s">
        <v>4752</v>
      </c>
      <c r="D2266" s="13">
        <v>10</v>
      </c>
    </row>
    <row r="2267" spans="3:4" x14ac:dyDescent="0.2">
      <c r="C2267" t="s">
        <v>4920</v>
      </c>
      <c r="D2267" s="13">
        <v>10</v>
      </c>
    </row>
    <row r="2268" spans="3:4" x14ac:dyDescent="0.2">
      <c r="C2268" t="s">
        <v>5559</v>
      </c>
      <c r="D2268" s="13">
        <v>10</v>
      </c>
    </row>
    <row r="2269" spans="3:4" x14ac:dyDescent="0.2">
      <c r="C2269" t="s">
        <v>7801</v>
      </c>
      <c r="D2269" s="13">
        <v>10</v>
      </c>
    </row>
    <row r="2270" spans="3:4" x14ac:dyDescent="0.2">
      <c r="C2270" t="s">
        <v>8139</v>
      </c>
      <c r="D2270" s="13">
        <v>10</v>
      </c>
    </row>
    <row r="2271" spans="3:4" x14ac:dyDescent="0.2">
      <c r="C2271" t="s">
        <v>1001</v>
      </c>
      <c r="D2271" s="13">
        <v>10</v>
      </c>
    </row>
    <row r="2272" spans="3:4" x14ac:dyDescent="0.2">
      <c r="C2272" t="s">
        <v>2147</v>
      </c>
      <c r="D2272" s="13">
        <v>10</v>
      </c>
    </row>
    <row r="2273" spans="3:4" x14ac:dyDescent="0.2">
      <c r="C2273" t="s">
        <v>2559</v>
      </c>
      <c r="D2273" s="13">
        <v>10</v>
      </c>
    </row>
    <row r="2274" spans="3:4" x14ac:dyDescent="0.2">
      <c r="C2274" t="s">
        <v>3595</v>
      </c>
      <c r="D2274" s="13">
        <v>10</v>
      </c>
    </row>
    <row r="2275" spans="3:4" x14ac:dyDescent="0.2">
      <c r="C2275" t="s">
        <v>4525</v>
      </c>
      <c r="D2275" s="13">
        <v>10</v>
      </c>
    </row>
    <row r="2276" spans="3:4" x14ac:dyDescent="0.2">
      <c r="C2276" t="s">
        <v>4547</v>
      </c>
      <c r="D2276" s="13">
        <v>10</v>
      </c>
    </row>
    <row r="2277" spans="3:4" x14ac:dyDescent="0.2">
      <c r="C2277" t="s">
        <v>5786</v>
      </c>
      <c r="D2277" s="13">
        <v>10</v>
      </c>
    </row>
    <row r="2278" spans="3:4" x14ac:dyDescent="0.2">
      <c r="C2278" t="s">
        <v>6460</v>
      </c>
      <c r="D2278" s="13">
        <v>10</v>
      </c>
    </row>
    <row r="2279" spans="3:4" x14ac:dyDescent="0.2">
      <c r="C2279" t="s">
        <v>8320</v>
      </c>
      <c r="D2279" s="13">
        <v>10</v>
      </c>
    </row>
    <row r="2280" spans="3:4" x14ac:dyDescent="0.2">
      <c r="C2280" t="s">
        <v>2037</v>
      </c>
      <c r="D2280" s="13">
        <v>10</v>
      </c>
    </row>
    <row r="2281" spans="3:4" x14ac:dyDescent="0.2">
      <c r="C2281" t="s">
        <v>3501</v>
      </c>
      <c r="D2281" s="13">
        <v>10</v>
      </c>
    </row>
    <row r="2282" spans="3:4" x14ac:dyDescent="0.2">
      <c r="C2282" t="s">
        <v>3553</v>
      </c>
      <c r="D2282" s="13">
        <v>10</v>
      </c>
    </row>
    <row r="2283" spans="3:4" x14ac:dyDescent="0.2">
      <c r="C2283" t="s">
        <v>5584</v>
      </c>
      <c r="D2283" s="13">
        <v>10</v>
      </c>
    </row>
    <row r="2284" spans="3:4" x14ac:dyDescent="0.2">
      <c r="C2284" t="s">
        <v>7795</v>
      </c>
      <c r="D2284" s="13">
        <v>10</v>
      </c>
    </row>
    <row r="2285" spans="3:4" x14ac:dyDescent="0.2">
      <c r="C2285" t="s">
        <v>888</v>
      </c>
      <c r="D2285" s="13">
        <v>10</v>
      </c>
    </row>
    <row r="2286" spans="3:4" x14ac:dyDescent="0.2">
      <c r="C2286" t="s">
        <v>979</v>
      </c>
      <c r="D2286" s="13">
        <v>10</v>
      </c>
    </row>
    <row r="2287" spans="3:4" x14ac:dyDescent="0.2">
      <c r="C2287" t="s">
        <v>1813</v>
      </c>
      <c r="D2287" s="13">
        <v>10</v>
      </c>
    </row>
    <row r="2288" spans="3:4" x14ac:dyDescent="0.2">
      <c r="C2288" t="s">
        <v>5782</v>
      </c>
      <c r="D2288" s="13">
        <v>10</v>
      </c>
    </row>
    <row r="2289" spans="3:4" x14ac:dyDescent="0.2">
      <c r="C2289" t="s">
        <v>6084</v>
      </c>
      <c r="D2289" s="13">
        <v>10</v>
      </c>
    </row>
    <row r="2290" spans="3:4" x14ac:dyDescent="0.2">
      <c r="C2290" t="s">
        <v>6690</v>
      </c>
      <c r="D2290" s="13">
        <v>10</v>
      </c>
    </row>
    <row r="2291" spans="3:4" x14ac:dyDescent="0.2">
      <c r="C2291" t="s">
        <v>427</v>
      </c>
      <c r="D2291" s="13">
        <v>10</v>
      </c>
    </row>
    <row r="2292" spans="3:4" x14ac:dyDescent="0.2">
      <c r="C2292" t="s">
        <v>1280</v>
      </c>
      <c r="D2292" s="13">
        <v>10</v>
      </c>
    </row>
    <row r="2293" spans="3:4" x14ac:dyDescent="0.2">
      <c r="C2293" t="s">
        <v>1390</v>
      </c>
      <c r="D2293" s="13">
        <v>10</v>
      </c>
    </row>
    <row r="2294" spans="3:4" x14ac:dyDescent="0.2">
      <c r="C2294" t="s">
        <v>1930</v>
      </c>
      <c r="D2294" s="13">
        <v>10</v>
      </c>
    </row>
    <row r="2295" spans="3:4" x14ac:dyDescent="0.2">
      <c r="C2295" t="s">
        <v>2374</v>
      </c>
      <c r="D2295" s="13">
        <v>10</v>
      </c>
    </row>
    <row r="2296" spans="3:4" x14ac:dyDescent="0.2">
      <c r="C2296" t="s">
        <v>2623</v>
      </c>
      <c r="D2296" s="13">
        <v>10</v>
      </c>
    </row>
    <row r="2297" spans="3:4" x14ac:dyDescent="0.2">
      <c r="C2297" t="s">
        <v>3939</v>
      </c>
      <c r="D2297" s="13">
        <v>10</v>
      </c>
    </row>
    <row r="2298" spans="3:4" x14ac:dyDescent="0.2">
      <c r="C2298" t="s">
        <v>3986</v>
      </c>
      <c r="D2298" s="13">
        <v>10</v>
      </c>
    </row>
    <row r="2299" spans="3:4" x14ac:dyDescent="0.2">
      <c r="C2299" t="s">
        <v>4409</v>
      </c>
      <c r="D2299" s="13">
        <v>10</v>
      </c>
    </row>
    <row r="2300" spans="3:4" x14ac:dyDescent="0.2">
      <c r="C2300" t="s">
        <v>5088</v>
      </c>
      <c r="D2300" s="13">
        <v>10</v>
      </c>
    </row>
    <row r="2301" spans="3:4" x14ac:dyDescent="0.2">
      <c r="C2301" t="s">
        <v>5313</v>
      </c>
      <c r="D2301" s="13">
        <v>10</v>
      </c>
    </row>
    <row r="2302" spans="3:4" x14ac:dyDescent="0.2">
      <c r="C2302" t="s">
        <v>5319</v>
      </c>
      <c r="D2302" s="13">
        <v>10</v>
      </c>
    </row>
    <row r="2303" spans="3:4" x14ac:dyDescent="0.2">
      <c r="C2303" t="s">
        <v>5697</v>
      </c>
      <c r="D2303" s="13">
        <v>10</v>
      </c>
    </row>
    <row r="2304" spans="3:4" x14ac:dyDescent="0.2">
      <c r="C2304" t="s">
        <v>5745</v>
      </c>
      <c r="D2304" s="13">
        <v>10</v>
      </c>
    </row>
    <row r="2305" spans="3:4" x14ac:dyDescent="0.2">
      <c r="C2305" t="s">
        <v>6335</v>
      </c>
      <c r="D2305" s="13">
        <v>10</v>
      </c>
    </row>
    <row r="2306" spans="3:4" x14ac:dyDescent="0.2">
      <c r="C2306" t="s">
        <v>6688</v>
      </c>
      <c r="D2306" s="13">
        <v>10</v>
      </c>
    </row>
    <row r="2307" spans="3:4" x14ac:dyDescent="0.2">
      <c r="C2307" t="s">
        <v>8624</v>
      </c>
      <c r="D2307" s="13">
        <v>10</v>
      </c>
    </row>
    <row r="2308" spans="3:4" x14ac:dyDescent="0.2">
      <c r="C2308" t="s">
        <v>160</v>
      </c>
      <c r="D2308" s="13">
        <v>10</v>
      </c>
    </row>
    <row r="2309" spans="3:4" x14ac:dyDescent="0.2">
      <c r="C2309" t="s">
        <v>799</v>
      </c>
      <c r="D2309" s="13">
        <v>10</v>
      </c>
    </row>
    <row r="2310" spans="3:4" x14ac:dyDescent="0.2">
      <c r="C2310" t="s">
        <v>906</v>
      </c>
      <c r="D2310" s="13">
        <v>10</v>
      </c>
    </row>
    <row r="2311" spans="3:4" x14ac:dyDescent="0.2">
      <c r="C2311" t="s">
        <v>1435</v>
      </c>
      <c r="D2311" s="13">
        <v>10</v>
      </c>
    </row>
    <row r="2312" spans="3:4" x14ac:dyDescent="0.2">
      <c r="C2312" t="s">
        <v>2224</v>
      </c>
      <c r="D2312" s="13">
        <v>10</v>
      </c>
    </row>
    <row r="2313" spans="3:4" x14ac:dyDescent="0.2">
      <c r="C2313" t="s">
        <v>2908</v>
      </c>
      <c r="D2313" s="13">
        <v>10</v>
      </c>
    </row>
    <row r="2314" spans="3:4" x14ac:dyDescent="0.2">
      <c r="C2314" t="s">
        <v>3001</v>
      </c>
      <c r="D2314" s="13">
        <v>10</v>
      </c>
    </row>
    <row r="2315" spans="3:4" x14ac:dyDescent="0.2">
      <c r="C2315" t="s">
        <v>3400</v>
      </c>
      <c r="D2315" s="13">
        <v>10</v>
      </c>
    </row>
    <row r="2316" spans="3:4" x14ac:dyDescent="0.2">
      <c r="C2316" t="s">
        <v>3883</v>
      </c>
      <c r="D2316" s="13">
        <v>10</v>
      </c>
    </row>
    <row r="2317" spans="3:4" x14ac:dyDescent="0.2">
      <c r="C2317" t="s">
        <v>4781</v>
      </c>
      <c r="D2317" s="13">
        <v>10</v>
      </c>
    </row>
    <row r="2318" spans="3:4" x14ac:dyDescent="0.2">
      <c r="C2318" t="s">
        <v>5603</v>
      </c>
      <c r="D2318" s="13">
        <v>10</v>
      </c>
    </row>
    <row r="2319" spans="3:4" x14ac:dyDescent="0.2">
      <c r="C2319" t="s">
        <v>6251</v>
      </c>
      <c r="D2319" s="13">
        <v>10</v>
      </c>
    </row>
    <row r="2320" spans="3:4" x14ac:dyDescent="0.2">
      <c r="C2320" t="s">
        <v>6632</v>
      </c>
      <c r="D2320" s="13">
        <v>10</v>
      </c>
    </row>
    <row r="2321" spans="3:4" x14ac:dyDescent="0.2">
      <c r="C2321" t="s">
        <v>6908</v>
      </c>
      <c r="D2321" s="13">
        <v>10</v>
      </c>
    </row>
    <row r="2322" spans="3:4" x14ac:dyDescent="0.2">
      <c r="C2322" t="s">
        <v>8227</v>
      </c>
      <c r="D2322" s="13">
        <v>10</v>
      </c>
    </row>
    <row r="2323" spans="3:4" x14ac:dyDescent="0.2">
      <c r="C2323" t="s">
        <v>8426</v>
      </c>
      <c r="D2323" s="13">
        <v>10</v>
      </c>
    </row>
    <row r="2324" spans="3:4" x14ac:dyDescent="0.2">
      <c r="C2324" t="s">
        <v>254</v>
      </c>
      <c r="D2324" s="13">
        <v>10</v>
      </c>
    </row>
    <row r="2325" spans="3:4" x14ac:dyDescent="0.2">
      <c r="C2325" t="s">
        <v>358</v>
      </c>
      <c r="D2325" s="13">
        <v>10</v>
      </c>
    </row>
    <row r="2326" spans="3:4" x14ac:dyDescent="0.2">
      <c r="C2326" t="s">
        <v>417</v>
      </c>
      <c r="D2326" s="13">
        <v>10</v>
      </c>
    </row>
    <row r="2327" spans="3:4" x14ac:dyDescent="0.2">
      <c r="C2327" t="s">
        <v>747</v>
      </c>
      <c r="D2327" s="13">
        <v>10</v>
      </c>
    </row>
    <row r="2328" spans="3:4" x14ac:dyDescent="0.2">
      <c r="C2328" t="s">
        <v>760</v>
      </c>
      <c r="D2328" s="13">
        <v>10</v>
      </c>
    </row>
    <row r="2329" spans="3:4" x14ac:dyDescent="0.2">
      <c r="C2329" t="s">
        <v>1211</v>
      </c>
      <c r="D2329" s="13">
        <v>10</v>
      </c>
    </row>
    <row r="2330" spans="3:4" x14ac:dyDescent="0.2">
      <c r="C2330" t="s">
        <v>1406</v>
      </c>
      <c r="D2330" s="13">
        <v>10</v>
      </c>
    </row>
    <row r="2331" spans="3:4" x14ac:dyDescent="0.2">
      <c r="C2331" t="s">
        <v>2352</v>
      </c>
      <c r="D2331" s="13">
        <v>10</v>
      </c>
    </row>
    <row r="2332" spans="3:4" x14ac:dyDescent="0.2">
      <c r="C2332" t="s">
        <v>2637</v>
      </c>
      <c r="D2332" s="13">
        <v>10</v>
      </c>
    </row>
    <row r="2333" spans="3:4" x14ac:dyDescent="0.2">
      <c r="C2333" t="s">
        <v>3521</v>
      </c>
      <c r="D2333" s="13">
        <v>10</v>
      </c>
    </row>
    <row r="2334" spans="3:4" x14ac:dyDescent="0.2">
      <c r="C2334" t="s">
        <v>3743</v>
      </c>
      <c r="D2334" s="13">
        <v>10</v>
      </c>
    </row>
    <row r="2335" spans="3:4" x14ac:dyDescent="0.2">
      <c r="C2335" t="s">
        <v>4152</v>
      </c>
      <c r="D2335" s="13">
        <v>10</v>
      </c>
    </row>
    <row r="2336" spans="3:4" x14ac:dyDescent="0.2">
      <c r="C2336" t="s">
        <v>4488</v>
      </c>
      <c r="D2336" s="13">
        <v>10</v>
      </c>
    </row>
    <row r="2337" spans="3:4" x14ac:dyDescent="0.2">
      <c r="C2337" t="s">
        <v>5452</v>
      </c>
      <c r="D2337" s="13">
        <v>10</v>
      </c>
    </row>
    <row r="2338" spans="3:4" x14ac:dyDescent="0.2">
      <c r="C2338" t="s">
        <v>5498</v>
      </c>
      <c r="D2338" s="13">
        <v>10</v>
      </c>
    </row>
    <row r="2339" spans="3:4" x14ac:dyDescent="0.2">
      <c r="C2339" t="s">
        <v>5725</v>
      </c>
      <c r="D2339" s="13">
        <v>10</v>
      </c>
    </row>
    <row r="2340" spans="3:4" x14ac:dyDescent="0.2">
      <c r="C2340" t="s">
        <v>5807</v>
      </c>
      <c r="D2340" s="13">
        <v>10</v>
      </c>
    </row>
    <row r="2341" spans="3:4" x14ac:dyDescent="0.2">
      <c r="C2341" t="s">
        <v>6352</v>
      </c>
      <c r="D2341" s="13">
        <v>10</v>
      </c>
    </row>
    <row r="2342" spans="3:4" x14ac:dyDescent="0.2">
      <c r="C2342" t="s">
        <v>6396</v>
      </c>
      <c r="D2342" s="13">
        <v>10</v>
      </c>
    </row>
    <row r="2343" spans="3:4" x14ac:dyDescent="0.2">
      <c r="C2343" t="s">
        <v>6495</v>
      </c>
      <c r="D2343" s="13">
        <v>10</v>
      </c>
    </row>
    <row r="2344" spans="3:4" x14ac:dyDescent="0.2">
      <c r="C2344" t="s">
        <v>7534</v>
      </c>
      <c r="D2344" s="13">
        <v>10</v>
      </c>
    </row>
    <row r="2345" spans="3:4" x14ac:dyDescent="0.2">
      <c r="C2345" t="s">
        <v>7797</v>
      </c>
      <c r="D2345" s="13">
        <v>10</v>
      </c>
    </row>
    <row r="2346" spans="3:4" x14ac:dyDescent="0.2">
      <c r="C2346" t="s">
        <v>8107</v>
      </c>
      <c r="D2346" s="13">
        <v>10</v>
      </c>
    </row>
    <row r="2347" spans="3:4" x14ac:dyDescent="0.2">
      <c r="C2347" t="s">
        <v>8510</v>
      </c>
      <c r="D2347" s="13">
        <v>10</v>
      </c>
    </row>
    <row r="2348" spans="3:4" x14ac:dyDescent="0.2">
      <c r="C2348" t="s">
        <v>133</v>
      </c>
      <c r="D2348" s="13">
        <v>10</v>
      </c>
    </row>
    <row r="2349" spans="3:4" x14ac:dyDescent="0.2">
      <c r="C2349" t="s">
        <v>181</v>
      </c>
      <c r="D2349" s="13">
        <v>10</v>
      </c>
    </row>
    <row r="2350" spans="3:4" x14ac:dyDescent="0.2">
      <c r="C2350" t="s">
        <v>201</v>
      </c>
      <c r="D2350" s="13">
        <v>10</v>
      </c>
    </row>
    <row r="2351" spans="3:4" x14ac:dyDescent="0.2">
      <c r="C2351" t="s">
        <v>203</v>
      </c>
      <c r="D2351" s="13">
        <v>10</v>
      </c>
    </row>
    <row r="2352" spans="3:4" x14ac:dyDescent="0.2">
      <c r="C2352" t="s">
        <v>219</v>
      </c>
      <c r="D2352" s="13">
        <v>10</v>
      </c>
    </row>
    <row r="2353" spans="3:4" x14ac:dyDescent="0.2">
      <c r="C2353" t="s">
        <v>236</v>
      </c>
      <c r="D2353" s="13">
        <v>10</v>
      </c>
    </row>
    <row r="2354" spans="3:4" x14ac:dyDescent="0.2">
      <c r="C2354" t="s">
        <v>295</v>
      </c>
      <c r="D2354" s="13">
        <v>10</v>
      </c>
    </row>
    <row r="2355" spans="3:4" x14ac:dyDescent="0.2">
      <c r="C2355" t="s">
        <v>330</v>
      </c>
      <c r="D2355" s="13">
        <v>10</v>
      </c>
    </row>
    <row r="2356" spans="3:4" x14ac:dyDescent="0.2">
      <c r="C2356" t="s">
        <v>346</v>
      </c>
      <c r="D2356" s="13">
        <v>10</v>
      </c>
    </row>
    <row r="2357" spans="3:4" x14ac:dyDescent="0.2">
      <c r="C2357" t="s">
        <v>403</v>
      </c>
      <c r="D2357" s="13">
        <v>10</v>
      </c>
    </row>
    <row r="2358" spans="3:4" x14ac:dyDescent="0.2">
      <c r="C2358" t="s">
        <v>425</v>
      </c>
      <c r="D2358" s="13">
        <v>10</v>
      </c>
    </row>
    <row r="2359" spans="3:4" x14ac:dyDescent="0.2">
      <c r="C2359" t="s">
        <v>485</v>
      </c>
      <c r="D2359" s="13">
        <v>10</v>
      </c>
    </row>
    <row r="2360" spans="3:4" x14ac:dyDescent="0.2">
      <c r="C2360" t="s">
        <v>495</v>
      </c>
      <c r="D2360" s="13">
        <v>10</v>
      </c>
    </row>
    <row r="2361" spans="3:4" x14ac:dyDescent="0.2">
      <c r="C2361" t="s">
        <v>541</v>
      </c>
      <c r="D2361" s="13">
        <v>10</v>
      </c>
    </row>
    <row r="2362" spans="3:4" x14ac:dyDescent="0.2">
      <c r="C2362" t="s">
        <v>581</v>
      </c>
      <c r="D2362" s="13">
        <v>10</v>
      </c>
    </row>
    <row r="2363" spans="3:4" x14ac:dyDescent="0.2">
      <c r="C2363" t="s">
        <v>594</v>
      </c>
      <c r="D2363" s="13">
        <v>10</v>
      </c>
    </row>
    <row r="2364" spans="3:4" x14ac:dyDescent="0.2">
      <c r="C2364" t="s">
        <v>614</v>
      </c>
      <c r="D2364" s="13">
        <v>10</v>
      </c>
    </row>
    <row r="2365" spans="3:4" x14ac:dyDescent="0.2">
      <c r="C2365" t="s">
        <v>627</v>
      </c>
      <c r="D2365" s="13">
        <v>10</v>
      </c>
    </row>
    <row r="2366" spans="3:4" x14ac:dyDescent="0.2">
      <c r="C2366" t="s">
        <v>645</v>
      </c>
      <c r="D2366" s="13">
        <v>10</v>
      </c>
    </row>
    <row r="2367" spans="3:4" x14ac:dyDescent="0.2">
      <c r="C2367" t="s">
        <v>646</v>
      </c>
      <c r="D2367" s="13">
        <v>10</v>
      </c>
    </row>
    <row r="2368" spans="3:4" x14ac:dyDescent="0.2">
      <c r="C2368" t="s">
        <v>648</v>
      </c>
      <c r="D2368" s="13">
        <v>10</v>
      </c>
    </row>
    <row r="2369" spans="3:4" x14ac:dyDescent="0.2">
      <c r="C2369" t="s">
        <v>655</v>
      </c>
      <c r="D2369" s="13">
        <v>10</v>
      </c>
    </row>
    <row r="2370" spans="3:4" x14ac:dyDescent="0.2">
      <c r="C2370" t="s">
        <v>696</v>
      </c>
      <c r="D2370" s="13">
        <v>10</v>
      </c>
    </row>
    <row r="2371" spans="3:4" x14ac:dyDescent="0.2">
      <c r="C2371" t="s">
        <v>739</v>
      </c>
      <c r="D2371" s="13">
        <v>10</v>
      </c>
    </row>
    <row r="2372" spans="3:4" x14ac:dyDescent="0.2">
      <c r="C2372" t="s">
        <v>782</v>
      </c>
      <c r="D2372" s="13">
        <v>10</v>
      </c>
    </row>
    <row r="2373" spans="3:4" x14ac:dyDescent="0.2">
      <c r="C2373" t="s">
        <v>829</v>
      </c>
      <c r="D2373" s="13">
        <v>10</v>
      </c>
    </row>
    <row r="2374" spans="3:4" x14ac:dyDescent="0.2">
      <c r="C2374" t="s">
        <v>876</v>
      </c>
      <c r="D2374" s="13">
        <v>10</v>
      </c>
    </row>
    <row r="2375" spans="3:4" x14ac:dyDescent="0.2">
      <c r="C2375" t="s">
        <v>904</v>
      </c>
      <c r="D2375" s="13">
        <v>10</v>
      </c>
    </row>
    <row r="2376" spans="3:4" x14ac:dyDescent="0.2">
      <c r="C2376" t="s">
        <v>1013</v>
      </c>
      <c r="D2376" s="13">
        <v>10</v>
      </c>
    </row>
    <row r="2377" spans="3:4" x14ac:dyDescent="0.2">
      <c r="C2377" t="s">
        <v>1035</v>
      </c>
      <c r="D2377" s="13">
        <v>10</v>
      </c>
    </row>
    <row r="2378" spans="3:4" x14ac:dyDescent="0.2">
      <c r="C2378" t="s">
        <v>1090</v>
      </c>
      <c r="D2378" s="13">
        <v>10</v>
      </c>
    </row>
    <row r="2379" spans="3:4" x14ac:dyDescent="0.2">
      <c r="C2379" t="s">
        <v>1098</v>
      </c>
      <c r="D2379" s="13">
        <v>10</v>
      </c>
    </row>
    <row r="2380" spans="3:4" x14ac:dyDescent="0.2">
      <c r="C2380" t="s">
        <v>1144</v>
      </c>
      <c r="D2380" s="13">
        <v>10</v>
      </c>
    </row>
    <row r="2381" spans="3:4" x14ac:dyDescent="0.2">
      <c r="C2381" t="s">
        <v>1154</v>
      </c>
      <c r="D2381" s="13">
        <v>10</v>
      </c>
    </row>
    <row r="2382" spans="3:4" x14ac:dyDescent="0.2">
      <c r="C2382" t="s">
        <v>1156</v>
      </c>
      <c r="D2382" s="13">
        <v>10</v>
      </c>
    </row>
    <row r="2383" spans="3:4" x14ac:dyDescent="0.2">
      <c r="C2383" t="s">
        <v>1157</v>
      </c>
      <c r="D2383" s="13">
        <v>10</v>
      </c>
    </row>
    <row r="2384" spans="3:4" x14ac:dyDescent="0.2">
      <c r="C2384" t="s">
        <v>1189</v>
      </c>
      <c r="D2384" s="13">
        <v>10</v>
      </c>
    </row>
    <row r="2385" spans="3:4" x14ac:dyDescent="0.2">
      <c r="C2385" t="s">
        <v>1239</v>
      </c>
      <c r="D2385" s="13">
        <v>10</v>
      </c>
    </row>
    <row r="2386" spans="3:4" x14ac:dyDescent="0.2">
      <c r="C2386" t="s">
        <v>1249</v>
      </c>
      <c r="D2386" s="13">
        <v>10</v>
      </c>
    </row>
    <row r="2387" spans="3:4" x14ac:dyDescent="0.2">
      <c r="C2387" t="s">
        <v>1265</v>
      </c>
      <c r="D2387" s="13">
        <v>10</v>
      </c>
    </row>
    <row r="2388" spans="3:4" x14ac:dyDescent="0.2">
      <c r="C2388" t="s">
        <v>1294</v>
      </c>
      <c r="D2388" s="13">
        <v>10</v>
      </c>
    </row>
    <row r="2389" spans="3:4" x14ac:dyDescent="0.2">
      <c r="C2389" t="s">
        <v>1307</v>
      </c>
      <c r="D2389" s="13">
        <v>10</v>
      </c>
    </row>
    <row r="2390" spans="3:4" x14ac:dyDescent="0.2">
      <c r="C2390" t="s">
        <v>1331</v>
      </c>
      <c r="D2390" s="13">
        <v>10</v>
      </c>
    </row>
    <row r="2391" spans="3:4" x14ac:dyDescent="0.2">
      <c r="C2391" t="s">
        <v>1364</v>
      </c>
      <c r="D2391" s="13">
        <v>10</v>
      </c>
    </row>
    <row r="2392" spans="3:4" x14ac:dyDescent="0.2">
      <c r="C2392" t="s">
        <v>1452</v>
      </c>
      <c r="D2392" s="13">
        <v>10</v>
      </c>
    </row>
    <row r="2393" spans="3:4" x14ac:dyDescent="0.2">
      <c r="C2393" t="s">
        <v>1479</v>
      </c>
      <c r="D2393" s="13">
        <v>10</v>
      </c>
    </row>
    <row r="2394" spans="3:4" x14ac:dyDescent="0.2">
      <c r="C2394" t="s">
        <v>1498</v>
      </c>
      <c r="D2394" s="13">
        <v>10</v>
      </c>
    </row>
    <row r="2395" spans="3:4" x14ac:dyDescent="0.2">
      <c r="C2395" t="s">
        <v>1520</v>
      </c>
      <c r="D2395" s="13">
        <v>10</v>
      </c>
    </row>
    <row r="2396" spans="3:4" x14ac:dyDescent="0.2">
      <c r="C2396" t="s">
        <v>1585</v>
      </c>
      <c r="D2396" s="13">
        <v>10</v>
      </c>
    </row>
    <row r="2397" spans="3:4" x14ac:dyDescent="0.2">
      <c r="C2397" t="s">
        <v>1589</v>
      </c>
      <c r="D2397" s="13">
        <v>10</v>
      </c>
    </row>
    <row r="2398" spans="3:4" x14ac:dyDescent="0.2">
      <c r="C2398" t="s">
        <v>1619</v>
      </c>
      <c r="D2398" s="13">
        <v>10</v>
      </c>
    </row>
    <row r="2399" spans="3:4" x14ac:dyDescent="0.2">
      <c r="C2399" t="s">
        <v>1670</v>
      </c>
      <c r="D2399" s="13">
        <v>10</v>
      </c>
    </row>
    <row r="2400" spans="3:4" x14ac:dyDescent="0.2">
      <c r="C2400" t="s">
        <v>1743</v>
      </c>
      <c r="D2400" s="13">
        <v>10</v>
      </c>
    </row>
    <row r="2401" spans="3:4" x14ac:dyDescent="0.2">
      <c r="C2401" t="s">
        <v>1767</v>
      </c>
      <c r="D2401" s="13">
        <v>10</v>
      </c>
    </row>
    <row r="2402" spans="3:4" x14ac:dyDescent="0.2">
      <c r="C2402" t="s">
        <v>1790</v>
      </c>
      <c r="D2402" s="13">
        <v>10</v>
      </c>
    </row>
    <row r="2403" spans="3:4" x14ac:dyDescent="0.2">
      <c r="C2403" t="s">
        <v>1801</v>
      </c>
      <c r="D2403" s="13">
        <v>10</v>
      </c>
    </row>
    <row r="2404" spans="3:4" x14ac:dyDescent="0.2">
      <c r="C2404" t="s">
        <v>1805</v>
      </c>
      <c r="D2404" s="13">
        <v>10</v>
      </c>
    </row>
    <row r="2405" spans="3:4" x14ac:dyDescent="0.2">
      <c r="C2405" t="s">
        <v>1835</v>
      </c>
      <c r="D2405" s="13">
        <v>10</v>
      </c>
    </row>
    <row r="2406" spans="3:4" x14ac:dyDescent="0.2">
      <c r="C2406" t="s">
        <v>1843</v>
      </c>
      <c r="D2406" s="13">
        <v>10</v>
      </c>
    </row>
    <row r="2407" spans="3:4" x14ac:dyDescent="0.2">
      <c r="C2407" t="s">
        <v>1882</v>
      </c>
      <c r="D2407" s="13">
        <v>10</v>
      </c>
    </row>
    <row r="2408" spans="3:4" x14ac:dyDescent="0.2">
      <c r="C2408" t="s">
        <v>1908</v>
      </c>
      <c r="D2408" s="13">
        <v>10</v>
      </c>
    </row>
    <row r="2409" spans="3:4" x14ac:dyDescent="0.2">
      <c r="C2409" t="s">
        <v>1918</v>
      </c>
      <c r="D2409" s="13">
        <v>10</v>
      </c>
    </row>
    <row r="2410" spans="3:4" x14ac:dyDescent="0.2">
      <c r="C2410" t="s">
        <v>1953</v>
      </c>
      <c r="D2410" s="13">
        <v>10</v>
      </c>
    </row>
    <row r="2411" spans="3:4" x14ac:dyDescent="0.2">
      <c r="C2411" t="s">
        <v>1955</v>
      </c>
      <c r="D2411" s="13">
        <v>10</v>
      </c>
    </row>
    <row r="2412" spans="3:4" x14ac:dyDescent="0.2">
      <c r="C2412" t="s">
        <v>1989</v>
      </c>
      <c r="D2412" s="13">
        <v>10</v>
      </c>
    </row>
    <row r="2413" spans="3:4" x14ac:dyDescent="0.2">
      <c r="C2413" t="s">
        <v>2065</v>
      </c>
      <c r="D2413" s="13">
        <v>10</v>
      </c>
    </row>
    <row r="2414" spans="3:4" x14ac:dyDescent="0.2">
      <c r="C2414" t="s">
        <v>2086</v>
      </c>
      <c r="D2414" s="13">
        <v>10</v>
      </c>
    </row>
    <row r="2415" spans="3:4" x14ac:dyDescent="0.2">
      <c r="C2415" t="s">
        <v>2104</v>
      </c>
      <c r="D2415" s="13">
        <v>10</v>
      </c>
    </row>
    <row r="2416" spans="3:4" x14ac:dyDescent="0.2">
      <c r="C2416" t="s">
        <v>2189</v>
      </c>
      <c r="D2416" s="13">
        <v>10</v>
      </c>
    </row>
    <row r="2417" spans="3:4" x14ac:dyDescent="0.2">
      <c r="C2417" t="s">
        <v>2195</v>
      </c>
      <c r="D2417" s="13">
        <v>10</v>
      </c>
    </row>
    <row r="2418" spans="3:4" x14ac:dyDescent="0.2">
      <c r="C2418" t="s">
        <v>2205</v>
      </c>
      <c r="D2418" s="13">
        <v>10</v>
      </c>
    </row>
    <row r="2419" spans="3:4" x14ac:dyDescent="0.2">
      <c r="C2419" t="s">
        <v>2260</v>
      </c>
      <c r="D2419" s="13">
        <v>10</v>
      </c>
    </row>
    <row r="2420" spans="3:4" x14ac:dyDescent="0.2">
      <c r="C2420" t="s">
        <v>2266</v>
      </c>
      <c r="D2420" s="13">
        <v>10</v>
      </c>
    </row>
    <row r="2421" spans="3:4" x14ac:dyDescent="0.2">
      <c r="C2421" t="s">
        <v>2335</v>
      </c>
      <c r="D2421" s="13">
        <v>10</v>
      </c>
    </row>
    <row r="2422" spans="3:4" x14ac:dyDescent="0.2">
      <c r="C2422" t="s">
        <v>2473</v>
      </c>
      <c r="D2422" s="13">
        <v>10</v>
      </c>
    </row>
    <row r="2423" spans="3:4" x14ac:dyDescent="0.2">
      <c r="C2423" t="s">
        <v>2539</v>
      </c>
      <c r="D2423" s="13">
        <v>10</v>
      </c>
    </row>
    <row r="2424" spans="3:4" x14ac:dyDescent="0.2">
      <c r="C2424" t="s">
        <v>2543</v>
      </c>
      <c r="D2424" s="13">
        <v>10</v>
      </c>
    </row>
    <row r="2425" spans="3:4" x14ac:dyDescent="0.2">
      <c r="C2425" t="s">
        <v>2633</v>
      </c>
      <c r="D2425" s="13">
        <v>10</v>
      </c>
    </row>
    <row r="2426" spans="3:4" x14ac:dyDescent="0.2">
      <c r="C2426" t="s">
        <v>2649</v>
      </c>
      <c r="D2426" s="13">
        <v>10</v>
      </c>
    </row>
    <row r="2427" spans="3:4" x14ac:dyDescent="0.2">
      <c r="C2427" t="s">
        <v>2724</v>
      </c>
      <c r="D2427" s="13">
        <v>10</v>
      </c>
    </row>
    <row r="2428" spans="3:4" x14ac:dyDescent="0.2">
      <c r="C2428" t="s">
        <v>2726</v>
      </c>
      <c r="D2428" s="13">
        <v>10</v>
      </c>
    </row>
    <row r="2429" spans="3:4" x14ac:dyDescent="0.2">
      <c r="C2429" t="s">
        <v>2732</v>
      </c>
      <c r="D2429" s="13">
        <v>10</v>
      </c>
    </row>
    <row r="2430" spans="3:4" x14ac:dyDescent="0.2">
      <c r="C2430" t="s">
        <v>2763</v>
      </c>
      <c r="D2430" s="13">
        <v>10</v>
      </c>
    </row>
    <row r="2431" spans="3:4" x14ac:dyDescent="0.2">
      <c r="C2431" t="s">
        <v>2767</v>
      </c>
      <c r="D2431" s="13">
        <v>10</v>
      </c>
    </row>
    <row r="2432" spans="3:4" x14ac:dyDescent="0.2">
      <c r="C2432" t="s">
        <v>2808</v>
      </c>
      <c r="D2432" s="13">
        <v>10</v>
      </c>
    </row>
    <row r="2433" spans="3:4" x14ac:dyDescent="0.2">
      <c r="C2433" t="s">
        <v>2812</v>
      </c>
      <c r="D2433" s="13">
        <v>10</v>
      </c>
    </row>
    <row r="2434" spans="3:4" x14ac:dyDescent="0.2">
      <c r="C2434" t="s">
        <v>2851</v>
      </c>
      <c r="D2434" s="13">
        <v>10</v>
      </c>
    </row>
    <row r="2435" spans="3:4" x14ac:dyDescent="0.2">
      <c r="C2435" t="s">
        <v>2868</v>
      </c>
      <c r="D2435" s="13">
        <v>10</v>
      </c>
    </row>
    <row r="2436" spans="3:4" x14ac:dyDescent="0.2">
      <c r="C2436" t="s">
        <v>2893</v>
      </c>
      <c r="D2436" s="13">
        <v>10</v>
      </c>
    </row>
    <row r="2437" spans="3:4" x14ac:dyDescent="0.2">
      <c r="C2437" t="s">
        <v>2920</v>
      </c>
      <c r="D2437" s="13">
        <v>10</v>
      </c>
    </row>
    <row r="2438" spans="3:4" x14ac:dyDescent="0.2">
      <c r="C2438" t="s">
        <v>3032</v>
      </c>
      <c r="D2438" s="13">
        <v>10</v>
      </c>
    </row>
    <row r="2439" spans="3:4" x14ac:dyDescent="0.2">
      <c r="C2439" t="s">
        <v>3049</v>
      </c>
      <c r="D2439" s="13">
        <v>10</v>
      </c>
    </row>
    <row r="2440" spans="3:4" x14ac:dyDescent="0.2">
      <c r="C2440" t="s">
        <v>3127</v>
      </c>
      <c r="D2440" s="13">
        <v>10</v>
      </c>
    </row>
    <row r="2441" spans="3:4" x14ac:dyDescent="0.2">
      <c r="C2441" t="s">
        <v>3206</v>
      </c>
      <c r="D2441" s="13">
        <v>10</v>
      </c>
    </row>
    <row r="2442" spans="3:4" x14ac:dyDescent="0.2">
      <c r="C2442" t="s">
        <v>3228</v>
      </c>
      <c r="D2442" s="13">
        <v>10</v>
      </c>
    </row>
    <row r="2443" spans="3:4" x14ac:dyDescent="0.2">
      <c r="C2443" t="s">
        <v>3230</v>
      </c>
      <c r="D2443" s="13">
        <v>10</v>
      </c>
    </row>
    <row r="2444" spans="3:4" x14ac:dyDescent="0.2">
      <c r="C2444" t="s">
        <v>3240</v>
      </c>
      <c r="D2444" s="13">
        <v>10</v>
      </c>
    </row>
    <row r="2445" spans="3:4" x14ac:dyDescent="0.2">
      <c r="C2445" t="s">
        <v>3246</v>
      </c>
      <c r="D2445" s="13">
        <v>10</v>
      </c>
    </row>
    <row r="2446" spans="3:4" x14ac:dyDescent="0.2">
      <c r="C2446" t="s">
        <v>3252</v>
      </c>
      <c r="D2446" s="13">
        <v>10</v>
      </c>
    </row>
    <row r="2447" spans="3:4" x14ac:dyDescent="0.2">
      <c r="C2447" t="s">
        <v>3254</v>
      </c>
      <c r="D2447" s="13">
        <v>10</v>
      </c>
    </row>
    <row r="2448" spans="3:4" x14ac:dyDescent="0.2">
      <c r="C2448" t="s">
        <v>3416</v>
      </c>
      <c r="D2448" s="13">
        <v>10</v>
      </c>
    </row>
    <row r="2449" spans="3:4" x14ac:dyDescent="0.2">
      <c r="C2449" t="s">
        <v>3435</v>
      </c>
      <c r="D2449" s="13">
        <v>10</v>
      </c>
    </row>
    <row r="2450" spans="3:4" x14ac:dyDescent="0.2">
      <c r="C2450" t="s">
        <v>3453</v>
      </c>
      <c r="D2450" s="13">
        <v>10</v>
      </c>
    </row>
    <row r="2451" spans="3:4" x14ac:dyDescent="0.2">
      <c r="C2451" t="s">
        <v>3455</v>
      </c>
      <c r="D2451" s="13">
        <v>10</v>
      </c>
    </row>
    <row r="2452" spans="3:4" x14ac:dyDescent="0.2">
      <c r="C2452" t="s">
        <v>3459</v>
      </c>
      <c r="D2452" s="13">
        <v>10</v>
      </c>
    </row>
    <row r="2453" spans="3:4" x14ac:dyDescent="0.2">
      <c r="C2453" t="s">
        <v>3503</v>
      </c>
      <c r="D2453" s="13">
        <v>10</v>
      </c>
    </row>
    <row r="2454" spans="3:4" x14ac:dyDescent="0.2">
      <c r="C2454" t="s">
        <v>3557</v>
      </c>
      <c r="D2454" s="13">
        <v>10</v>
      </c>
    </row>
    <row r="2455" spans="3:4" x14ac:dyDescent="0.2">
      <c r="C2455" t="s">
        <v>3604</v>
      </c>
      <c r="D2455" s="13">
        <v>10</v>
      </c>
    </row>
    <row r="2456" spans="3:4" x14ac:dyDescent="0.2">
      <c r="C2456" t="s">
        <v>3625</v>
      </c>
      <c r="D2456" s="13">
        <v>10</v>
      </c>
    </row>
    <row r="2457" spans="3:4" x14ac:dyDescent="0.2">
      <c r="C2457" t="s">
        <v>3658</v>
      </c>
      <c r="D2457" s="13">
        <v>10</v>
      </c>
    </row>
    <row r="2458" spans="3:4" x14ac:dyDescent="0.2">
      <c r="C2458" t="s">
        <v>3697</v>
      </c>
      <c r="D2458" s="13">
        <v>10</v>
      </c>
    </row>
    <row r="2459" spans="3:4" x14ac:dyDescent="0.2">
      <c r="C2459" t="s">
        <v>3809</v>
      </c>
      <c r="D2459" s="13">
        <v>10</v>
      </c>
    </row>
    <row r="2460" spans="3:4" x14ac:dyDescent="0.2">
      <c r="C2460" t="s">
        <v>3840</v>
      </c>
      <c r="D2460" s="13">
        <v>10</v>
      </c>
    </row>
    <row r="2461" spans="3:4" x14ac:dyDescent="0.2">
      <c r="C2461" t="s">
        <v>3869</v>
      </c>
      <c r="D2461" s="13">
        <v>10</v>
      </c>
    </row>
    <row r="2462" spans="3:4" x14ac:dyDescent="0.2">
      <c r="C2462" t="s">
        <v>3897</v>
      </c>
      <c r="D2462" s="13">
        <v>10</v>
      </c>
    </row>
    <row r="2463" spans="3:4" x14ac:dyDescent="0.2">
      <c r="C2463" t="s">
        <v>3903</v>
      </c>
      <c r="D2463" s="13">
        <v>10</v>
      </c>
    </row>
    <row r="2464" spans="3:4" x14ac:dyDescent="0.2">
      <c r="C2464" t="s">
        <v>3905</v>
      </c>
      <c r="D2464" s="13">
        <v>10</v>
      </c>
    </row>
    <row r="2465" spans="3:4" x14ac:dyDescent="0.2">
      <c r="C2465" t="s">
        <v>3950</v>
      </c>
      <c r="D2465" s="13">
        <v>10</v>
      </c>
    </row>
    <row r="2466" spans="3:4" x14ac:dyDescent="0.2">
      <c r="C2466" t="s">
        <v>4023</v>
      </c>
      <c r="D2466" s="13">
        <v>10</v>
      </c>
    </row>
    <row r="2467" spans="3:4" x14ac:dyDescent="0.2">
      <c r="C2467" t="s">
        <v>4125</v>
      </c>
      <c r="D2467" s="13">
        <v>10</v>
      </c>
    </row>
    <row r="2468" spans="3:4" x14ac:dyDescent="0.2">
      <c r="C2468" t="s">
        <v>4243</v>
      </c>
      <c r="D2468" s="13">
        <v>10</v>
      </c>
    </row>
    <row r="2469" spans="3:4" x14ac:dyDescent="0.2">
      <c r="C2469" t="s">
        <v>4382</v>
      </c>
      <c r="D2469" s="13">
        <v>10</v>
      </c>
    </row>
    <row r="2470" spans="3:4" x14ac:dyDescent="0.2">
      <c r="C2470" t="s">
        <v>4386</v>
      </c>
      <c r="D2470" s="13">
        <v>10</v>
      </c>
    </row>
    <row r="2471" spans="3:4" x14ac:dyDescent="0.2">
      <c r="C2471" t="s">
        <v>4419</v>
      </c>
      <c r="D2471" s="13">
        <v>10</v>
      </c>
    </row>
    <row r="2472" spans="3:4" x14ac:dyDescent="0.2">
      <c r="C2472" t="s">
        <v>4429</v>
      </c>
      <c r="D2472" s="13">
        <v>10</v>
      </c>
    </row>
    <row r="2473" spans="3:4" x14ac:dyDescent="0.2">
      <c r="C2473" t="s">
        <v>4444</v>
      </c>
      <c r="D2473" s="13">
        <v>10</v>
      </c>
    </row>
    <row r="2474" spans="3:4" x14ac:dyDescent="0.2">
      <c r="C2474" t="s">
        <v>4461</v>
      </c>
      <c r="D2474" s="13">
        <v>10</v>
      </c>
    </row>
    <row r="2475" spans="3:4" x14ac:dyDescent="0.2">
      <c r="C2475" t="s">
        <v>4479</v>
      </c>
      <c r="D2475" s="13">
        <v>10</v>
      </c>
    </row>
    <row r="2476" spans="3:4" x14ac:dyDescent="0.2">
      <c r="C2476" t="s">
        <v>4486</v>
      </c>
      <c r="D2476" s="13">
        <v>10</v>
      </c>
    </row>
    <row r="2477" spans="3:4" x14ac:dyDescent="0.2">
      <c r="C2477" t="s">
        <v>4540</v>
      </c>
      <c r="D2477" s="13">
        <v>10</v>
      </c>
    </row>
    <row r="2478" spans="3:4" x14ac:dyDescent="0.2">
      <c r="C2478" t="s">
        <v>4566</v>
      </c>
      <c r="D2478" s="13">
        <v>10</v>
      </c>
    </row>
    <row r="2479" spans="3:4" x14ac:dyDescent="0.2">
      <c r="C2479" t="s">
        <v>4572</v>
      </c>
      <c r="D2479" s="13">
        <v>10</v>
      </c>
    </row>
    <row r="2480" spans="3:4" x14ac:dyDescent="0.2">
      <c r="C2480" t="s">
        <v>4602</v>
      </c>
      <c r="D2480" s="13">
        <v>10</v>
      </c>
    </row>
    <row r="2481" spans="3:4" x14ac:dyDescent="0.2">
      <c r="C2481" t="s">
        <v>4607</v>
      </c>
      <c r="D2481" s="13">
        <v>10</v>
      </c>
    </row>
    <row r="2482" spans="3:4" x14ac:dyDescent="0.2">
      <c r="C2482" t="s">
        <v>4611</v>
      </c>
      <c r="D2482" s="13">
        <v>10</v>
      </c>
    </row>
    <row r="2483" spans="3:4" x14ac:dyDescent="0.2">
      <c r="C2483" t="s">
        <v>4727</v>
      </c>
      <c r="D2483" s="13">
        <v>10</v>
      </c>
    </row>
    <row r="2484" spans="3:4" x14ac:dyDescent="0.2">
      <c r="C2484" t="s">
        <v>4760</v>
      </c>
      <c r="D2484" s="13">
        <v>10</v>
      </c>
    </row>
    <row r="2485" spans="3:4" x14ac:dyDescent="0.2">
      <c r="C2485" t="s">
        <v>4783</v>
      </c>
      <c r="D2485" s="13">
        <v>10</v>
      </c>
    </row>
    <row r="2486" spans="3:4" x14ac:dyDescent="0.2">
      <c r="C2486" t="s">
        <v>4797</v>
      </c>
      <c r="D2486" s="13">
        <v>10</v>
      </c>
    </row>
    <row r="2487" spans="3:4" x14ac:dyDescent="0.2">
      <c r="C2487" t="s">
        <v>4829</v>
      </c>
      <c r="D2487" s="13">
        <v>10</v>
      </c>
    </row>
    <row r="2488" spans="3:4" x14ac:dyDescent="0.2">
      <c r="C2488" t="s">
        <v>4842</v>
      </c>
      <c r="D2488" s="13">
        <v>10</v>
      </c>
    </row>
    <row r="2489" spans="3:4" x14ac:dyDescent="0.2">
      <c r="C2489" t="s">
        <v>4860</v>
      </c>
      <c r="D2489" s="13">
        <v>10</v>
      </c>
    </row>
    <row r="2490" spans="3:4" x14ac:dyDescent="0.2">
      <c r="C2490" t="s">
        <v>4900</v>
      </c>
      <c r="D2490" s="13">
        <v>10</v>
      </c>
    </row>
    <row r="2491" spans="3:4" x14ac:dyDescent="0.2">
      <c r="C2491" t="s">
        <v>4904</v>
      </c>
      <c r="D2491" s="13">
        <v>10</v>
      </c>
    </row>
    <row r="2492" spans="3:4" x14ac:dyDescent="0.2">
      <c r="C2492" t="s">
        <v>4923</v>
      </c>
      <c r="D2492" s="13">
        <v>10</v>
      </c>
    </row>
    <row r="2493" spans="3:4" x14ac:dyDescent="0.2">
      <c r="C2493" t="s">
        <v>4990</v>
      </c>
      <c r="D2493" s="13">
        <v>10</v>
      </c>
    </row>
    <row r="2494" spans="3:4" x14ac:dyDescent="0.2">
      <c r="C2494" t="s">
        <v>5003</v>
      </c>
      <c r="D2494" s="13">
        <v>10</v>
      </c>
    </row>
    <row r="2495" spans="3:4" x14ac:dyDescent="0.2">
      <c r="C2495" t="s">
        <v>5019</v>
      </c>
      <c r="D2495" s="13">
        <v>10</v>
      </c>
    </row>
    <row r="2496" spans="3:4" x14ac:dyDescent="0.2">
      <c r="C2496" t="s">
        <v>5034</v>
      </c>
      <c r="D2496" s="13">
        <v>10</v>
      </c>
    </row>
    <row r="2497" spans="3:4" x14ac:dyDescent="0.2">
      <c r="C2497" t="s">
        <v>5044</v>
      </c>
      <c r="D2497" s="13">
        <v>10</v>
      </c>
    </row>
    <row r="2498" spans="3:4" x14ac:dyDescent="0.2">
      <c r="C2498" t="s">
        <v>5090</v>
      </c>
      <c r="D2498" s="13">
        <v>10</v>
      </c>
    </row>
    <row r="2499" spans="3:4" x14ac:dyDescent="0.2">
      <c r="C2499" t="s">
        <v>5129</v>
      </c>
      <c r="D2499" s="13">
        <v>10</v>
      </c>
    </row>
    <row r="2500" spans="3:4" x14ac:dyDescent="0.2">
      <c r="C2500" t="s">
        <v>5184</v>
      </c>
      <c r="D2500" s="13">
        <v>10</v>
      </c>
    </row>
    <row r="2501" spans="3:4" x14ac:dyDescent="0.2">
      <c r="C2501" t="s">
        <v>5257</v>
      </c>
      <c r="D2501" s="13">
        <v>10</v>
      </c>
    </row>
    <row r="2502" spans="3:4" x14ac:dyDescent="0.2">
      <c r="C2502" t="s">
        <v>5405</v>
      </c>
      <c r="D2502" s="13">
        <v>10</v>
      </c>
    </row>
    <row r="2503" spans="3:4" x14ac:dyDescent="0.2">
      <c r="C2503" t="s">
        <v>5434</v>
      </c>
      <c r="D2503" s="13">
        <v>10</v>
      </c>
    </row>
    <row r="2504" spans="3:4" x14ac:dyDescent="0.2">
      <c r="C2504" t="s">
        <v>5438</v>
      </c>
      <c r="D2504" s="13">
        <v>10</v>
      </c>
    </row>
    <row r="2505" spans="3:4" x14ac:dyDescent="0.2">
      <c r="C2505" t="s">
        <v>5480</v>
      </c>
      <c r="D2505" s="13">
        <v>10</v>
      </c>
    </row>
    <row r="2506" spans="3:4" x14ac:dyDescent="0.2">
      <c r="C2506" t="s">
        <v>5500</v>
      </c>
      <c r="D2506" s="13">
        <v>10</v>
      </c>
    </row>
    <row r="2507" spans="3:4" x14ac:dyDescent="0.2">
      <c r="C2507" t="s">
        <v>5526</v>
      </c>
      <c r="D2507" s="13">
        <v>10</v>
      </c>
    </row>
    <row r="2508" spans="3:4" x14ac:dyDescent="0.2">
      <c r="C2508" t="s">
        <v>5530</v>
      </c>
      <c r="D2508" s="13">
        <v>10</v>
      </c>
    </row>
    <row r="2509" spans="3:4" x14ac:dyDescent="0.2">
      <c r="C2509" t="s">
        <v>5542</v>
      </c>
      <c r="D2509" s="13">
        <v>10</v>
      </c>
    </row>
    <row r="2510" spans="3:4" x14ac:dyDescent="0.2">
      <c r="C2510" t="s">
        <v>5562</v>
      </c>
      <c r="D2510" s="13">
        <v>10</v>
      </c>
    </row>
    <row r="2511" spans="3:4" x14ac:dyDescent="0.2">
      <c r="C2511" t="s">
        <v>5613</v>
      </c>
      <c r="D2511" s="13">
        <v>10</v>
      </c>
    </row>
    <row r="2512" spans="3:4" x14ac:dyDescent="0.2">
      <c r="C2512" t="s">
        <v>5651</v>
      </c>
      <c r="D2512" s="13">
        <v>10</v>
      </c>
    </row>
    <row r="2513" spans="3:4" x14ac:dyDescent="0.2">
      <c r="C2513" t="s">
        <v>5760</v>
      </c>
      <c r="D2513" s="13">
        <v>10</v>
      </c>
    </row>
    <row r="2514" spans="3:4" x14ac:dyDescent="0.2">
      <c r="C2514" t="s">
        <v>5768</v>
      </c>
      <c r="D2514" s="13">
        <v>10</v>
      </c>
    </row>
    <row r="2515" spans="3:4" x14ac:dyDescent="0.2">
      <c r="C2515" t="s">
        <v>5817</v>
      </c>
      <c r="D2515" s="13">
        <v>10</v>
      </c>
    </row>
    <row r="2516" spans="3:4" x14ac:dyDescent="0.2">
      <c r="C2516" t="s">
        <v>5821</v>
      </c>
      <c r="D2516" s="13">
        <v>10</v>
      </c>
    </row>
    <row r="2517" spans="3:4" x14ac:dyDescent="0.2">
      <c r="C2517" t="s">
        <v>5845</v>
      </c>
      <c r="D2517" s="13">
        <v>10</v>
      </c>
    </row>
    <row r="2518" spans="3:4" x14ac:dyDescent="0.2">
      <c r="C2518" t="s">
        <v>5857</v>
      </c>
      <c r="D2518" s="13">
        <v>10</v>
      </c>
    </row>
    <row r="2519" spans="3:4" x14ac:dyDescent="0.2">
      <c r="C2519" t="s">
        <v>5970</v>
      </c>
      <c r="D2519" s="13">
        <v>10</v>
      </c>
    </row>
    <row r="2520" spans="3:4" x14ac:dyDescent="0.2">
      <c r="C2520" t="s">
        <v>6003</v>
      </c>
      <c r="D2520" s="13">
        <v>10</v>
      </c>
    </row>
    <row r="2521" spans="3:4" x14ac:dyDescent="0.2">
      <c r="C2521" t="s">
        <v>6038</v>
      </c>
      <c r="D2521" s="13">
        <v>10</v>
      </c>
    </row>
    <row r="2522" spans="3:4" x14ac:dyDescent="0.2">
      <c r="C2522" t="s">
        <v>6040</v>
      </c>
      <c r="D2522" s="13">
        <v>10</v>
      </c>
    </row>
    <row r="2523" spans="3:4" x14ac:dyDescent="0.2">
      <c r="C2523" t="s">
        <v>6095</v>
      </c>
      <c r="D2523" s="13">
        <v>10</v>
      </c>
    </row>
    <row r="2524" spans="3:4" x14ac:dyDescent="0.2">
      <c r="C2524" t="s">
        <v>6130</v>
      </c>
      <c r="D2524" s="13">
        <v>10</v>
      </c>
    </row>
    <row r="2525" spans="3:4" x14ac:dyDescent="0.2">
      <c r="C2525" t="s">
        <v>6142</v>
      </c>
      <c r="D2525" s="13">
        <v>10</v>
      </c>
    </row>
    <row r="2526" spans="3:4" x14ac:dyDescent="0.2">
      <c r="C2526" t="s">
        <v>6150</v>
      </c>
      <c r="D2526" s="13">
        <v>10</v>
      </c>
    </row>
    <row r="2527" spans="3:4" x14ac:dyDescent="0.2">
      <c r="C2527" t="s">
        <v>6228</v>
      </c>
      <c r="D2527" s="13">
        <v>10</v>
      </c>
    </row>
    <row r="2528" spans="3:4" x14ac:dyDescent="0.2">
      <c r="C2528" t="s">
        <v>6466</v>
      </c>
      <c r="D2528" s="13">
        <v>10</v>
      </c>
    </row>
    <row r="2529" spans="3:4" x14ac:dyDescent="0.2">
      <c r="C2529" t="s">
        <v>6479</v>
      </c>
      <c r="D2529" s="13">
        <v>10</v>
      </c>
    </row>
    <row r="2530" spans="3:4" x14ac:dyDescent="0.2">
      <c r="C2530" t="s">
        <v>6509</v>
      </c>
      <c r="D2530" s="13">
        <v>10</v>
      </c>
    </row>
    <row r="2531" spans="3:4" x14ac:dyDescent="0.2">
      <c r="C2531" t="s">
        <v>6511</v>
      </c>
      <c r="D2531" s="13">
        <v>10</v>
      </c>
    </row>
    <row r="2532" spans="3:4" x14ac:dyDescent="0.2">
      <c r="C2532" t="s">
        <v>6567</v>
      </c>
      <c r="D2532" s="13">
        <v>10</v>
      </c>
    </row>
    <row r="2533" spans="3:4" x14ac:dyDescent="0.2">
      <c r="C2533" t="s">
        <v>6669</v>
      </c>
      <c r="D2533" s="13">
        <v>10</v>
      </c>
    </row>
    <row r="2534" spans="3:4" x14ac:dyDescent="0.2">
      <c r="C2534" t="s">
        <v>6702</v>
      </c>
      <c r="D2534" s="13">
        <v>10</v>
      </c>
    </row>
    <row r="2535" spans="3:4" x14ac:dyDescent="0.2">
      <c r="C2535" t="s">
        <v>6714</v>
      </c>
      <c r="D2535" s="13">
        <v>10</v>
      </c>
    </row>
    <row r="2536" spans="3:4" x14ac:dyDescent="0.2">
      <c r="C2536" t="s">
        <v>6754</v>
      </c>
      <c r="D2536" s="13">
        <v>10</v>
      </c>
    </row>
    <row r="2537" spans="3:4" x14ac:dyDescent="0.2">
      <c r="C2537" t="s">
        <v>6807</v>
      </c>
      <c r="D2537" s="13">
        <v>10</v>
      </c>
    </row>
    <row r="2538" spans="3:4" x14ac:dyDescent="0.2">
      <c r="C2538" t="s">
        <v>6852</v>
      </c>
      <c r="D2538" s="13">
        <v>10</v>
      </c>
    </row>
    <row r="2539" spans="3:4" x14ac:dyDescent="0.2">
      <c r="C2539" t="s">
        <v>6856</v>
      </c>
      <c r="D2539" s="13">
        <v>10</v>
      </c>
    </row>
    <row r="2540" spans="3:4" x14ac:dyDescent="0.2">
      <c r="C2540" t="s">
        <v>6906</v>
      </c>
      <c r="D2540" s="13">
        <v>10</v>
      </c>
    </row>
    <row r="2541" spans="3:4" x14ac:dyDescent="0.2">
      <c r="C2541" t="s">
        <v>6919</v>
      </c>
      <c r="D2541" s="13">
        <v>10</v>
      </c>
    </row>
    <row r="2542" spans="3:4" x14ac:dyDescent="0.2">
      <c r="C2542" t="s">
        <v>6985</v>
      </c>
      <c r="D2542" s="13">
        <v>10</v>
      </c>
    </row>
    <row r="2543" spans="3:4" x14ac:dyDescent="0.2">
      <c r="C2543" t="s">
        <v>7158</v>
      </c>
      <c r="D2543" s="13">
        <v>10</v>
      </c>
    </row>
    <row r="2544" spans="3:4" x14ac:dyDescent="0.2">
      <c r="C2544" t="s">
        <v>7160</v>
      </c>
      <c r="D2544" s="13">
        <v>10</v>
      </c>
    </row>
    <row r="2545" spans="3:4" x14ac:dyDescent="0.2">
      <c r="C2545" t="s">
        <v>7253</v>
      </c>
      <c r="D2545" s="13">
        <v>10</v>
      </c>
    </row>
    <row r="2546" spans="3:4" x14ac:dyDescent="0.2">
      <c r="C2546" t="s">
        <v>7266</v>
      </c>
      <c r="D2546" s="13">
        <v>10</v>
      </c>
    </row>
    <row r="2547" spans="3:4" x14ac:dyDescent="0.2">
      <c r="C2547" t="s">
        <v>7338</v>
      </c>
      <c r="D2547" s="13">
        <v>10</v>
      </c>
    </row>
    <row r="2548" spans="3:4" x14ac:dyDescent="0.2">
      <c r="C2548" t="s">
        <v>7352</v>
      </c>
      <c r="D2548" s="13">
        <v>10</v>
      </c>
    </row>
    <row r="2549" spans="3:4" x14ac:dyDescent="0.2">
      <c r="C2549" t="s">
        <v>7366</v>
      </c>
      <c r="D2549" s="13">
        <v>10</v>
      </c>
    </row>
    <row r="2550" spans="3:4" x14ac:dyDescent="0.2">
      <c r="C2550" t="s">
        <v>7391</v>
      </c>
      <c r="D2550" s="13">
        <v>10</v>
      </c>
    </row>
    <row r="2551" spans="3:4" x14ac:dyDescent="0.2">
      <c r="C2551" t="s">
        <v>7483</v>
      </c>
      <c r="D2551" s="13">
        <v>10</v>
      </c>
    </row>
    <row r="2552" spans="3:4" x14ac:dyDescent="0.2">
      <c r="C2552" t="s">
        <v>7558</v>
      </c>
      <c r="D2552" s="13">
        <v>10</v>
      </c>
    </row>
    <row r="2553" spans="3:4" x14ac:dyDescent="0.2">
      <c r="C2553" t="s">
        <v>7649</v>
      </c>
      <c r="D2553" s="13">
        <v>10</v>
      </c>
    </row>
    <row r="2554" spans="3:4" x14ac:dyDescent="0.2">
      <c r="C2554" t="s">
        <v>7666</v>
      </c>
      <c r="D2554" s="13">
        <v>10</v>
      </c>
    </row>
    <row r="2555" spans="3:4" x14ac:dyDescent="0.2">
      <c r="C2555" t="s">
        <v>7682</v>
      </c>
      <c r="D2555" s="13">
        <v>10</v>
      </c>
    </row>
    <row r="2556" spans="3:4" x14ac:dyDescent="0.2">
      <c r="C2556" t="s">
        <v>7737</v>
      </c>
      <c r="D2556" s="13">
        <v>10</v>
      </c>
    </row>
    <row r="2557" spans="3:4" x14ac:dyDescent="0.2">
      <c r="C2557" t="s">
        <v>7741</v>
      </c>
      <c r="D2557" s="13">
        <v>10</v>
      </c>
    </row>
    <row r="2558" spans="3:4" x14ac:dyDescent="0.2">
      <c r="C2558" t="s">
        <v>7817</v>
      </c>
      <c r="D2558" s="13">
        <v>10</v>
      </c>
    </row>
    <row r="2559" spans="3:4" x14ac:dyDescent="0.2">
      <c r="C2559" t="s">
        <v>7894</v>
      </c>
      <c r="D2559" s="13">
        <v>10</v>
      </c>
    </row>
    <row r="2560" spans="3:4" x14ac:dyDescent="0.2">
      <c r="C2560" t="s">
        <v>7902</v>
      </c>
      <c r="D2560" s="13">
        <v>10</v>
      </c>
    </row>
    <row r="2561" spans="3:4" x14ac:dyDescent="0.2">
      <c r="C2561" t="s">
        <v>7985</v>
      </c>
      <c r="D2561" s="13">
        <v>10</v>
      </c>
    </row>
    <row r="2562" spans="3:4" x14ac:dyDescent="0.2">
      <c r="C2562" t="s">
        <v>8003</v>
      </c>
      <c r="D2562" s="13">
        <v>10</v>
      </c>
    </row>
    <row r="2563" spans="3:4" x14ac:dyDescent="0.2">
      <c r="C2563" t="s">
        <v>8011</v>
      </c>
      <c r="D2563" s="13">
        <v>10</v>
      </c>
    </row>
    <row r="2564" spans="3:4" x14ac:dyDescent="0.2">
      <c r="C2564" t="s">
        <v>8025</v>
      </c>
      <c r="D2564" s="13">
        <v>10</v>
      </c>
    </row>
    <row r="2565" spans="3:4" x14ac:dyDescent="0.2">
      <c r="C2565" t="s">
        <v>8041</v>
      </c>
      <c r="D2565" s="13">
        <v>10</v>
      </c>
    </row>
    <row r="2566" spans="3:4" x14ac:dyDescent="0.2">
      <c r="C2566" t="s">
        <v>8047</v>
      </c>
      <c r="D2566" s="13">
        <v>10</v>
      </c>
    </row>
    <row r="2567" spans="3:4" x14ac:dyDescent="0.2">
      <c r="C2567" t="s">
        <v>8057</v>
      </c>
      <c r="D2567" s="13">
        <v>10</v>
      </c>
    </row>
    <row r="2568" spans="3:4" x14ac:dyDescent="0.2">
      <c r="C2568" t="s">
        <v>8075</v>
      </c>
      <c r="D2568" s="13">
        <v>10</v>
      </c>
    </row>
    <row r="2569" spans="3:4" x14ac:dyDescent="0.2">
      <c r="C2569" t="s">
        <v>8098</v>
      </c>
      <c r="D2569" s="13">
        <v>10</v>
      </c>
    </row>
    <row r="2570" spans="3:4" x14ac:dyDescent="0.2">
      <c r="C2570" t="s">
        <v>8127</v>
      </c>
      <c r="D2570" s="13">
        <v>10</v>
      </c>
    </row>
    <row r="2571" spans="3:4" x14ac:dyDescent="0.2">
      <c r="C2571" t="s">
        <v>8165</v>
      </c>
      <c r="D2571" s="13">
        <v>10</v>
      </c>
    </row>
    <row r="2572" spans="3:4" x14ac:dyDescent="0.2">
      <c r="C2572" t="s">
        <v>8243</v>
      </c>
      <c r="D2572" s="13">
        <v>10</v>
      </c>
    </row>
    <row r="2573" spans="3:4" x14ac:dyDescent="0.2">
      <c r="C2573" t="s">
        <v>8269</v>
      </c>
      <c r="D2573" s="13">
        <v>10</v>
      </c>
    </row>
    <row r="2574" spans="3:4" x14ac:dyDescent="0.2">
      <c r="C2574" t="s">
        <v>8297</v>
      </c>
      <c r="D2574" s="13">
        <v>10</v>
      </c>
    </row>
    <row r="2575" spans="3:4" x14ac:dyDescent="0.2">
      <c r="C2575" t="s">
        <v>8301</v>
      </c>
      <c r="D2575" s="13">
        <v>10</v>
      </c>
    </row>
    <row r="2576" spans="3:4" x14ac:dyDescent="0.2">
      <c r="C2576" t="s">
        <v>8311</v>
      </c>
      <c r="D2576" s="13">
        <v>10</v>
      </c>
    </row>
    <row r="2577" spans="3:4" x14ac:dyDescent="0.2">
      <c r="C2577" t="s">
        <v>8318</v>
      </c>
      <c r="D2577" s="13">
        <v>10</v>
      </c>
    </row>
    <row r="2578" spans="3:4" x14ac:dyDescent="0.2">
      <c r="C2578" t="s">
        <v>8326</v>
      </c>
      <c r="D2578" s="13">
        <v>10</v>
      </c>
    </row>
    <row r="2579" spans="3:4" x14ac:dyDescent="0.2">
      <c r="C2579" t="s">
        <v>8368</v>
      </c>
      <c r="D2579" s="13">
        <v>10</v>
      </c>
    </row>
    <row r="2580" spans="3:4" x14ac:dyDescent="0.2">
      <c r="C2580" t="s">
        <v>8495</v>
      </c>
      <c r="D2580" s="13">
        <v>10</v>
      </c>
    </row>
    <row r="2581" spans="3:4" x14ac:dyDescent="0.2">
      <c r="C2581" t="s">
        <v>8503</v>
      </c>
      <c r="D2581" s="13">
        <v>10</v>
      </c>
    </row>
    <row r="2582" spans="3:4" x14ac:dyDescent="0.2">
      <c r="C2582" t="s">
        <v>8569</v>
      </c>
      <c r="D2582" s="13">
        <v>10</v>
      </c>
    </row>
    <row r="2583" spans="3:4" x14ac:dyDescent="0.2">
      <c r="C2583" t="s">
        <v>8589</v>
      </c>
      <c r="D2583" s="13">
        <v>10</v>
      </c>
    </row>
    <row r="2584" spans="3:4" x14ac:dyDescent="0.2">
      <c r="C2584" t="s">
        <v>8603</v>
      </c>
      <c r="D2584" s="13">
        <v>10</v>
      </c>
    </row>
    <row r="2585" spans="3:4" x14ac:dyDescent="0.2">
      <c r="C2585" t="s">
        <v>8642</v>
      </c>
      <c r="D2585" s="13">
        <v>10</v>
      </c>
    </row>
    <row r="2586" spans="3:4" x14ac:dyDescent="0.2">
      <c r="C2586" t="s">
        <v>8646</v>
      </c>
      <c r="D2586" s="13">
        <v>10</v>
      </c>
    </row>
    <row r="2587" spans="3:4" x14ac:dyDescent="0.2">
      <c r="C2587" t="s">
        <v>8648</v>
      </c>
      <c r="D2587" s="13">
        <v>10</v>
      </c>
    </row>
    <row r="2588" spans="3:4" x14ac:dyDescent="0.2">
      <c r="C2588" t="s">
        <v>527</v>
      </c>
      <c r="D2588" s="13">
        <v>10</v>
      </c>
    </row>
    <row r="2589" spans="3:4" x14ac:dyDescent="0.2">
      <c r="C2589" t="s">
        <v>707</v>
      </c>
      <c r="D2589" s="13">
        <v>10</v>
      </c>
    </row>
    <row r="2590" spans="3:4" x14ac:dyDescent="0.2">
      <c r="C2590" t="s">
        <v>726</v>
      </c>
      <c r="D2590" s="13">
        <v>10</v>
      </c>
    </row>
    <row r="2591" spans="3:4" x14ac:dyDescent="0.2">
      <c r="C2591" t="s">
        <v>1045</v>
      </c>
      <c r="D2591" s="13">
        <v>10</v>
      </c>
    </row>
    <row r="2592" spans="3:4" x14ac:dyDescent="0.2">
      <c r="C2592" t="s">
        <v>1386</v>
      </c>
      <c r="D2592" s="13">
        <v>10</v>
      </c>
    </row>
    <row r="2593" spans="3:4" x14ac:dyDescent="0.2">
      <c r="C2593" t="s">
        <v>1713</v>
      </c>
      <c r="D2593" s="13">
        <v>10</v>
      </c>
    </row>
    <row r="2594" spans="3:4" x14ac:dyDescent="0.2">
      <c r="C2594" t="s">
        <v>1854</v>
      </c>
      <c r="D2594" s="13">
        <v>10</v>
      </c>
    </row>
    <row r="2595" spans="3:4" x14ac:dyDescent="0.2">
      <c r="C2595" t="s">
        <v>2124</v>
      </c>
      <c r="D2595" s="13">
        <v>10</v>
      </c>
    </row>
    <row r="2596" spans="3:4" x14ac:dyDescent="0.2">
      <c r="C2596" t="s">
        <v>2541</v>
      </c>
      <c r="D2596" s="13">
        <v>10</v>
      </c>
    </row>
    <row r="2597" spans="3:4" x14ac:dyDescent="0.2">
      <c r="C2597" t="s">
        <v>2677</v>
      </c>
      <c r="D2597" s="13">
        <v>10</v>
      </c>
    </row>
    <row r="2598" spans="3:4" x14ac:dyDescent="0.2">
      <c r="C2598" t="s">
        <v>2970</v>
      </c>
      <c r="D2598" s="13">
        <v>10</v>
      </c>
    </row>
    <row r="2599" spans="3:4" x14ac:dyDescent="0.2">
      <c r="C2599" t="s">
        <v>3176</v>
      </c>
      <c r="D2599" s="13">
        <v>10</v>
      </c>
    </row>
    <row r="2600" spans="3:4" x14ac:dyDescent="0.2">
      <c r="C2600" t="s">
        <v>3493</v>
      </c>
      <c r="D2600" s="13">
        <v>10</v>
      </c>
    </row>
    <row r="2601" spans="3:4" x14ac:dyDescent="0.2">
      <c r="C2601" t="s">
        <v>3811</v>
      </c>
      <c r="D2601" s="13">
        <v>10</v>
      </c>
    </row>
    <row r="2602" spans="3:4" x14ac:dyDescent="0.2">
      <c r="C2602" t="s">
        <v>4395</v>
      </c>
      <c r="D2602" s="13">
        <v>10</v>
      </c>
    </row>
    <row r="2603" spans="3:4" x14ac:dyDescent="0.2">
      <c r="C2603" t="s">
        <v>4959</v>
      </c>
      <c r="D2603" s="13">
        <v>10</v>
      </c>
    </row>
    <row r="2604" spans="3:4" x14ac:dyDescent="0.2">
      <c r="C2604" t="s">
        <v>5915</v>
      </c>
      <c r="D2604" s="13">
        <v>10</v>
      </c>
    </row>
    <row r="2605" spans="3:4" x14ac:dyDescent="0.2">
      <c r="C2605" t="s">
        <v>6205</v>
      </c>
      <c r="D2605" s="13">
        <v>10</v>
      </c>
    </row>
    <row r="2606" spans="3:4" x14ac:dyDescent="0.2">
      <c r="C2606" t="s">
        <v>7314</v>
      </c>
      <c r="D2606" s="13">
        <v>10</v>
      </c>
    </row>
    <row r="2607" spans="3:4" x14ac:dyDescent="0.2">
      <c r="C2607" t="s">
        <v>7827</v>
      </c>
      <c r="D2607" s="13">
        <v>10</v>
      </c>
    </row>
    <row r="2608" spans="3:4" x14ac:dyDescent="0.2">
      <c r="C2608" t="s">
        <v>8187</v>
      </c>
      <c r="D2608" s="13">
        <v>10</v>
      </c>
    </row>
    <row r="2609" spans="3:4" x14ac:dyDescent="0.2">
      <c r="C2609" t="s">
        <v>8456</v>
      </c>
      <c r="D2609" s="13">
        <v>10</v>
      </c>
    </row>
    <row r="2610" spans="3:4" x14ac:dyDescent="0.2">
      <c r="C2610" t="s">
        <v>1112</v>
      </c>
      <c r="D2610" s="13">
        <v>10</v>
      </c>
    </row>
    <row r="2611" spans="3:4" x14ac:dyDescent="0.2">
      <c r="C2611" t="s">
        <v>2042</v>
      </c>
      <c r="D2611" s="13">
        <v>10</v>
      </c>
    </row>
    <row r="2612" spans="3:4" x14ac:dyDescent="0.2">
      <c r="C2612" t="s">
        <v>2683</v>
      </c>
      <c r="D2612" s="13">
        <v>10</v>
      </c>
    </row>
    <row r="2613" spans="3:4" x14ac:dyDescent="0.2">
      <c r="C2613" t="s">
        <v>2738</v>
      </c>
      <c r="D2613" s="13">
        <v>10</v>
      </c>
    </row>
    <row r="2614" spans="3:4" x14ac:dyDescent="0.2">
      <c r="C2614" t="s">
        <v>3941</v>
      </c>
      <c r="D2614" s="13">
        <v>10</v>
      </c>
    </row>
    <row r="2615" spans="3:4" x14ac:dyDescent="0.2">
      <c r="C2615" t="s">
        <v>5011</v>
      </c>
      <c r="D2615" s="13">
        <v>10</v>
      </c>
    </row>
    <row r="2616" spans="3:4" x14ac:dyDescent="0.2">
      <c r="C2616" t="s">
        <v>5013</v>
      </c>
      <c r="D2616" s="13">
        <v>10</v>
      </c>
    </row>
    <row r="2617" spans="3:4" x14ac:dyDescent="0.2">
      <c r="C2617" t="s">
        <v>6036</v>
      </c>
      <c r="D2617" s="13">
        <v>10</v>
      </c>
    </row>
    <row r="2618" spans="3:4" x14ac:dyDescent="0.2">
      <c r="C2618" t="s">
        <v>6373</v>
      </c>
      <c r="D2618" s="13">
        <v>10</v>
      </c>
    </row>
    <row r="2619" spans="3:4" x14ac:dyDescent="0.2">
      <c r="C2619" t="s">
        <v>6963</v>
      </c>
      <c r="D2619" s="13">
        <v>10</v>
      </c>
    </row>
    <row r="2620" spans="3:4" x14ac:dyDescent="0.2">
      <c r="C2620" t="s">
        <v>7799</v>
      </c>
      <c r="D2620" s="13">
        <v>10</v>
      </c>
    </row>
    <row r="2621" spans="3:4" x14ac:dyDescent="0.2">
      <c r="C2621" t="s">
        <v>7857</v>
      </c>
      <c r="D2621" s="13">
        <v>10</v>
      </c>
    </row>
    <row r="2622" spans="3:4" x14ac:dyDescent="0.2">
      <c r="C2622" t="s">
        <v>7859</v>
      </c>
      <c r="D2622" s="13">
        <v>10</v>
      </c>
    </row>
    <row r="2623" spans="3:4" x14ac:dyDescent="0.2">
      <c r="C2623" t="s">
        <v>8100</v>
      </c>
      <c r="D2623" s="13">
        <v>10</v>
      </c>
    </row>
    <row r="2624" spans="3:4" x14ac:dyDescent="0.2">
      <c r="C2624" t="s">
        <v>1378</v>
      </c>
      <c r="D2624" s="13">
        <v>10</v>
      </c>
    </row>
    <row r="2625" spans="3:4" x14ac:dyDescent="0.2">
      <c r="C2625" t="s">
        <v>1697</v>
      </c>
      <c r="D2625" s="13">
        <v>10</v>
      </c>
    </row>
    <row r="2626" spans="3:4" x14ac:dyDescent="0.2">
      <c r="C2626" t="s">
        <v>1900</v>
      </c>
      <c r="D2626" s="13">
        <v>10</v>
      </c>
    </row>
    <row r="2627" spans="3:4" x14ac:dyDescent="0.2">
      <c r="C2627" t="s">
        <v>4896</v>
      </c>
      <c r="D2627" s="13">
        <v>10</v>
      </c>
    </row>
    <row r="2628" spans="3:4" x14ac:dyDescent="0.2">
      <c r="C2628" t="s">
        <v>5058</v>
      </c>
      <c r="D2628" s="13">
        <v>10</v>
      </c>
    </row>
    <row r="2629" spans="3:4" x14ac:dyDescent="0.2">
      <c r="C2629" t="s">
        <v>5155</v>
      </c>
      <c r="D2629" s="13">
        <v>10</v>
      </c>
    </row>
    <row r="2630" spans="3:4" x14ac:dyDescent="0.2">
      <c r="C2630" t="s">
        <v>5731</v>
      </c>
      <c r="D2630" s="13">
        <v>10</v>
      </c>
    </row>
    <row r="2631" spans="3:4" x14ac:dyDescent="0.2">
      <c r="C2631" t="s">
        <v>6569</v>
      </c>
      <c r="D2631" s="13">
        <v>10</v>
      </c>
    </row>
    <row r="2632" spans="3:4" x14ac:dyDescent="0.2">
      <c r="C2632" t="s">
        <v>7787</v>
      </c>
      <c r="D2632" s="13">
        <v>10</v>
      </c>
    </row>
    <row r="2633" spans="3:4" x14ac:dyDescent="0.2">
      <c r="C2633" t="s">
        <v>8330</v>
      </c>
      <c r="D2633" s="13">
        <v>10</v>
      </c>
    </row>
    <row r="2634" spans="3:4" x14ac:dyDescent="0.2">
      <c r="C2634" t="s">
        <v>515</v>
      </c>
      <c r="D2634" s="13">
        <v>10</v>
      </c>
    </row>
    <row r="2635" spans="3:4" x14ac:dyDescent="0.2">
      <c r="C2635" t="s">
        <v>2023</v>
      </c>
      <c r="D2635" s="13">
        <v>10</v>
      </c>
    </row>
    <row r="2636" spans="3:4" x14ac:dyDescent="0.2">
      <c r="C2636" t="s">
        <v>3645</v>
      </c>
      <c r="D2636" s="13">
        <v>10</v>
      </c>
    </row>
    <row r="2637" spans="3:4" x14ac:dyDescent="0.2">
      <c r="C2637" t="s">
        <v>3849</v>
      </c>
      <c r="D2637" s="13">
        <v>10</v>
      </c>
    </row>
    <row r="2638" spans="3:4" x14ac:dyDescent="0.2">
      <c r="C2638" t="s">
        <v>4232</v>
      </c>
      <c r="D2638" s="13">
        <v>10</v>
      </c>
    </row>
    <row r="2639" spans="3:4" x14ac:dyDescent="0.2">
      <c r="C2639" t="s">
        <v>6311</v>
      </c>
      <c r="D2639" s="13">
        <v>10</v>
      </c>
    </row>
    <row r="2640" spans="3:4" x14ac:dyDescent="0.2">
      <c r="C2640" t="s">
        <v>6886</v>
      </c>
      <c r="D2640" s="13">
        <v>10</v>
      </c>
    </row>
    <row r="2641" spans="3:4" x14ac:dyDescent="0.2">
      <c r="C2641" t="s">
        <v>780</v>
      </c>
      <c r="D2641" s="13">
        <v>10</v>
      </c>
    </row>
    <row r="2642" spans="3:4" x14ac:dyDescent="0.2">
      <c r="C2642" t="s">
        <v>864</v>
      </c>
      <c r="D2642" s="13">
        <v>10</v>
      </c>
    </row>
    <row r="2643" spans="3:4" x14ac:dyDescent="0.2">
      <c r="C2643" t="s">
        <v>1535</v>
      </c>
      <c r="D2643" s="13">
        <v>10</v>
      </c>
    </row>
    <row r="2644" spans="3:4" x14ac:dyDescent="0.2">
      <c r="C2644" t="s">
        <v>1593</v>
      </c>
      <c r="D2644" s="13">
        <v>10</v>
      </c>
    </row>
    <row r="2645" spans="3:4" x14ac:dyDescent="0.2">
      <c r="C2645" t="s">
        <v>3248</v>
      </c>
      <c r="D2645" s="13">
        <v>10</v>
      </c>
    </row>
    <row r="2646" spans="3:4" x14ac:dyDescent="0.2">
      <c r="C2646" t="s">
        <v>3629</v>
      </c>
      <c r="D2646" s="13">
        <v>10</v>
      </c>
    </row>
    <row r="2647" spans="3:4" x14ac:dyDescent="0.2">
      <c r="C2647" t="s">
        <v>3958</v>
      </c>
      <c r="D2647" s="13">
        <v>10</v>
      </c>
    </row>
    <row r="2648" spans="3:4" x14ac:dyDescent="0.2">
      <c r="C2648" t="s">
        <v>6197</v>
      </c>
      <c r="D2648" s="13">
        <v>10</v>
      </c>
    </row>
    <row r="2649" spans="3:4" x14ac:dyDescent="0.2">
      <c r="C2649" t="s">
        <v>8650</v>
      </c>
      <c r="D2649" s="13">
        <v>10</v>
      </c>
    </row>
    <row r="2650" spans="3:4" x14ac:dyDescent="0.2">
      <c r="C2650" t="s">
        <v>142</v>
      </c>
      <c r="D2650" s="13">
        <v>10</v>
      </c>
    </row>
    <row r="2651" spans="3:4" x14ac:dyDescent="0.2">
      <c r="C2651" t="s">
        <v>174</v>
      </c>
      <c r="D2651" s="13">
        <v>10</v>
      </c>
    </row>
    <row r="2652" spans="3:4" x14ac:dyDescent="0.2">
      <c r="C2652" t="s">
        <v>320</v>
      </c>
      <c r="D2652" s="13">
        <v>10</v>
      </c>
    </row>
    <row r="2653" spans="3:4" x14ac:dyDescent="0.2">
      <c r="C2653" t="s">
        <v>965</v>
      </c>
      <c r="D2653" s="13">
        <v>10</v>
      </c>
    </row>
    <row r="2654" spans="3:4" x14ac:dyDescent="0.2">
      <c r="C2654" t="s">
        <v>977</v>
      </c>
      <c r="D2654" s="13">
        <v>10</v>
      </c>
    </row>
    <row r="2655" spans="3:4" x14ac:dyDescent="0.2">
      <c r="C2655" t="s">
        <v>1237</v>
      </c>
      <c r="D2655" s="13">
        <v>10</v>
      </c>
    </row>
    <row r="2656" spans="3:4" x14ac:dyDescent="0.2">
      <c r="C2656" t="s">
        <v>1477</v>
      </c>
      <c r="D2656" s="13">
        <v>10</v>
      </c>
    </row>
    <row r="2657" spans="3:4" x14ac:dyDescent="0.2">
      <c r="C2657" t="s">
        <v>1736</v>
      </c>
      <c r="D2657" s="13">
        <v>10</v>
      </c>
    </row>
    <row r="2658" spans="3:4" x14ac:dyDescent="0.2">
      <c r="C2658" t="s">
        <v>1939</v>
      </c>
      <c r="D2658" s="13">
        <v>10</v>
      </c>
    </row>
    <row r="2659" spans="3:4" x14ac:dyDescent="0.2">
      <c r="C2659" t="s">
        <v>2033</v>
      </c>
      <c r="D2659" s="13">
        <v>10</v>
      </c>
    </row>
    <row r="2660" spans="3:4" x14ac:dyDescent="0.2">
      <c r="C2660" t="s">
        <v>2167</v>
      </c>
      <c r="D2660" s="13">
        <v>10</v>
      </c>
    </row>
    <row r="2661" spans="3:4" x14ac:dyDescent="0.2">
      <c r="C2661" t="s">
        <v>2501</v>
      </c>
      <c r="D2661" s="13">
        <v>10</v>
      </c>
    </row>
    <row r="2662" spans="3:4" x14ac:dyDescent="0.2">
      <c r="C2662" t="s">
        <v>2742</v>
      </c>
      <c r="D2662" s="13">
        <v>10</v>
      </c>
    </row>
    <row r="2663" spans="3:4" x14ac:dyDescent="0.2">
      <c r="C2663" t="s">
        <v>3315</v>
      </c>
      <c r="D2663" s="13">
        <v>10</v>
      </c>
    </row>
    <row r="2664" spans="3:4" x14ac:dyDescent="0.2">
      <c r="C2664" t="s">
        <v>3591</v>
      </c>
      <c r="D2664" s="13">
        <v>10</v>
      </c>
    </row>
    <row r="2665" spans="3:4" x14ac:dyDescent="0.2">
      <c r="C2665" t="s">
        <v>5038</v>
      </c>
      <c r="D2665" s="13">
        <v>10</v>
      </c>
    </row>
    <row r="2666" spans="3:4" x14ac:dyDescent="0.2">
      <c r="C2666" t="s">
        <v>5110</v>
      </c>
      <c r="D2666" s="13">
        <v>10</v>
      </c>
    </row>
    <row r="2667" spans="3:4" x14ac:dyDescent="0.2">
      <c r="C2667" t="s">
        <v>5460</v>
      </c>
      <c r="D2667" s="13">
        <v>10</v>
      </c>
    </row>
    <row r="2668" spans="3:4" x14ac:dyDescent="0.2">
      <c r="C2668" t="s">
        <v>5597</v>
      </c>
      <c r="D2668" s="13">
        <v>10</v>
      </c>
    </row>
    <row r="2669" spans="3:4" x14ac:dyDescent="0.2">
      <c r="C2669" t="s">
        <v>5837</v>
      </c>
      <c r="D2669" s="13">
        <v>10</v>
      </c>
    </row>
    <row r="2670" spans="3:4" x14ac:dyDescent="0.2">
      <c r="C2670" t="s">
        <v>5855</v>
      </c>
      <c r="D2670" s="13">
        <v>10</v>
      </c>
    </row>
    <row r="2671" spans="3:4" x14ac:dyDescent="0.2">
      <c r="C2671" t="s">
        <v>6516</v>
      </c>
      <c r="D2671" s="13">
        <v>10</v>
      </c>
    </row>
    <row r="2672" spans="3:4" x14ac:dyDescent="0.2">
      <c r="C2672" t="s">
        <v>7191</v>
      </c>
      <c r="D2672" s="13">
        <v>10</v>
      </c>
    </row>
    <row r="2673" spans="3:4" x14ac:dyDescent="0.2">
      <c r="C2673" t="s">
        <v>8716</v>
      </c>
      <c r="D2673" s="13">
        <v>10</v>
      </c>
    </row>
    <row r="2674" spans="3:4" x14ac:dyDescent="0.2">
      <c r="C2674" t="s">
        <v>1654</v>
      </c>
      <c r="D2674" s="13">
        <v>10</v>
      </c>
    </row>
    <row r="2675" spans="3:4" x14ac:dyDescent="0.2">
      <c r="C2675" t="s">
        <v>2611</v>
      </c>
      <c r="D2675" s="13">
        <v>10</v>
      </c>
    </row>
    <row r="2676" spans="3:4" x14ac:dyDescent="0.2">
      <c r="C2676" t="s">
        <v>3030</v>
      </c>
      <c r="D2676" s="13">
        <v>10</v>
      </c>
    </row>
    <row r="2677" spans="3:4" x14ac:dyDescent="0.2">
      <c r="C2677" t="s">
        <v>3389</v>
      </c>
      <c r="D2677" s="13">
        <v>10</v>
      </c>
    </row>
    <row r="2678" spans="3:4" x14ac:dyDescent="0.2">
      <c r="C2678" t="s">
        <v>3561</v>
      </c>
      <c r="D2678" s="13">
        <v>10</v>
      </c>
    </row>
    <row r="2679" spans="3:4" x14ac:dyDescent="0.2">
      <c r="C2679" t="s">
        <v>3954</v>
      </c>
      <c r="D2679" s="13">
        <v>10</v>
      </c>
    </row>
    <row r="2680" spans="3:4" x14ac:dyDescent="0.2">
      <c r="C2680" t="s">
        <v>4214</v>
      </c>
      <c r="D2680" s="13">
        <v>10</v>
      </c>
    </row>
    <row r="2681" spans="3:4" x14ac:dyDescent="0.2">
      <c r="C2681" t="s">
        <v>4719</v>
      </c>
      <c r="D2681" s="13">
        <v>10</v>
      </c>
    </row>
    <row r="2682" spans="3:4" x14ac:dyDescent="0.2">
      <c r="C2682" t="s">
        <v>5149</v>
      </c>
      <c r="D2682" s="13">
        <v>10</v>
      </c>
    </row>
    <row r="2683" spans="3:4" x14ac:dyDescent="0.2">
      <c r="C2683" t="s">
        <v>5524</v>
      </c>
      <c r="D2683" s="13">
        <v>10</v>
      </c>
    </row>
    <row r="2684" spans="3:4" x14ac:dyDescent="0.2">
      <c r="C2684" t="s">
        <v>6111</v>
      </c>
      <c r="D2684" s="13">
        <v>10</v>
      </c>
    </row>
    <row r="2685" spans="3:4" x14ac:dyDescent="0.2">
      <c r="C2685" t="s">
        <v>6831</v>
      </c>
      <c r="D2685" s="13">
        <v>10</v>
      </c>
    </row>
    <row r="2686" spans="3:4" x14ac:dyDescent="0.2">
      <c r="C2686" t="s">
        <v>7456</v>
      </c>
      <c r="D2686" s="13">
        <v>10</v>
      </c>
    </row>
    <row r="2687" spans="3:4" x14ac:dyDescent="0.2">
      <c r="C2687" t="s">
        <v>7550</v>
      </c>
      <c r="D2687" s="13">
        <v>10</v>
      </c>
    </row>
    <row r="2688" spans="3:4" x14ac:dyDescent="0.2">
      <c r="C2688" t="s">
        <v>344</v>
      </c>
      <c r="D2688" s="13">
        <v>10</v>
      </c>
    </row>
    <row r="2689" spans="3:4" x14ac:dyDescent="0.2">
      <c r="C2689" t="s">
        <v>1356</v>
      </c>
      <c r="D2689" s="13">
        <v>10</v>
      </c>
    </row>
    <row r="2690" spans="3:4" x14ac:dyDescent="0.2">
      <c r="C2690" t="s">
        <v>2044</v>
      </c>
      <c r="D2690" s="13">
        <v>10</v>
      </c>
    </row>
    <row r="2691" spans="3:4" x14ac:dyDescent="0.2">
      <c r="C2691" t="s">
        <v>2487</v>
      </c>
      <c r="D2691" s="13">
        <v>10</v>
      </c>
    </row>
    <row r="2692" spans="3:4" x14ac:dyDescent="0.2">
      <c r="C2692" t="s">
        <v>2816</v>
      </c>
      <c r="D2692" s="13">
        <v>10</v>
      </c>
    </row>
    <row r="2693" spans="3:4" x14ac:dyDescent="0.2">
      <c r="C2693" t="s">
        <v>4109</v>
      </c>
      <c r="D2693" s="13">
        <v>10</v>
      </c>
    </row>
    <row r="2694" spans="3:4" x14ac:dyDescent="0.2">
      <c r="C2694" t="s">
        <v>5372</v>
      </c>
      <c r="D2694" s="13">
        <v>10</v>
      </c>
    </row>
    <row r="2695" spans="3:4" x14ac:dyDescent="0.2">
      <c r="C2695" t="s">
        <v>6176</v>
      </c>
      <c r="D2695" s="13">
        <v>10</v>
      </c>
    </row>
    <row r="2696" spans="3:4" x14ac:dyDescent="0.2">
      <c r="C2696" t="s">
        <v>6579</v>
      </c>
      <c r="D2696" s="13">
        <v>10</v>
      </c>
    </row>
    <row r="2697" spans="3:4" x14ac:dyDescent="0.2">
      <c r="C2697" t="s">
        <v>8681</v>
      </c>
      <c r="D2697" s="13">
        <v>10</v>
      </c>
    </row>
    <row r="2698" spans="3:4" x14ac:dyDescent="0.2">
      <c r="C2698" t="s">
        <v>300</v>
      </c>
      <c r="D2698" s="13">
        <v>10</v>
      </c>
    </row>
    <row r="2699" spans="3:4" x14ac:dyDescent="0.2">
      <c r="C2699" t="s">
        <v>314</v>
      </c>
      <c r="D2699" s="13">
        <v>10</v>
      </c>
    </row>
    <row r="2700" spans="3:4" x14ac:dyDescent="0.2">
      <c r="C2700" t="s">
        <v>316</v>
      </c>
      <c r="D2700" s="13">
        <v>10</v>
      </c>
    </row>
    <row r="2701" spans="3:4" x14ac:dyDescent="0.2">
      <c r="C2701" t="s">
        <v>342</v>
      </c>
      <c r="D2701" s="13">
        <v>10</v>
      </c>
    </row>
    <row r="2702" spans="3:4" x14ac:dyDescent="0.2">
      <c r="C2702" t="s">
        <v>405</v>
      </c>
      <c r="D2702" s="13">
        <v>10</v>
      </c>
    </row>
    <row r="2703" spans="3:4" x14ac:dyDescent="0.2">
      <c r="C2703" t="s">
        <v>471</v>
      </c>
      <c r="D2703" s="13">
        <v>10</v>
      </c>
    </row>
    <row r="2704" spans="3:4" x14ac:dyDescent="0.2">
      <c r="C2704" t="s">
        <v>590</v>
      </c>
      <c r="D2704" s="13">
        <v>10</v>
      </c>
    </row>
    <row r="2705" spans="3:4" x14ac:dyDescent="0.2">
      <c r="C2705" t="s">
        <v>651</v>
      </c>
      <c r="D2705" s="13">
        <v>10</v>
      </c>
    </row>
    <row r="2706" spans="3:4" x14ac:dyDescent="0.2">
      <c r="C2706" t="s">
        <v>690</v>
      </c>
      <c r="D2706" s="13">
        <v>10</v>
      </c>
    </row>
    <row r="2707" spans="3:4" x14ac:dyDescent="0.2">
      <c r="C2707" t="s">
        <v>751</v>
      </c>
      <c r="D2707" s="13">
        <v>10</v>
      </c>
    </row>
    <row r="2708" spans="3:4" x14ac:dyDescent="0.2">
      <c r="C2708" t="s">
        <v>815</v>
      </c>
      <c r="D2708" s="13">
        <v>10</v>
      </c>
    </row>
    <row r="2709" spans="3:4" x14ac:dyDescent="0.2">
      <c r="C2709" t="s">
        <v>1094</v>
      </c>
      <c r="D2709" s="13">
        <v>10</v>
      </c>
    </row>
    <row r="2710" spans="3:4" x14ac:dyDescent="0.2">
      <c r="C2710" t="s">
        <v>1110</v>
      </c>
      <c r="D2710" s="13">
        <v>10</v>
      </c>
    </row>
    <row r="2711" spans="3:4" x14ac:dyDescent="0.2">
      <c r="C2711" t="s">
        <v>1116</v>
      </c>
      <c r="D2711" s="13">
        <v>10</v>
      </c>
    </row>
    <row r="2712" spans="3:4" x14ac:dyDescent="0.2">
      <c r="C2712" t="s">
        <v>1159</v>
      </c>
      <c r="D2712" s="13">
        <v>10</v>
      </c>
    </row>
    <row r="2713" spans="3:4" x14ac:dyDescent="0.2">
      <c r="C2713" t="s">
        <v>1232</v>
      </c>
      <c r="D2713" s="13">
        <v>10</v>
      </c>
    </row>
    <row r="2714" spans="3:4" x14ac:dyDescent="0.2">
      <c r="C2714" t="s">
        <v>1241</v>
      </c>
      <c r="D2714" s="13">
        <v>10</v>
      </c>
    </row>
    <row r="2715" spans="3:4" x14ac:dyDescent="0.2">
      <c r="C2715" t="s">
        <v>1396</v>
      </c>
      <c r="D2715" s="13">
        <v>10</v>
      </c>
    </row>
    <row r="2716" spans="3:4" x14ac:dyDescent="0.2">
      <c r="C2716" t="s">
        <v>1454</v>
      </c>
      <c r="D2716" s="13">
        <v>10</v>
      </c>
    </row>
    <row r="2717" spans="3:4" x14ac:dyDescent="0.2">
      <c r="C2717" t="s">
        <v>1483</v>
      </c>
      <c r="D2717" s="13">
        <v>10</v>
      </c>
    </row>
    <row r="2718" spans="3:4" x14ac:dyDescent="0.2">
      <c r="C2718" t="s">
        <v>1537</v>
      </c>
      <c r="D2718" s="13">
        <v>10</v>
      </c>
    </row>
    <row r="2719" spans="3:4" x14ac:dyDescent="0.2">
      <c r="C2719" t="s">
        <v>1577</v>
      </c>
      <c r="D2719" s="13">
        <v>10</v>
      </c>
    </row>
    <row r="2720" spans="3:4" x14ac:dyDescent="0.2">
      <c r="C2720" t="s">
        <v>1594</v>
      </c>
      <c r="D2720" s="13">
        <v>10</v>
      </c>
    </row>
    <row r="2721" spans="3:4" x14ac:dyDescent="0.2">
      <c r="C2721" t="s">
        <v>1643</v>
      </c>
      <c r="D2721" s="13">
        <v>10</v>
      </c>
    </row>
    <row r="2722" spans="3:4" x14ac:dyDescent="0.2">
      <c r="C2722" t="s">
        <v>1686</v>
      </c>
      <c r="D2722" s="13">
        <v>10</v>
      </c>
    </row>
    <row r="2723" spans="3:4" x14ac:dyDescent="0.2">
      <c r="C2723" t="s">
        <v>1721</v>
      </c>
      <c r="D2723" s="13">
        <v>10</v>
      </c>
    </row>
    <row r="2724" spans="3:4" x14ac:dyDescent="0.2">
      <c r="C2724" t="s">
        <v>1949</v>
      </c>
      <c r="D2724" s="13">
        <v>10</v>
      </c>
    </row>
    <row r="2725" spans="3:4" x14ac:dyDescent="0.2">
      <c r="C2725" t="s">
        <v>1995</v>
      </c>
      <c r="D2725" s="13">
        <v>10</v>
      </c>
    </row>
    <row r="2726" spans="3:4" x14ac:dyDescent="0.2">
      <c r="C2726" t="s">
        <v>2056</v>
      </c>
      <c r="D2726" s="13">
        <v>10</v>
      </c>
    </row>
    <row r="2727" spans="3:4" x14ac:dyDescent="0.2">
      <c r="C2727" t="s">
        <v>2238</v>
      </c>
      <c r="D2727" s="13">
        <v>10</v>
      </c>
    </row>
    <row r="2728" spans="3:4" x14ac:dyDescent="0.2">
      <c r="C2728" t="s">
        <v>2421</v>
      </c>
      <c r="D2728" s="13">
        <v>10</v>
      </c>
    </row>
    <row r="2729" spans="3:4" x14ac:dyDescent="0.2">
      <c r="C2729" t="s">
        <v>2547</v>
      </c>
      <c r="D2729" s="13">
        <v>10</v>
      </c>
    </row>
    <row r="2730" spans="3:4" x14ac:dyDescent="0.2">
      <c r="C2730" t="s">
        <v>2775</v>
      </c>
      <c r="D2730" s="13">
        <v>10</v>
      </c>
    </row>
    <row r="2731" spans="3:4" x14ac:dyDescent="0.2">
      <c r="C2731" t="s">
        <v>2940</v>
      </c>
      <c r="D2731" s="13">
        <v>10</v>
      </c>
    </row>
    <row r="2732" spans="3:4" x14ac:dyDescent="0.2">
      <c r="C2732" t="s">
        <v>2989</v>
      </c>
      <c r="D2732" s="13">
        <v>10</v>
      </c>
    </row>
    <row r="2733" spans="3:4" x14ac:dyDescent="0.2">
      <c r="C2733" t="s">
        <v>3011</v>
      </c>
      <c r="D2733" s="13">
        <v>10</v>
      </c>
    </row>
    <row r="2734" spans="3:4" x14ac:dyDescent="0.2">
      <c r="C2734" t="s">
        <v>3042</v>
      </c>
      <c r="D2734" s="13">
        <v>10</v>
      </c>
    </row>
    <row r="2735" spans="3:4" x14ac:dyDescent="0.2">
      <c r="C2735" t="s">
        <v>3093</v>
      </c>
      <c r="D2735" s="13">
        <v>10</v>
      </c>
    </row>
    <row r="2736" spans="3:4" x14ac:dyDescent="0.2">
      <c r="C2736" t="s">
        <v>3101</v>
      </c>
      <c r="D2736" s="13">
        <v>10</v>
      </c>
    </row>
    <row r="2737" spans="3:4" x14ac:dyDescent="0.2">
      <c r="C2737" t="s">
        <v>3144</v>
      </c>
      <c r="D2737" s="13">
        <v>10</v>
      </c>
    </row>
    <row r="2738" spans="3:4" x14ac:dyDescent="0.2">
      <c r="C2738" t="s">
        <v>3216</v>
      </c>
      <c r="D2738" s="13">
        <v>10</v>
      </c>
    </row>
    <row r="2739" spans="3:4" x14ac:dyDescent="0.2">
      <c r="C2739" t="s">
        <v>3475</v>
      </c>
      <c r="D2739" s="13">
        <v>10</v>
      </c>
    </row>
    <row r="2740" spans="3:4" x14ac:dyDescent="0.2">
      <c r="C2740" t="s">
        <v>3507</v>
      </c>
      <c r="D2740" s="13">
        <v>10</v>
      </c>
    </row>
    <row r="2741" spans="3:4" x14ac:dyDescent="0.2">
      <c r="C2741" t="s">
        <v>3527</v>
      </c>
      <c r="D2741" s="13">
        <v>10</v>
      </c>
    </row>
    <row r="2742" spans="3:4" x14ac:dyDescent="0.2">
      <c r="C2742" t="s">
        <v>3587</v>
      </c>
      <c r="D2742" s="13">
        <v>10</v>
      </c>
    </row>
    <row r="2743" spans="3:4" x14ac:dyDescent="0.2">
      <c r="C2743" t="s">
        <v>3631</v>
      </c>
      <c r="D2743" s="13">
        <v>10</v>
      </c>
    </row>
    <row r="2744" spans="3:4" x14ac:dyDescent="0.2">
      <c r="C2744" t="s">
        <v>3731</v>
      </c>
      <c r="D2744" s="13">
        <v>10</v>
      </c>
    </row>
    <row r="2745" spans="3:4" x14ac:dyDescent="0.2">
      <c r="C2745" t="s">
        <v>3842</v>
      </c>
      <c r="D2745" s="13">
        <v>10</v>
      </c>
    </row>
    <row r="2746" spans="3:4" x14ac:dyDescent="0.2">
      <c r="C2746" t="s">
        <v>3890</v>
      </c>
      <c r="D2746" s="13">
        <v>10</v>
      </c>
    </row>
    <row r="2747" spans="3:4" x14ac:dyDescent="0.2">
      <c r="C2747" t="s">
        <v>3929</v>
      </c>
      <c r="D2747" s="13">
        <v>10</v>
      </c>
    </row>
    <row r="2748" spans="3:4" x14ac:dyDescent="0.2">
      <c r="C2748" t="s">
        <v>3947</v>
      </c>
      <c r="D2748" s="13">
        <v>10</v>
      </c>
    </row>
    <row r="2749" spans="3:4" x14ac:dyDescent="0.2">
      <c r="C2749" t="s">
        <v>4074</v>
      </c>
      <c r="D2749" s="13">
        <v>10</v>
      </c>
    </row>
    <row r="2750" spans="3:4" x14ac:dyDescent="0.2">
      <c r="C2750" t="s">
        <v>4133</v>
      </c>
      <c r="D2750" s="13">
        <v>10</v>
      </c>
    </row>
    <row r="2751" spans="3:4" x14ac:dyDescent="0.2">
      <c r="C2751" t="s">
        <v>4156</v>
      </c>
      <c r="D2751" s="13">
        <v>10</v>
      </c>
    </row>
    <row r="2752" spans="3:4" x14ac:dyDescent="0.2">
      <c r="C2752" t="s">
        <v>4180</v>
      </c>
      <c r="D2752" s="13">
        <v>10</v>
      </c>
    </row>
    <row r="2753" spans="3:4" x14ac:dyDescent="0.2">
      <c r="C2753" t="s">
        <v>4337</v>
      </c>
      <c r="D2753" s="13">
        <v>10</v>
      </c>
    </row>
    <row r="2754" spans="3:4" x14ac:dyDescent="0.2">
      <c r="C2754" t="s">
        <v>4341</v>
      </c>
      <c r="D2754" s="13">
        <v>10</v>
      </c>
    </row>
    <row r="2755" spans="3:4" x14ac:dyDescent="0.2">
      <c r="C2755" t="s">
        <v>4360</v>
      </c>
      <c r="D2755" s="13">
        <v>10</v>
      </c>
    </row>
    <row r="2756" spans="3:4" x14ac:dyDescent="0.2">
      <c r="C2756" t="s">
        <v>4423</v>
      </c>
      <c r="D2756" s="13">
        <v>10</v>
      </c>
    </row>
    <row r="2757" spans="3:4" x14ac:dyDescent="0.2">
      <c r="C2757" t="s">
        <v>4650</v>
      </c>
      <c r="D2757" s="13">
        <v>10</v>
      </c>
    </row>
    <row r="2758" spans="3:4" x14ac:dyDescent="0.2">
      <c r="C2758" t="s">
        <v>4669</v>
      </c>
      <c r="D2758" s="13">
        <v>10</v>
      </c>
    </row>
    <row r="2759" spans="3:4" x14ac:dyDescent="0.2">
      <c r="C2759" t="s">
        <v>4748</v>
      </c>
      <c r="D2759" s="13">
        <v>10</v>
      </c>
    </row>
    <row r="2760" spans="3:4" x14ac:dyDescent="0.2">
      <c r="C2760" t="s">
        <v>4766</v>
      </c>
      <c r="D2760" s="13">
        <v>10</v>
      </c>
    </row>
    <row r="2761" spans="3:4" x14ac:dyDescent="0.2">
      <c r="C2761" t="s">
        <v>4777</v>
      </c>
      <c r="D2761" s="13">
        <v>10</v>
      </c>
    </row>
    <row r="2762" spans="3:4" x14ac:dyDescent="0.2">
      <c r="C2762" t="s">
        <v>4805</v>
      </c>
      <c r="D2762" s="13">
        <v>10</v>
      </c>
    </row>
    <row r="2763" spans="3:4" x14ac:dyDescent="0.2">
      <c r="C2763" t="s">
        <v>4998</v>
      </c>
      <c r="D2763" s="13">
        <v>10</v>
      </c>
    </row>
    <row r="2764" spans="3:4" x14ac:dyDescent="0.2">
      <c r="C2764" t="s">
        <v>5017</v>
      </c>
      <c r="D2764" s="13">
        <v>10</v>
      </c>
    </row>
    <row r="2765" spans="3:4" x14ac:dyDescent="0.2">
      <c r="C2765" t="s">
        <v>5032</v>
      </c>
      <c r="D2765" s="13">
        <v>10</v>
      </c>
    </row>
    <row r="2766" spans="3:4" x14ac:dyDescent="0.2">
      <c r="C2766" t="s">
        <v>5065</v>
      </c>
      <c r="D2766" s="13">
        <v>10</v>
      </c>
    </row>
    <row r="2767" spans="3:4" x14ac:dyDescent="0.2">
      <c r="C2767" t="s">
        <v>5173</v>
      </c>
      <c r="D2767" s="13">
        <v>10</v>
      </c>
    </row>
    <row r="2768" spans="3:4" x14ac:dyDescent="0.2">
      <c r="C2768" t="s">
        <v>5246</v>
      </c>
      <c r="D2768" s="13">
        <v>10</v>
      </c>
    </row>
    <row r="2769" spans="3:4" x14ac:dyDescent="0.2">
      <c r="C2769" t="s">
        <v>5272</v>
      </c>
      <c r="D2769" s="13">
        <v>10</v>
      </c>
    </row>
    <row r="2770" spans="3:4" x14ac:dyDescent="0.2">
      <c r="C2770" t="s">
        <v>5466</v>
      </c>
      <c r="D2770" s="13">
        <v>10</v>
      </c>
    </row>
    <row r="2771" spans="3:4" x14ac:dyDescent="0.2">
      <c r="C2771" t="s">
        <v>5514</v>
      </c>
      <c r="D2771" s="13">
        <v>10</v>
      </c>
    </row>
    <row r="2772" spans="3:4" x14ac:dyDescent="0.2">
      <c r="C2772" t="s">
        <v>5673</v>
      </c>
      <c r="D2772" s="13">
        <v>10</v>
      </c>
    </row>
    <row r="2773" spans="3:4" x14ac:dyDescent="0.2">
      <c r="C2773" t="s">
        <v>5683</v>
      </c>
      <c r="D2773" s="13">
        <v>10</v>
      </c>
    </row>
    <row r="2774" spans="3:4" x14ac:dyDescent="0.2">
      <c r="C2774" t="s">
        <v>5747</v>
      </c>
      <c r="D2774" s="13">
        <v>10</v>
      </c>
    </row>
    <row r="2775" spans="3:4" x14ac:dyDescent="0.2">
      <c r="C2775" t="s">
        <v>5749</v>
      </c>
      <c r="D2775" s="13">
        <v>10</v>
      </c>
    </row>
    <row r="2776" spans="3:4" x14ac:dyDescent="0.2">
      <c r="C2776" t="s">
        <v>5799</v>
      </c>
      <c r="D2776" s="13">
        <v>10</v>
      </c>
    </row>
    <row r="2777" spans="3:4" x14ac:dyDescent="0.2">
      <c r="C2777" t="s">
        <v>5890</v>
      </c>
      <c r="D2777" s="13">
        <v>10</v>
      </c>
    </row>
    <row r="2778" spans="3:4" x14ac:dyDescent="0.2">
      <c r="C2778" t="s">
        <v>5947</v>
      </c>
      <c r="D2778" s="13">
        <v>10</v>
      </c>
    </row>
    <row r="2779" spans="3:4" x14ac:dyDescent="0.2">
      <c r="C2779" t="s">
        <v>6013</v>
      </c>
      <c r="D2779" s="13">
        <v>10</v>
      </c>
    </row>
    <row r="2780" spans="3:4" x14ac:dyDescent="0.2">
      <c r="C2780" t="s">
        <v>6086</v>
      </c>
      <c r="D2780" s="13">
        <v>10</v>
      </c>
    </row>
    <row r="2781" spans="3:4" x14ac:dyDescent="0.2">
      <c r="C2781" t="s">
        <v>6126</v>
      </c>
      <c r="D2781" s="13">
        <v>10</v>
      </c>
    </row>
    <row r="2782" spans="3:4" x14ac:dyDescent="0.2">
      <c r="C2782" t="s">
        <v>6154</v>
      </c>
      <c r="D2782" s="13">
        <v>10</v>
      </c>
    </row>
    <row r="2783" spans="3:4" x14ac:dyDescent="0.2">
      <c r="C2783" t="s">
        <v>6166</v>
      </c>
      <c r="D2783" s="13">
        <v>10</v>
      </c>
    </row>
    <row r="2784" spans="3:4" x14ac:dyDescent="0.2">
      <c r="C2784" t="s">
        <v>6220</v>
      </c>
      <c r="D2784" s="13">
        <v>10</v>
      </c>
    </row>
    <row r="2785" spans="3:4" x14ac:dyDescent="0.2">
      <c r="C2785" t="s">
        <v>6255</v>
      </c>
      <c r="D2785" s="13">
        <v>10</v>
      </c>
    </row>
    <row r="2786" spans="3:4" x14ac:dyDescent="0.2">
      <c r="C2786" t="s">
        <v>6323</v>
      </c>
      <c r="D2786" s="13">
        <v>10</v>
      </c>
    </row>
    <row r="2787" spans="3:4" x14ac:dyDescent="0.2">
      <c r="C2787" t="s">
        <v>6483</v>
      </c>
      <c r="D2787" s="13">
        <v>10</v>
      </c>
    </row>
    <row r="2788" spans="3:4" x14ac:dyDescent="0.2">
      <c r="C2788" t="s">
        <v>6493</v>
      </c>
      <c r="D2788" s="13">
        <v>10</v>
      </c>
    </row>
    <row r="2789" spans="3:4" x14ac:dyDescent="0.2">
      <c r="C2789" t="s">
        <v>6671</v>
      </c>
      <c r="D2789" s="13">
        <v>10</v>
      </c>
    </row>
    <row r="2790" spans="3:4" x14ac:dyDescent="0.2">
      <c r="C2790" t="s">
        <v>6700</v>
      </c>
      <c r="D2790" s="13">
        <v>10</v>
      </c>
    </row>
    <row r="2791" spans="3:4" x14ac:dyDescent="0.2">
      <c r="C2791" t="s">
        <v>6727</v>
      </c>
      <c r="D2791" s="13">
        <v>10</v>
      </c>
    </row>
    <row r="2792" spans="3:4" x14ac:dyDescent="0.2">
      <c r="C2792" t="s">
        <v>6768</v>
      </c>
      <c r="D2792" s="13">
        <v>10</v>
      </c>
    </row>
    <row r="2793" spans="3:4" x14ac:dyDescent="0.2">
      <c r="C2793" t="s">
        <v>6776</v>
      </c>
      <c r="D2793" s="13">
        <v>10</v>
      </c>
    </row>
    <row r="2794" spans="3:4" x14ac:dyDescent="0.2">
      <c r="C2794" t="s">
        <v>7021</v>
      </c>
      <c r="D2794" s="13">
        <v>10</v>
      </c>
    </row>
    <row r="2795" spans="3:4" x14ac:dyDescent="0.2">
      <c r="C2795" t="s">
        <v>7464</v>
      </c>
      <c r="D2795" s="13">
        <v>10</v>
      </c>
    </row>
    <row r="2796" spans="3:4" x14ac:dyDescent="0.2">
      <c r="C2796" t="s">
        <v>7506</v>
      </c>
      <c r="D2796" s="13">
        <v>10</v>
      </c>
    </row>
    <row r="2797" spans="3:4" x14ac:dyDescent="0.2">
      <c r="C2797" t="s">
        <v>7538</v>
      </c>
      <c r="D2797" s="13">
        <v>10</v>
      </c>
    </row>
    <row r="2798" spans="3:4" x14ac:dyDescent="0.2">
      <c r="C2798" t="s">
        <v>7566</v>
      </c>
      <c r="D2798" s="13">
        <v>10</v>
      </c>
    </row>
    <row r="2799" spans="3:4" x14ac:dyDescent="0.2">
      <c r="C2799" t="s">
        <v>7610</v>
      </c>
      <c r="D2799" s="13">
        <v>10</v>
      </c>
    </row>
    <row r="2800" spans="3:4" x14ac:dyDescent="0.2">
      <c r="C2800" t="s">
        <v>7620</v>
      </c>
      <c r="D2800" s="13">
        <v>10</v>
      </c>
    </row>
    <row r="2801" spans="3:4" x14ac:dyDescent="0.2">
      <c r="C2801" t="s">
        <v>7637</v>
      </c>
      <c r="D2801" s="13">
        <v>10</v>
      </c>
    </row>
    <row r="2802" spans="3:4" x14ac:dyDescent="0.2">
      <c r="C2802" t="s">
        <v>7654</v>
      </c>
      <c r="D2802" s="13">
        <v>10</v>
      </c>
    </row>
    <row r="2803" spans="3:4" x14ac:dyDescent="0.2">
      <c r="C2803" t="s">
        <v>7739</v>
      </c>
      <c r="D2803" s="13">
        <v>10</v>
      </c>
    </row>
    <row r="2804" spans="3:4" x14ac:dyDescent="0.2">
      <c r="C2804" t="s">
        <v>7861</v>
      </c>
      <c r="D2804" s="13">
        <v>10</v>
      </c>
    </row>
    <row r="2805" spans="3:4" x14ac:dyDescent="0.2">
      <c r="C2805" t="s">
        <v>7888</v>
      </c>
      <c r="D2805" s="13">
        <v>10</v>
      </c>
    </row>
    <row r="2806" spans="3:4" x14ac:dyDescent="0.2">
      <c r="C2806" t="s">
        <v>7906</v>
      </c>
      <c r="D2806" s="13">
        <v>10</v>
      </c>
    </row>
    <row r="2807" spans="3:4" x14ac:dyDescent="0.2">
      <c r="C2807" t="s">
        <v>7941</v>
      </c>
      <c r="D2807" s="13">
        <v>10</v>
      </c>
    </row>
    <row r="2808" spans="3:4" x14ac:dyDescent="0.2">
      <c r="C2808" t="s">
        <v>8193</v>
      </c>
      <c r="D2808" s="13">
        <v>10</v>
      </c>
    </row>
    <row r="2809" spans="3:4" x14ac:dyDescent="0.2">
      <c r="C2809" t="s">
        <v>8219</v>
      </c>
      <c r="D2809" s="13">
        <v>10</v>
      </c>
    </row>
    <row r="2810" spans="3:4" x14ac:dyDescent="0.2">
      <c r="C2810" t="s">
        <v>8235</v>
      </c>
      <c r="D2810" s="13">
        <v>10</v>
      </c>
    </row>
    <row r="2811" spans="3:4" x14ac:dyDescent="0.2">
      <c r="C2811" t="s">
        <v>8523</v>
      </c>
      <c r="D2811" s="13">
        <v>10</v>
      </c>
    </row>
    <row r="2812" spans="3:4" x14ac:dyDescent="0.2">
      <c r="C2812" t="s">
        <v>8626</v>
      </c>
      <c r="D2812" s="13">
        <v>10</v>
      </c>
    </row>
    <row r="2813" spans="3:4" x14ac:dyDescent="0.2">
      <c r="C2813" t="s">
        <v>8654</v>
      </c>
      <c r="D2813" s="13">
        <v>10</v>
      </c>
    </row>
    <row r="2814" spans="3:4" x14ac:dyDescent="0.2">
      <c r="C2814" t="s">
        <v>8724</v>
      </c>
      <c r="D2814" s="13">
        <v>10</v>
      </c>
    </row>
    <row r="2815" spans="3:4" x14ac:dyDescent="0.2">
      <c r="C2815" t="s">
        <v>1425</v>
      </c>
      <c r="D2815" s="13">
        <v>10</v>
      </c>
    </row>
    <row r="2816" spans="3:4" x14ac:dyDescent="0.2">
      <c r="C2816" t="s">
        <v>1727</v>
      </c>
      <c r="D2816" s="13">
        <v>10</v>
      </c>
    </row>
    <row r="2817" spans="3:4" x14ac:dyDescent="0.2">
      <c r="C2817" t="s">
        <v>1788</v>
      </c>
      <c r="D2817" s="13">
        <v>10</v>
      </c>
    </row>
    <row r="2818" spans="3:4" x14ac:dyDescent="0.2">
      <c r="C2818" t="s">
        <v>2806</v>
      </c>
      <c r="D2818" s="13">
        <v>10</v>
      </c>
    </row>
    <row r="2819" spans="3:4" x14ac:dyDescent="0.2">
      <c r="C2819" t="s">
        <v>2870</v>
      </c>
      <c r="D2819" s="13">
        <v>10</v>
      </c>
    </row>
    <row r="2820" spans="3:4" x14ac:dyDescent="0.2">
      <c r="C2820" t="s">
        <v>2914</v>
      </c>
      <c r="D2820" s="13">
        <v>10</v>
      </c>
    </row>
    <row r="2821" spans="3:4" x14ac:dyDescent="0.2">
      <c r="C2821" t="s">
        <v>3139</v>
      </c>
      <c r="D2821" s="13">
        <v>10</v>
      </c>
    </row>
    <row r="2822" spans="3:4" x14ac:dyDescent="0.2">
      <c r="C2822" t="s">
        <v>3660</v>
      </c>
      <c r="D2822" s="13">
        <v>10</v>
      </c>
    </row>
    <row r="2823" spans="3:4" x14ac:dyDescent="0.2">
      <c r="C2823" t="s">
        <v>3887</v>
      </c>
      <c r="D2823" s="13">
        <v>10</v>
      </c>
    </row>
    <row r="2824" spans="3:4" x14ac:dyDescent="0.2">
      <c r="C2824" t="s">
        <v>4276</v>
      </c>
      <c r="D2824" s="13">
        <v>10</v>
      </c>
    </row>
    <row r="2825" spans="3:4" x14ac:dyDescent="0.2">
      <c r="C2825" t="s">
        <v>5446</v>
      </c>
      <c r="D2825" s="13">
        <v>10</v>
      </c>
    </row>
    <row r="2826" spans="3:4" x14ac:dyDescent="0.2">
      <c r="C2826" t="s">
        <v>5546</v>
      </c>
      <c r="D2826" s="13">
        <v>10</v>
      </c>
    </row>
    <row r="2827" spans="3:4" x14ac:dyDescent="0.2">
      <c r="C2827" t="s">
        <v>5627</v>
      </c>
      <c r="D2827" s="13">
        <v>10</v>
      </c>
    </row>
    <row r="2828" spans="3:4" x14ac:dyDescent="0.2">
      <c r="C2828" t="s">
        <v>6530</v>
      </c>
      <c r="D2828" s="13">
        <v>10</v>
      </c>
    </row>
    <row r="2829" spans="3:4" x14ac:dyDescent="0.2">
      <c r="C2829" t="s">
        <v>7013</v>
      </c>
      <c r="D2829" s="13">
        <v>10</v>
      </c>
    </row>
    <row r="2830" spans="3:4" x14ac:dyDescent="0.2">
      <c r="C2830" t="s">
        <v>7233</v>
      </c>
      <c r="D2830" s="13">
        <v>10</v>
      </c>
    </row>
    <row r="2831" spans="3:4" x14ac:dyDescent="0.2">
      <c r="C2831" t="s">
        <v>7383</v>
      </c>
      <c r="D2831" s="13">
        <v>10</v>
      </c>
    </row>
    <row r="2832" spans="3:4" x14ac:dyDescent="0.2">
      <c r="C2832" t="s">
        <v>7947</v>
      </c>
      <c r="D2832" s="13">
        <v>10</v>
      </c>
    </row>
    <row r="2833" spans="3:4" x14ac:dyDescent="0.2">
      <c r="C2833" t="s">
        <v>8153</v>
      </c>
      <c r="D2833" s="13">
        <v>10</v>
      </c>
    </row>
    <row r="2834" spans="3:4" x14ac:dyDescent="0.2">
      <c r="C2834" t="s">
        <v>8264</v>
      </c>
      <c r="D2834" s="13">
        <v>10</v>
      </c>
    </row>
    <row r="2835" spans="3:4" x14ac:dyDescent="0.2">
      <c r="C2835" t="s">
        <v>929</v>
      </c>
      <c r="D2835" s="13">
        <v>10</v>
      </c>
    </row>
    <row r="2836" spans="3:4" x14ac:dyDescent="0.2">
      <c r="C2836" t="s">
        <v>2730</v>
      </c>
      <c r="D2836" s="13">
        <v>10</v>
      </c>
    </row>
    <row r="2837" spans="3:4" x14ac:dyDescent="0.2">
      <c r="C2837" t="s">
        <v>4107</v>
      </c>
      <c r="D2837" s="13">
        <v>10</v>
      </c>
    </row>
    <row r="2838" spans="3:4" x14ac:dyDescent="0.2">
      <c r="C2838" t="s">
        <v>4911</v>
      </c>
      <c r="D2838" s="13">
        <v>10</v>
      </c>
    </row>
    <row r="2839" spans="3:4" x14ac:dyDescent="0.2">
      <c r="C2839" t="s">
        <v>5385</v>
      </c>
      <c r="D2839" s="13">
        <v>10</v>
      </c>
    </row>
    <row r="2840" spans="3:4" x14ac:dyDescent="0.2">
      <c r="C2840" t="s">
        <v>6518</v>
      </c>
      <c r="D2840" s="13">
        <v>10</v>
      </c>
    </row>
    <row r="2841" spans="3:4" x14ac:dyDescent="0.2">
      <c r="C2841" t="s">
        <v>6955</v>
      </c>
      <c r="D2841" s="13">
        <v>10</v>
      </c>
    </row>
    <row r="2842" spans="3:4" x14ac:dyDescent="0.2">
      <c r="C2842" t="s">
        <v>7286</v>
      </c>
      <c r="D2842" s="13">
        <v>10</v>
      </c>
    </row>
    <row r="2843" spans="3:4" x14ac:dyDescent="0.2">
      <c r="C2843" t="s">
        <v>7524</v>
      </c>
      <c r="D2843" s="13">
        <v>10</v>
      </c>
    </row>
    <row r="2844" spans="3:4" x14ac:dyDescent="0.2">
      <c r="C2844" t="s">
        <v>8483</v>
      </c>
      <c r="D2844" s="13">
        <v>10</v>
      </c>
    </row>
    <row r="2845" spans="3:4" x14ac:dyDescent="0.2">
      <c r="C2845" t="s">
        <v>1225</v>
      </c>
      <c r="D2845" s="13">
        <v>10</v>
      </c>
    </row>
    <row r="2846" spans="3:4" x14ac:dyDescent="0.2">
      <c r="C2846" t="s">
        <v>1317</v>
      </c>
      <c r="D2846" s="13">
        <v>10</v>
      </c>
    </row>
    <row r="2847" spans="3:4" x14ac:dyDescent="0.2">
      <c r="C2847" t="s">
        <v>1884</v>
      </c>
      <c r="D2847" s="13">
        <v>10</v>
      </c>
    </row>
    <row r="2848" spans="3:4" x14ac:dyDescent="0.2">
      <c r="C2848" t="s">
        <v>3580</v>
      </c>
      <c r="D2848" s="13">
        <v>10</v>
      </c>
    </row>
    <row r="2849" spans="3:4" x14ac:dyDescent="0.2">
      <c r="C2849" t="s">
        <v>5611</v>
      </c>
      <c r="D2849" s="13">
        <v>10</v>
      </c>
    </row>
    <row r="2850" spans="3:4" x14ac:dyDescent="0.2">
      <c r="C2850" t="s">
        <v>8464</v>
      </c>
      <c r="D2850" s="13">
        <v>10</v>
      </c>
    </row>
    <row r="2851" spans="3:4" x14ac:dyDescent="0.2">
      <c r="C2851" t="s">
        <v>4592</v>
      </c>
      <c r="D2851" s="13">
        <v>10</v>
      </c>
    </row>
    <row r="2852" spans="3:4" x14ac:dyDescent="0.2">
      <c r="C2852" t="s">
        <v>4671</v>
      </c>
      <c r="D2852" s="13">
        <v>10</v>
      </c>
    </row>
    <row r="2853" spans="3:4" x14ac:dyDescent="0.2">
      <c r="C2853" t="s">
        <v>5801</v>
      </c>
      <c r="D2853" s="13">
        <v>10</v>
      </c>
    </row>
    <row r="2854" spans="3:4" x14ac:dyDescent="0.2">
      <c r="C2854" t="s">
        <v>2692</v>
      </c>
      <c r="D2854" s="13">
        <v>10</v>
      </c>
    </row>
    <row r="2855" spans="3:4" x14ac:dyDescent="0.2">
      <c r="C2855" t="s">
        <v>7870</v>
      </c>
      <c r="D2855" s="13">
        <v>10</v>
      </c>
    </row>
    <row r="2856" spans="3:4" x14ac:dyDescent="0.2">
      <c r="C2856" t="s">
        <v>5966</v>
      </c>
      <c r="D2856" s="13">
        <v>10</v>
      </c>
    </row>
    <row r="2857" spans="3:4" x14ac:dyDescent="0.2">
      <c r="C2857" t="s">
        <v>6026</v>
      </c>
      <c r="D2857" s="13">
        <v>10</v>
      </c>
    </row>
    <row r="2858" spans="3:4" x14ac:dyDescent="0.2">
      <c r="C2858" t="s">
        <v>537</v>
      </c>
      <c r="D2858" s="13">
        <v>10</v>
      </c>
    </row>
    <row r="2859" spans="3:4" x14ac:dyDescent="0.2">
      <c r="C2859" t="s">
        <v>675</v>
      </c>
      <c r="D2859" s="13">
        <v>10</v>
      </c>
    </row>
    <row r="2860" spans="3:4" x14ac:dyDescent="0.2">
      <c r="C2860" t="s">
        <v>1323</v>
      </c>
      <c r="D2860" s="13">
        <v>10</v>
      </c>
    </row>
    <row r="2861" spans="3:4" x14ac:dyDescent="0.2">
      <c r="C2861" t="s">
        <v>1997</v>
      </c>
      <c r="D2861" s="13">
        <v>10</v>
      </c>
    </row>
    <row r="2862" spans="3:4" x14ac:dyDescent="0.2">
      <c r="C2862" t="s">
        <v>2122</v>
      </c>
      <c r="D2862" s="13">
        <v>10</v>
      </c>
    </row>
    <row r="2863" spans="3:4" x14ac:dyDescent="0.2">
      <c r="C2863" t="s">
        <v>2262</v>
      </c>
      <c r="D2863" s="13">
        <v>10</v>
      </c>
    </row>
    <row r="2864" spans="3:4" x14ac:dyDescent="0.2">
      <c r="C2864" t="s">
        <v>4135</v>
      </c>
      <c r="D2864" s="13">
        <v>10</v>
      </c>
    </row>
    <row r="2865" spans="3:4" x14ac:dyDescent="0.2">
      <c r="C2865" t="s">
        <v>5534</v>
      </c>
      <c r="D2865" s="13">
        <v>10</v>
      </c>
    </row>
    <row r="2866" spans="3:4" x14ac:dyDescent="0.2">
      <c r="C2866" t="s">
        <v>7375</v>
      </c>
      <c r="D2866" s="13">
        <v>10</v>
      </c>
    </row>
    <row r="2867" spans="3:4" x14ac:dyDescent="0.2">
      <c r="C2867" t="s">
        <v>1376</v>
      </c>
      <c r="D2867" s="13">
        <v>10</v>
      </c>
    </row>
    <row r="2868" spans="3:4" x14ac:dyDescent="0.2">
      <c r="C2868" t="s">
        <v>1650</v>
      </c>
      <c r="D2868" s="13">
        <v>10</v>
      </c>
    </row>
    <row r="2869" spans="3:4" x14ac:dyDescent="0.2">
      <c r="C2869" t="s">
        <v>3123</v>
      </c>
      <c r="D2869" s="13">
        <v>10</v>
      </c>
    </row>
    <row r="2870" spans="3:4" x14ac:dyDescent="0.2">
      <c r="C2870" t="s">
        <v>3385</v>
      </c>
      <c r="D2870" s="13">
        <v>10</v>
      </c>
    </row>
    <row r="2871" spans="3:4" x14ac:dyDescent="0.2">
      <c r="C2871" t="s">
        <v>3647</v>
      </c>
      <c r="D2871" s="13">
        <v>10</v>
      </c>
    </row>
    <row r="2872" spans="3:4" x14ac:dyDescent="0.2">
      <c r="C2872" t="s">
        <v>3664</v>
      </c>
      <c r="D2872" s="13">
        <v>10</v>
      </c>
    </row>
    <row r="2873" spans="3:4" x14ac:dyDescent="0.2">
      <c r="C2873" t="s">
        <v>5913</v>
      </c>
      <c r="D2873" s="13">
        <v>10</v>
      </c>
    </row>
    <row r="2874" spans="3:4" x14ac:dyDescent="0.2">
      <c r="C2874" t="s">
        <v>6712</v>
      </c>
      <c r="D2874" s="13">
        <v>10</v>
      </c>
    </row>
    <row r="2875" spans="3:4" x14ac:dyDescent="0.2">
      <c r="C2875" t="s">
        <v>8508</v>
      </c>
      <c r="D2875" s="13">
        <v>10</v>
      </c>
    </row>
    <row r="2876" spans="3:4" x14ac:dyDescent="0.2">
      <c r="C2876" t="s">
        <v>138</v>
      </c>
      <c r="D2876" s="13">
        <v>10</v>
      </c>
    </row>
    <row r="2877" spans="3:4" x14ac:dyDescent="0.2">
      <c r="C2877" t="s">
        <v>191</v>
      </c>
      <c r="D2877" s="13">
        <v>10</v>
      </c>
    </row>
    <row r="2878" spans="3:4" x14ac:dyDescent="0.2">
      <c r="C2878" t="s">
        <v>221</v>
      </c>
      <c r="D2878" s="13">
        <v>10</v>
      </c>
    </row>
    <row r="2879" spans="3:4" x14ac:dyDescent="0.2">
      <c r="C2879" t="s">
        <v>223</v>
      </c>
      <c r="D2879" s="13">
        <v>10</v>
      </c>
    </row>
    <row r="2880" spans="3:4" x14ac:dyDescent="0.2">
      <c r="C2880" t="s">
        <v>229</v>
      </c>
      <c r="D2880" s="13">
        <v>10</v>
      </c>
    </row>
    <row r="2881" spans="3:4" x14ac:dyDescent="0.2">
      <c r="C2881" t="s">
        <v>246</v>
      </c>
      <c r="D2881" s="13">
        <v>10</v>
      </c>
    </row>
    <row r="2882" spans="3:4" x14ac:dyDescent="0.2">
      <c r="C2882" t="s">
        <v>533</v>
      </c>
      <c r="D2882" s="13">
        <v>10</v>
      </c>
    </row>
    <row r="2883" spans="3:4" x14ac:dyDescent="0.2">
      <c r="C2883" t="s">
        <v>612</v>
      </c>
      <c r="D2883" s="13">
        <v>10</v>
      </c>
    </row>
    <row r="2884" spans="3:4" x14ac:dyDescent="0.2">
      <c r="C2884" t="s">
        <v>659</v>
      </c>
      <c r="D2884" s="13">
        <v>10</v>
      </c>
    </row>
    <row r="2885" spans="3:4" x14ac:dyDescent="0.2">
      <c r="C2885" t="s">
        <v>737</v>
      </c>
      <c r="D2885" s="13">
        <v>10</v>
      </c>
    </row>
    <row r="2886" spans="3:4" x14ac:dyDescent="0.2">
      <c r="C2886" t="s">
        <v>803</v>
      </c>
      <c r="D2886" s="13">
        <v>10</v>
      </c>
    </row>
    <row r="2887" spans="3:4" x14ac:dyDescent="0.2">
      <c r="C2887" t="s">
        <v>825</v>
      </c>
      <c r="D2887" s="13">
        <v>10</v>
      </c>
    </row>
    <row r="2888" spans="3:4" x14ac:dyDescent="0.2">
      <c r="C2888" t="s">
        <v>841</v>
      </c>
      <c r="D2888" s="13">
        <v>10</v>
      </c>
    </row>
    <row r="2889" spans="3:4" x14ac:dyDescent="0.2">
      <c r="C2889" t="s">
        <v>866</v>
      </c>
      <c r="D2889" s="13">
        <v>10</v>
      </c>
    </row>
    <row r="2890" spans="3:4" x14ac:dyDescent="0.2">
      <c r="C2890" t="s">
        <v>945</v>
      </c>
      <c r="D2890" s="13">
        <v>10</v>
      </c>
    </row>
    <row r="2891" spans="3:4" x14ac:dyDescent="0.2">
      <c r="C2891" t="s">
        <v>999</v>
      </c>
      <c r="D2891" s="13">
        <v>10</v>
      </c>
    </row>
    <row r="2892" spans="3:4" x14ac:dyDescent="0.2">
      <c r="C2892" t="s">
        <v>1003</v>
      </c>
      <c r="D2892" s="13">
        <v>10</v>
      </c>
    </row>
    <row r="2893" spans="3:4" x14ac:dyDescent="0.2">
      <c r="C2893" t="s">
        <v>1037</v>
      </c>
      <c r="D2893" s="13">
        <v>10</v>
      </c>
    </row>
    <row r="2894" spans="3:4" x14ac:dyDescent="0.2">
      <c r="C2894" t="s">
        <v>1065</v>
      </c>
      <c r="D2894" s="13">
        <v>10</v>
      </c>
    </row>
    <row r="2895" spans="3:4" x14ac:dyDescent="0.2">
      <c r="C2895" t="s">
        <v>1138</v>
      </c>
      <c r="D2895" s="13">
        <v>10</v>
      </c>
    </row>
    <row r="2896" spans="3:4" x14ac:dyDescent="0.2">
      <c r="C2896" t="s">
        <v>1161</v>
      </c>
      <c r="D2896" s="13">
        <v>10</v>
      </c>
    </row>
    <row r="2897" spans="3:4" x14ac:dyDescent="0.2">
      <c r="C2897" t="s">
        <v>1163</v>
      </c>
      <c r="D2897" s="13">
        <v>10</v>
      </c>
    </row>
    <row r="2898" spans="3:4" x14ac:dyDescent="0.2">
      <c r="C2898" t="s">
        <v>1169</v>
      </c>
      <c r="D2898" s="13">
        <v>10</v>
      </c>
    </row>
    <row r="2899" spans="3:4" x14ac:dyDescent="0.2">
      <c r="C2899" t="s">
        <v>1343</v>
      </c>
      <c r="D2899" s="13">
        <v>10</v>
      </c>
    </row>
    <row r="2900" spans="3:4" x14ac:dyDescent="0.2">
      <c r="C2900" t="s">
        <v>1458</v>
      </c>
      <c r="D2900" s="13">
        <v>10</v>
      </c>
    </row>
    <row r="2901" spans="3:4" x14ac:dyDescent="0.2">
      <c r="C2901" t="s">
        <v>1487</v>
      </c>
      <c r="D2901" s="13">
        <v>10</v>
      </c>
    </row>
    <row r="2902" spans="3:4" x14ac:dyDescent="0.2">
      <c r="C2902" t="s">
        <v>1591</v>
      </c>
      <c r="D2902" s="13">
        <v>10</v>
      </c>
    </row>
    <row r="2903" spans="3:4" x14ac:dyDescent="0.2">
      <c r="C2903" t="s">
        <v>1782</v>
      </c>
      <c r="D2903" s="13">
        <v>10</v>
      </c>
    </row>
    <row r="2904" spans="3:4" x14ac:dyDescent="0.2">
      <c r="C2904" t="s">
        <v>1864</v>
      </c>
      <c r="D2904" s="13">
        <v>10</v>
      </c>
    </row>
    <row r="2905" spans="3:4" x14ac:dyDescent="0.2">
      <c r="C2905" t="s">
        <v>1898</v>
      </c>
      <c r="D2905" s="13">
        <v>10</v>
      </c>
    </row>
    <row r="2906" spans="3:4" x14ac:dyDescent="0.2">
      <c r="C2906" t="s">
        <v>1963</v>
      </c>
      <c r="D2906" s="13">
        <v>10</v>
      </c>
    </row>
    <row r="2907" spans="3:4" x14ac:dyDescent="0.2">
      <c r="C2907" t="s">
        <v>2120</v>
      </c>
      <c r="D2907" s="13">
        <v>10</v>
      </c>
    </row>
    <row r="2908" spans="3:4" x14ac:dyDescent="0.2">
      <c r="C2908" t="s">
        <v>2174</v>
      </c>
      <c r="D2908" s="13">
        <v>10</v>
      </c>
    </row>
    <row r="2909" spans="3:4" x14ac:dyDescent="0.2">
      <c r="C2909" t="s">
        <v>2187</v>
      </c>
      <c r="D2909" s="13">
        <v>10</v>
      </c>
    </row>
    <row r="2910" spans="3:4" x14ac:dyDescent="0.2">
      <c r="C2910" t="s">
        <v>2191</v>
      </c>
      <c r="D2910" s="13">
        <v>10</v>
      </c>
    </row>
    <row r="2911" spans="3:4" x14ac:dyDescent="0.2">
      <c r="C2911" t="s">
        <v>2210</v>
      </c>
      <c r="D2911" s="13">
        <v>10</v>
      </c>
    </row>
    <row r="2912" spans="3:4" x14ac:dyDescent="0.2">
      <c r="C2912" t="s">
        <v>2214</v>
      </c>
      <c r="D2912" s="13">
        <v>10</v>
      </c>
    </row>
    <row r="2913" spans="3:4" x14ac:dyDescent="0.2">
      <c r="C2913" t="s">
        <v>2268</v>
      </c>
      <c r="D2913" s="13">
        <v>10</v>
      </c>
    </row>
    <row r="2914" spans="3:4" x14ac:dyDescent="0.2">
      <c r="C2914" t="s">
        <v>2331</v>
      </c>
      <c r="D2914" s="13">
        <v>10</v>
      </c>
    </row>
    <row r="2915" spans="3:4" x14ac:dyDescent="0.2">
      <c r="C2915" t="s">
        <v>2360</v>
      </c>
      <c r="D2915" s="13">
        <v>10</v>
      </c>
    </row>
    <row r="2916" spans="3:4" x14ac:dyDescent="0.2">
      <c r="C2916" t="s">
        <v>2445</v>
      </c>
      <c r="D2916" s="13">
        <v>10</v>
      </c>
    </row>
    <row r="2917" spans="3:4" x14ac:dyDescent="0.2">
      <c r="C2917" t="s">
        <v>2498</v>
      </c>
      <c r="D2917" s="13">
        <v>10</v>
      </c>
    </row>
    <row r="2918" spans="3:4" x14ac:dyDescent="0.2">
      <c r="C2918" t="s">
        <v>2599</v>
      </c>
      <c r="D2918" s="13">
        <v>10</v>
      </c>
    </row>
    <row r="2919" spans="3:4" x14ac:dyDescent="0.2">
      <c r="C2919" t="s">
        <v>2679</v>
      </c>
      <c r="D2919" s="13">
        <v>10</v>
      </c>
    </row>
    <row r="2920" spans="3:4" x14ac:dyDescent="0.2">
      <c r="C2920" t="s">
        <v>2694</v>
      </c>
      <c r="D2920" s="13">
        <v>10</v>
      </c>
    </row>
    <row r="2921" spans="3:4" x14ac:dyDescent="0.2">
      <c r="C2921" t="s">
        <v>2696</v>
      </c>
      <c r="D2921" s="13">
        <v>10</v>
      </c>
    </row>
    <row r="2922" spans="3:4" x14ac:dyDescent="0.2">
      <c r="C2922" t="s">
        <v>2751</v>
      </c>
      <c r="D2922" s="13">
        <v>10</v>
      </c>
    </row>
    <row r="2923" spans="3:4" x14ac:dyDescent="0.2">
      <c r="C2923" t="s">
        <v>2860</v>
      </c>
      <c r="D2923" s="13">
        <v>10</v>
      </c>
    </row>
    <row r="2924" spans="3:4" x14ac:dyDescent="0.2">
      <c r="C2924" t="s">
        <v>2954</v>
      </c>
      <c r="D2924" s="13">
        <v>10</v>
      </c>
    </row>
    <row r="2925" spans="3:4" x14ac:dyDescent="0.2">
      <c r="C2925" t="s">
        <v>2966</v>
      </c>
      <c r="D2925" s="13">
        <v>10</v>
      </c>
    </row>
    <row r="2926" spans="3:4" x14ac:dyDescent="0.2">
      <c r="C2926" t="s">
        <v>3016</v>
      </c>
      <c r="D2926" s="13">
        <v>10</v>
      </c>
    </row>
    <row r="2927" spans="3:4" x14ac:dyDescent="0.2">
      <c r="C2927" t="s">
        <v>3045</v>
      </c>
      <c r="D2927" s="13">
        <v>10</v>
      </c>
    </row>
    <row r="2928" spans="3:4" x14ac:dyDescent="0.2">
      <c r="C2928" t="s">
        <v>3154</v>
      </c>
      <c r="D2928" s="13">
        <v>10</v>
      </c>
    </row>
    <row r="2929" spans="3:4" x14ac:dyDescent="0.2">
      <c r="C2929" t="s">
        <v>3186</v>
      </c>
      <c r="D2929" s="13">
        <v>10</v>
      </c>
    </row>
    <row r="2930" spans="3:4" x14ac:dyDescent="0.2">
      <c r="C2930" t="s">
        <v>3200</v>
      </c>
      <c r="D2930" s="13">
        <v>10</v>
      </c>
    </row>
    <row r="2931" spans="3:4" x14ac:dyDescent="0.2">
      <c r="C2931" t="s">
        <v>3272</v>
      </c>
      <c r="D2931" s="13">
        <v>10</v>
      </c>
    </row>
    <row r="2932" spans="3:4" x14ac:dyDescent="0.2">
      <c r="C2932" t="s">
        <v>3331</v>
      </c>
      <c r="D2932" s="13">
        <v>10</v>
      </c>
    </row>
    <row r="2933" spans="3:4" x14ac:dyDescent="0.2">
      <c r="C2933" t="s">
        <v>3358</v>
      </c>
      <c r="D2933" s="13">
        <v>10</v>
      </c>
    </row>
    <row r="2934" spans="3:4" x14ac:dyDescent="0.2">
      <c r="C2934" t="s">
        <v>3359</v>
      </c>
      <c r="D2934" s="13">
        <v>10</v>
      </c>
    </row>
    <row r="2935" spans="3:4" x14ac:dyDescent="0.2">
      <c r="C2935" t="s">
        <v>3437</v>
      </c>
      <c r="D2935" s="13">
        <v>10</v>
      </c>
    </row>
    <row r="2936" spans="3:4" x14ac:dyDescent="0.2">
      <c r="C2936" t="s">
        <v>3543</v>
      </c>
      <c r="D2936" s="13">
        <v>10</v>
      </c>
    </row>
    <row r="2937" spans="3:4" x14ac:dyDescent="0.2">
      <c r="C2937" t="s">
        <v>3713</v>
      </c>
      <c r="D2937" s="13">
        <v>10</v>
      </c>
    </row>
    <row r="2938" spans="3:4" x14ac:dyDescent="0.2">
      <c r="C2938" t="s">
        <v>3813</v>
      </c>
      <c r="D2938" s="13">
        <v>10</v>
      </c>
    </row>
    <row r="2939" spans="3:4" x14ac:dyDescent="0.2">
      <c r="C2939" t="s">
        <v>3845</v>
      </c>
      <c r="D2939" s="13">
        <v>10</v>
      </c>
    </row>
    <row r="2940" spans="3:4" x14ac:dyDescent="0.2">
      <c r="C2940" t="s">
        <v>3921</v>
      </c>
      <c r="D2940" s="13">
        <v>10</v>
      </c>
    </row>
    <row r="2941" spans="3:4" x14ac:dyDescent="0.2">
      <c r="C2941" t="s">
        <v>3952</v>
      </c>
      <c r="D2941" s="13">
        <v>10</v>
      </c>
    </row>
    <row r="2942" spans="3:4" x14ac:dyDescent="0.2">
      <c r="C2942" t="s">
        <v>3984</v>
      </c>
      <c r="D2942" s="13">
        <v>10</v>
      </c>
    </row>
    <row r="2943" spans="3:4" x14ac:dyDescent="0.2">
      <c r="C2943" t="s">
        <v>4027</v>
      </c>
      <c r="D2943" s="13">
        <v>10</v>
      </c>
    </row>
    <row r="2944" spans="3:4" x14ac:dyDescent="0.2">
      <c r="C2944" t="s">
        <v>4115</v>
      </c>
      <c r="D2944" s="13">
        <v>10</v>
      </c>
    </row>
    <row r="2945" spans="3:4" x14ac:dyDescent="0.2">
      <c r="C2945" t="s">
        <v>4190</v>
      </c>
      <c r="D2945" s="13">
        <v>10</v>
      </c>
    </row>
    <row r="2946" spans="3:4" x14ac:dyDescent="0.2">
      <c r="C2946" t="s">
        <v>4234</v>
      </c>
      <c r="D2946" s="13">
        <v>10</v>
      </c>
    </row>
    <row r="2947" spans="3:4" x14ac:dyDescent="0.2">
      <c r="C2947" t="s">
        <v>4278</v>
      </c>
      <c r="D2947" s="13">
        <v>10</v>
      </c>
    </row>
    <row r="2948" spans="3:4" x14ac:dyDescent="0.2">
      <c r="C2948" t="s">
        <v>4335</v>
      </c>
      <c r="D2948" s="13">
        <v>10</v>
      </c>
    </row>
    <row r="2949" spans="3:4" x14ac:dyDescent="0.2">
      <c r="C2949" t="s">
        <v>4364</v>
      </c>
      <c r="D2949" s="13">
        <v>10</v>
      </c>
    </row>
    <row r="2950" spans="3:4" x14ac:dyDescent="0.2">
      <c r="C2950" t="s">
        <v>4436</v>
      </c>
      <c r="D2950" s="13">
        <v>10</v>
      </c>
    </row>
    <row r="2951" spans="3:4" x14ac:dyDescent="0.2">
      <c r="C2951" t="s">
        <v>4534</v>
      </c>
      <c r="D2951" s="13">
        <v>10</v>
      </c>
    </row>
    <row r="2952" spans="3:4" x14ac:dyDescent="0.2">
      <c r="C2952" t="s">
        <v>4582</v>
      </c>
      <c r="D2952" s="13">
        <v>10</v>
      </c>
    </row>
    <row r="2953" spans="3:4" x14ac:dyDescent="0.2">
      <c r="C2953" t="s">
        <v>4630</v>
      </c>
      <c r="D2953" s="13">
        <v>10</v>
      </c>
    </row>
    <row r="2954" spans="3:4" x14ac:dyDescent="0.2">
      <c r="C2954" t="s">
        <v>4659</v>
      </c>
      <c r="D2954" s="13">
        <v>10</v>
      </c>
    </row>
    <row r="2955" spans="3:4" x14ac:dyDescent="0.2">
      <c r="C2955" t="s">
        <v>4745</v>
      </c>
      <c r="D2955" s="13">
        <v>10</v>
      </c>
    </row>
    <row r="2956" spans="3:4" x14ac:dyDescent="0.2">
      <c r="C2956" t="s">
        <v>4782</v>
      </c>
      <c r="D2956" s="13">
        <v>10</v>
      </c>
    </row>
    <row r="2957" spans="3:4" x14ac:dyDescent="0.2">
      <c r="C2957" t="s">
        <v>4874</v>
      </c>
      <c r="D2957" s="13">
        <v>10</v>
      </c>
    </row>
    <row r="2958" spans="3:4" x14ac:dyDescent="0.2">
      <c r="C2958" t="s">
        <v>4915</v>
      </c>
      <c r="D2958" s="13">
        <v>10</v>
      </c>
    </row>
    <row r="2959" spans="3:4" x14ac:dyDescent="0.2">
      <c r="C2959" t="s">
        <v>4918</v>
      </c>
      <c r="D2959" s="13">
        <v>10</v>
      </c>
    </row>
    <row r="2960" spans="3:4" x14ac:dyDescent="0.2">
      <c r="C2960" t="s">
        <v>4949</v>
      </c>
      <c r="D2960" s="13">
        <v>10</v>
      </c>
    </row>
    <row r="2961" spans="3:4" x14ac:dyDescent="0.2">
      <c r="C2961" t="s">
        <v>4957</v>
      </c>
      <c r="D2961" s="13">
        <v>10</v>
      </c>
    </row>
    <row r="2962" spans="3:4" x14ac:dyDescent="0.2">
      <c r="C2962" t="s">
        <v>5215</v>
      </c>
      <c r="D2962" s="13">
        <v>10</v>
      </c>
    </row>
    <row r="2963" spans="3:4" x14ac:dyDescent="0.2">
      <c r="C2963" t="s">
        <v>5223</v>
      </c>
      <c r="D2963" s="13">
        <v>10</v>
      </c>
    </row>
    <row r="2964" spans="3:4" x14ac:dyDescent="0.2">
      <c r="C2964" t="s">
        <v>5362</v>
      </c>
      <c r="D2964" s="13">
        <v>10</v>
      </c>
    </row>
    <row r="2965" spans="3:4" x14ac:dyDescent="0.2">
      <c r="C2965" t="s">
        <v>5391</v>
      </c>
      <c r="D2965" s="13">
        <v>10</v>
      </c>
    </row>
    <row r="2966" spans="3:4" x14ac:dyDescent="0.2">
      <c r="C2966" t="s">
        <v>5516</v>
      </c>
      <c r="D2966" s="13">
        <v>10</v>
      </c>
    </row>
    <row r="2967" spans="3:4" x14ac:dyDescent="0.2">
      <c r="C2967" t="s">
        <v>5609</v>
      </c>
      <c r="D2967" s="13">
        <v>10</v>
      </c>
    </row>
    <row r="2968" spans="3:4" x14ac:dyDescent="0.2">
      <c r="C2968" t="s">
        <v>5661</v>
      </c>
      <c r="D2968" s="13">
        <v>10</v>
      </c>
    </row>
    <row r="2969" spans="3:4" x14ac:dyDescent="0.2">
      <c r="C2969" t="s">
        <v>5687</v>
      </c>
      <c r="D2969" s="13">
        <v>10</v>
      </c>
    </row>
    <row r="2970" spans="3:4" x14ac:dyDescent="0.2">
      <c r="C2970" t="s">
        <v>5811</v>
      </c>
      <c r="D2970" s="13">
        <v>10</v>
      </c>
    </row>
    <row r="2971" spans="3:4" x14ac:dyDescent="0.2">
      <c r="C2971" t="s">
        <v>5819</v>
      </c>
      <c r="D2971" s="13">
        <v>10</v>
      </c>
    </row>
    <row r="2972" spans="3:4" x14ac:dyDescent="0.2">
      <c r="C2972" t="s">
        <v>5849</v>
      </c>
      <c r="D2972" s="13">
        <v>10</v>
      </c>
    </row>
    <row r="2973" spans="3:4" x14ac:dyDescent="0.2">
      <c r="C2973" t="s">
        <v>5926</v>
      </c>
      <c r="D2973" s="13">
        <v>10</v>
      </c>
    </row>
    <row r="2974" spans="3:4" x14ac:dyDescent="0.2">
      <c r="C2974" t="s">
        <v>6032</v>
      </c>
      <c r="D2974" s="13">
        <v>10</v>
      </c>
    </row>
    <row r="2975" spans="3:4" x14ac:dyDescent="0.2">
      <c r="C2975" t="s">
        <v>6046</v>
      </c>
      <c r="D2975" s="13">
        <v>10</v>
      </c>
    </row>
    <row r="2976" spans="3:4" x14ac:dyDescent="0.2">
      <c r="C2976" t="s">
        <v>6078</v>
      </c>
      <c r="D2976" s="13">
        <v>10</v>
      </c>
    </row>
    <row r="2977" spans="3:4" x14ac:dyDescent="0.2">
      <c r="C2977" t="s">
        <v>6124</v>
      </c>
      <c r="D2977" s="13">
        <v>10</v>
      </c>
    </row>
    <row r="2978" spans="3:4" x14ac:dyDescent="0.2">
      <c r="C2978" t="s">
        <v>6189</v>
      </c>
      <c r="D2978" s="13">
        <v>10</v>
      </c>
    </row>
    <row r="2979" spans="3:4" x14ac:dyDescent="0.2">
      <c r="C2979" t="s">
        <v>6290</v>
      </c>
      <c r="D2979" s="13">
        <v>10</v>
      </c>
    </row>
    <row r="2980" spans="3:4" x14ac:dyDescent="0.2">
      <c r="C2980" t="s">
        <v>6333</v>
      </c>
      <c r="D2980" s="13">
        <v>10</v>
      </c>
    </row>
    <row r="2981" spans="3:4" x14ac:dyDescent="0.2">
      <c r="C2981" t="s">
        <v>6379</v>
      </c>
      <c r="D2981" s="13">
        <v>10</v>
      </c>
    </row>
    <row r="2982" spans="3:4" x14ac:dyDescent="0.2">
      <c r="C2982" t="s">
        <v>6385</v>
      </c>
      <c r="D2982" s="13">
        <v>10</v>
      </c>
    </row>
    <row r="2983" spans="3:4" x14ac:dyDescent="0.2">
      <c r="C2983" t="s">
        <v>6408</v>
      </c>
      <c r="D2983" s="13">
        <v>10</v>
      </c>
    </row>
    <row r="2984" spans="3:4" x14ac:dyDescent="0.2">
      <c r="C2984" t="s">
        <v>6704</v>
      </c>
      <c r="D2984" s="13">
        <v>10</v>
      </c>
    </row>
    <row r="2985" spans="3:4" x14ac:dyDescent="0.2">
      <c r="C2985" t="s">
        <v>6848</v>
      </c>
      <c r="D2985" s="13">
        <v>10</v>
      </c>
    </row>
    <row r="2986" spans="3:4" x14ac:dyDescent="0.2">
      <c r="C2986" t="s">
        <v>6923</v>
      </c>
      <c r="D2986" s="13">
        <v>10</v>
      </c>
    </row>
    <row r="2987" spans="3:4" x14ac:dyDescent="0.2">
      <c r="C2987" t="s">
        <v>7009</v>
      </c>
      <c r="D2987" s="13">
        <v>10</v>
      </c>
    </row>
    <row r="2988" spans="3:4" x14ac:dyDescent="0.2">
      <c r="C2988" t="s">
        <v>7051</v>
      </c>
      <c r="D2988" s="13">
        <v>10</v>
      </c>
    </row>
    <row r="2989" spans="3:4" x14ac:dyDescent="0.2">
      <c r="C2989" t="s">
        <v>7072</v>
      </c>
      <c r="D2989" s="13">
        <v>10</v>
      </c>
    </row>
    <row r="2990" spans="3:4" x14ac:dyDescent="0.2">
      <c r="C2990" t="s">
        <v>7122</v>
      </c>
      <c r="D2990" s="13">
        <v>10</v>
      </c>
    </row>
    <row r="2991" spans="3:4" x14ac:dyDescent="0.2">
      <c r="C2991" t="s">
        <v>7167</v>
      </c>
      <c r="D2991" s="13">
        <v>10</v>
      </c>
    </row>
    <row r="2992" spans="3:4" x14ac:dyDescent="0.2">
      <c r="C2992" t="s">
        <v>7198</v>
      </c>
      <c r="D2992" s="13">
        <v>10</v>
      </c>
    </row>
    <row r="2993" spans="3:4" x14ac:dyDescent="0.2">
      <c r="C2993" t="s">
        <v>7270</v>
      </c>
      <c r="D2993" s="13">
        <v>10</v>
      </c>
    </row>
    <row r="2994" spans="3:4" x14ac:dyDescent="0.2">
      <c r="C2994" t="s">
        <v>7276</v>
      </c>
      <c r="D2994" s="13">
        <v>10</v>
      </c>
    </row>
    <row r="2995" spans="3:4" x14ac:dyDescent="0.2">
      <c r="C2995" t="s">
        <v>7284</v>
      </c>
      <c r="D2995" s="13">
        <v>10</v>
      </c>
    </row>
    <row r="2996" spans="3:4" x14ac:dyDescent="0.2">
      <c r="C2996" t="s">
        <v>7347</v>
      </c>
      <c r="D2996" s="13">
        <v>10</v>
      </c>
    </row>
    <row r="2997" spans="3:4" x14ac:dyDescent="0.2">
      <c r="C2997" t="s">
        <v>7354</v>
      </c>
      <c r="D2997" s="13">
        <v>10</v>
      </c>
    </row>
    <row r="2998" spans="3:4" x14ac:dyDescent="0.2">
      <c r="C2998" t="s">
        <v>7526</v>
      </c>
      <c r="D2998" s="13">
        <v>10</v>
      </c>
    </row>
    <row r="2999" spans="3:4" x14ac:dyDescent="0.2">
      <c r="C2999" t="s">
        <v>7528</v>
      </c>
      <c r="D2999" s="13">
        <v>10</v>
      </c>
    </row>
    <row r="3000" spans="3:4" x14ac:dyDescent="0.2">
      <c r="C3000" t="s">
        <v>7612</v>
      </c>
      <c r="D3000" s="13">
        <v>10</v>
      </c>
    </row>
    <row r="3001" spans="3:4" x14ac:dyDescent="0.2">
      <c r="C3001" t="s">
        <v>7645</v>
      </c>
      <c r="D3001" s="13">
        <v>10</v>
      </c>
    </row>
    <row r="3002" spans="3:4" x14ac:dyDescent="0.2">
      <c r="C3002" t="s">
        <v>7765</v>
      </c>
      <c r="D3002" s="13">
        <v>10</v>
      </c>
    </row>
    <row r="3003" spans="3:4" x14ac:dyDescent="0.2">
      <c r="C3003" t="s">
        <v>7876</v>
      </c>
      <c r="D3003" s="13">
        <v>10</v>
      </c>
    </row>
    <row r="3004" spans="3:4" x14ac:dyDescent="0.2">
      <c r="C3004" t="s">
        <v>7955</v>
      </c>
      <c r="D3004" s="13">
        <v>10</v>
      </c>
    </row>
    <row r="3005" spans="3:4" x14ac:dyDescent="0.2">
      <c r="C3005" t="s">
        <v>7993</v>
      </c>
      <c r="D3005" s="13">
        <v>10</v>
      </c>
    </row>
    <row r="3006" spans="3:4" x14ac:dyDescent="0.2">
      <c r="C3006" t="s">
        <v>8079</v>
      </c>
      <c r="D3006" s="13">
        <v>10</v>
      </c>
    </row>
    <row r="3007" spans="3:4" x14ac:dyDescent="0.2">
      <c r="C3007" t="s">
        <v>8097</v>
      </c>
      <c r="D3007" s="13">
        <v>10</v>
      </c>
    </row>
    <row r="3008" spans="3:4" x14ac:dyDescent="0.2">
      <c r="C3008" t="s">
        <v>8183</v>
      </c>
      <c r="D3008" s="13">
        <v>10</v>
      </c>
    </row>
    <row r="3009" spans="3:4" x14ac:dyDescent="0.2">
      <c r="C3009" t="s">
        <v>8189</v>
      </c>
      <c r="D3009" s="13">
        <v>10</v>
      </c>
    </row>
    <row r="3010" spans="3:4" x14ac:dyDescent="0.2">
      <c r="C3010" t="s">
        <v>8251</v>
      </c>
      <c r="D3010" s="13">
        <v>10</v>
      </c>
    </row>
    <row r="3011" spans="3:4" x14ac:dyDescent="0.2">
      <c r="C3011" t="s">
        <v>8285</v>
      </c>
      <c r="D3011" s="13">
        <v>10</v>
      </c>
    </row>
    <row r="3012" spans="3:4" x14ac:dyDescent="0.2">
      <c r="C3012" t="s">
        <v>8352</v>
      </c>
      <c r="D3012" s="13">
        <v>10</v>
      </c>
    </row>
    <row r="3013" spans="3:4" x14ac:dyDescent="0.2">
      <c r="C3013" t="s">
        <v>8379</v>
      </c>
      <c r="D3013" s="13">
        <v>10</v>
      </c>
    </row>
    <row r="3014" spans="3:4" x14ac:dyDescent="0.2">
      <c r="C3014" t="s">
        <v>8381</v>
      </c>
      <c r="D3014" s="13">
        <v>10</v>
      </c>
    </row>
    <row r="3015" spans="3:4" x14ac:dyDescent="0.2">
      <c r="C3015" t="s">
        <v>8383</v>
      </c>
      <c r="D3015" s="13">
        <v>10</v>
      </c>
    </row>
    <row r="3016" spans="3:4" x14ac:dyDescent="0.2">
      <c r="C3016" t="s">
        <v>8393</v>
      </c>
      <c r="D3016" s="13">
        <v>10</v>
      </c>
    </row>
    <row r="3017" spans="3:4" x14ac:dyDescent="0.2">
      <c r="C3017" t="s">
        <v>8395</v>
      </c>
      <c r="D3017" s="13">
        <v>10</v>
      </c>
    </row>
    <row r="3018" spans="3:4" x14ac:dyDescent="0.2">
      <c r="C3018" t="s">
        <v>8460</v>
      </c>
      <c r="D3018" s="13">
        <v>10</v>
      </c>
    </row>
    <row r="3019" spans="3:4" x14ac:dyDescent="0.2">
      <c r="C3019" t="s">
        <v>8514</v>
      </c>
      <c r="D3019" s="13">
        <v>10</v>
      </c>
    </row>
    <row r="3020" spans="3:4" x14ac:dyDescent="0.2">
      <c r="C3020" t="s">
        <v>8558</v>
      </c>
      <c r="D3020" s="13">
        <v>10</v>
      </c>
    </row>
    <row r="3021" spans="3:4" x14ac:dyDescent="0.2">
      <c r="C3021" t="s">
        <v>8591</v>
      </c>
      <c r="D3021" s="13">
        <v>10</v>
      </c>
    </row>
    <row r="3022" spans="3:4" x14ac:dyDescent="0.2">
      <c r="C3022" t="s">
        <v>8689</v>
      </c>
      <c r="D3022" s="13">
        <v>10</v>
      </c>
    </row>
    <row r="3023" spans="3:4" x14ac:dyDescent="0.2">
      <c r="C3023" t="s">
        <v>688</v>
      </c>
      <c r="D3023" s="13">
        <v>10</v>
      </c>
    </row>
    <row r="3024" spans="3:4" x14ac:dyDescent="0.2">
      <c r="C3024" t="s">
        <v>1015</v>
      </c>
      <c r="D3024" s="13">
        <v>10</v>
      </c>
    </row>
    <row r="3025" spans="3:4" x14ac:dyDescent="0.2">
      <c r="C3025" t="s">
        <v>1715</v>
      </c>
      <c r="D3025" s="13">
        <v>10</v>
      </c>
    </row>
    <row r="3026" spans="3:4" x14ac:dyDescent="0.2">
      <c r="C3026" t="s">
        <v>2700</v>
      </c>
      <c r="D3026" s="13">
        <v>10</v>
      </c>
    </row>
    <row r="3027" spans="3:4" x14ac:dyDescent="0.2">
      <c r="C3027" t="s">
        <v>4656</v>
      </c>
      <c r="D3027" s="13">
        <v>10</v>
      </c>
    </row>
    <row r="3028" spans="3:4" x14ac:dyDescent="0.2">
      <c r="C3028" t="s">
        <v>4921</v>
      </c>
      <c r="D3028" s="13">
        <v>10</v>
      </c>
    </row>
    <row r="3029" spans="3:4" x14ac:dyDescent="0.2">
      <c r="C3029" t="s">
        <v>8283</v>
      </c>
      <c r="D3029" s="13">
        <v>10</v>
      </c>
    </row>
    <row r="3030" spans="3:4" x14ac:dyDescent="0.2">
      <c r="C3030" t="s">
        <v>8685</v>
      </c>
      <c r="D3030" s="13">
        <v>10</v>
      </c>
    </row>
    <row r="3031" spans="3:4" x14ac:dyDescent="0.2">
      <c r="C3031" t="s">
        <v>2389</v>
      </c>
      <c r="D3031" s="13">
        <v>10</v>
      </c>
    </row>
    <row r="3032" spans="3:4" x14ac:dyDescent="0.2">
      <c r="C3032" t="s">
        <v>2718</v>
      </c>
      <c r="D3032" s="13">
        <v>10</v>
      </c>
    </row>
    <row r="3033" spans="3:4" x14ac:dyDescent="0.2">
      <c r="C3033" t="s">
        <v>4102</v>
      </c>
      <c r="D3033" s="13">
        <v>10</v>
      </c>
    </row>
    <row r="3034" spans="3:4" x14ac:dyDescent="0.2">
      <c r="C3034" t="s">
        <v>4831</v>
      </c>
      <c r="D3034" s="13">
        <v>10</v>
      </c>
    </row>
    <row r="3035" spans="3:4" x14ac:dyDescent="0.2">
      <c r="C3035" t="s">
        <v>5639</v>
      </c>
      <c r="D3035" s="13">
        <v>10</v>
      </c>
    </row>
    <row r="3036" spans="3:4" x14ac:dyDescent="0.2">
      <c r="C3036" t="s">
        <v>5679</v>
      </c>
      <c r="D3036" s="13">
        <v>10</v>
      </c>
    </row>
    <row r="3037" spans="3:4" x14ac:dyDescent="0.2">
      <c r="C3037" t="s">
        <v>7685</v>
      </c>
      <c r="D3037" s="13">
        <v>10</v>
      </c>
    </row>
    <row r="3038" spans="3:4" x14ac:dyDescent="0.2">
      <c r="C3038" t="s">
        <v>7920</v>
      </c>
      <c r="D3038" s="13">
        <v>10</v>
      </c>
    </row>
    <row r="3039" spans="3:4" x14ac:dyDescent="0.2">
      <c r="C3039" t="s">
        <v>8125</v>
      </c>
      <c r="D3039" s="13">
        <v>10</v>
      </c>
    </row>
    <row r="3040" spans="3:4" x14ac:dyDescent="0.2">
      <c r="C3040" t="s">
        <v>6803</v>
      </c>
      <c r="D3040" s="13">
        <v>10</v>
      </c>
    </row>
    <row r="3041" spans="3:4" x14ac:dyDescent="0.2">
      <c r="C3041" t="s">
        <v>8487</v>
      </c>
      <c r="D3041" s="13">
        <v>10</v>
      </c>
    </row>
    <row r="3042" spans="3:4" x14ac:dyDescent="0.2">
      <c r="C3042" t="s">
        <v>1140</v>
      </c>
      <c r="D3042" s="13">
        <v>10</v>
      </c>
    </row>
    <row r="3043" spans="3:4" x14ac:dyDescent="0.2">
      <c r="C3043" t="s">
        <v>1811</v>
      </c>
      <c r="D3043" s="13">
        <v>10</v>
      </c>
    </row>
    <row r="3044" spans="3:4" x14ac:dyDescent="0.2">
      <c r="C3044" t="s">
        <v>1823</v>
      </c>
      <c r="D3044" s="13">
        <v>10</v>
      </c>
    </row>
    <row r="3045" spans="3:4" x14ac:dyDescent="0.2">
      <c r="C3045" t="s">
        <v>3907</v>
      </c>
      <c r="D3045" s="13">
        <v>10</v>
      </c>
    </row>
    <row r="3046" spans="3:4" x14ac:dyDescent="0.2">
      <c r="C3046" t="s">
        <v>4141</v>
      </c>
      <c r="D3046" s="13">
        <v>10</v>
      </c>
    </row>
    <row r="3047" spans="3:4" x14ac:dyDescent="0.2">
      <c r="C3047" t="s">
        <v>2021</v>
      </c>
      <c r="D3047" s="13">
        <v>10</v>
      </c>
    </row>
    <row r="3048" spans="3:4" x14ac:dyDescent="0.2">
      <c r="C3048" t="s">
        <v>4706</v>
      </c>
      <c r="D3048" s="13">
        <v>10</v>
      </c>
    </row>
    <row r="3049" spans="3:4" x14ac:dyDescent="0.2">
      <c r="C3049" t="s">
        <v>2015</v>
      </c>
      <c r="D3049" s="13">
        <v>10</v>
      </c>
    </row>
    <row r="3050" spans="3:4" x14ac:dyDescent="0.2">
      <c r="C3050" t="s">
        <v>4609</v>
      </c>
      <c r="D3050" s="13">
        <v>10</v>
      </c>
    </row>
    <row r="3051" spans="3:4" x14ac:dyDescent="0.2">
      <c r="C3051" t="s">
        <v>6838</v>
      </c>
      <c r="D3051" s="13">
        <v>10</v>
      </c>
    </row>
    <row r="3052" spans="3:4" x14ac:dyDescent="0.2">
      <c r="C3052" t="s">
        <v>8691</v>
      </c>
      <c r="D3052" s="13">
        <v>10</v>
      </c>
    </row>
    <row r="3053" spans="3:4" x14ac:dyDescent="0.2">
      <c r="C3053" t="s">
        <v>1645</v>
      </c>
      <c r="D3053" s="13">
        <v>10</v>
      </c>
    </row>
    <row r="3054" spans="3:4" x14ac:dyDescent="0.2">
      <c r="C3054" t="s">
        <v>2524</v>
      </c>
      <c r="D3054" s="13">
        <v>10</v>
      </c>
    </row>
    <row r="3055" spans="3:4" x14ac:dyDescent="0.2">
      <c r="C3055" t="s">
        <v>4440</v>
      </c>
      <c r="D3055" s="13">
        <v>10</v>
      </c>
    </row>
    <row r="3056" spans="3:4" x14ac:dyDescent="0.2">
      <c r="C3056" t="s">
        <v>7633</v>
      </c>
      <c r="D3056" s="13">
        <v>10</v>
      </c>
    </row>
    <row r="3057" spans="3:4" x14ac:dyDescent="0.2">
      <c r="C3057" t="s">
        <v>489</v>
      </c>
      <c r="D3057" s="13">
        <v>10</v>
      </c>
    </row>
    <row r="3058" spans="3:4" x14ac:dyDescent="0.2">
      <c r="C3058" t="s">
        <v>735</v>
      </c>
      <c r="D3058" s="13">
        <v>10</v>
      </c>
    </row>
    <row r="3059" spans="3:4" x14ac:dyDescent="0.2">
      <c r="C3059" t="s">
        <v>1527</v>
      </c>
      <c r="D3059" s="13">
        <v>10</v>
      </c>
    </row>
    <row r="3060" spans="3:4" x14ac:dyDescent="0.2">
      <c r="C3060" t="s">
        <v>1786</v>
      </c>
      <c r="D3060" s="13">
        <v>10</v>
      </c>
    </row>
    <row r="3061" spans="3:4" x14ac:dyDescent="0.2">
      <c r="C3061" t="s">
        <v>3224</v>
      </c>
      <c r="D3061" s="13">
        <v>10</v>
      </c>
    </row>
    <row r="3062" spans="3:4" x14ac:dyDescent="0.2">
      <c r="C3062" t="s">
        <v>3325</v>
      </c>
      <c r="D3062" s="13">
        <v>10</v>
      </c>
    </row>
    <row r="3063" spans="3:4" x14ac:dyDescent="0.2">
      <c r="C3063" t="s">
        <v>3681</v>
      </c>
      <c r="D3063" s="13">
        <v>10</v>
      </c>
    </row>
    <row r="3064" spans="3:4" x14ac:dyDescent="0.2">
      <c r="C3064" t="s">
        <v>4858</v>
      </c>
      <c r="D3064" s="13">
        <v>10</v>
      </c>
    </row>
    <row r="3065" spans="3:4" x14ac:dyDescent="0.2">
      <c r="C3065" t="s">
        <v>5208</v>
      </c>
      <c r="D3065" s="13">
        <v>10</v>
      </c>
    </row>
    <row r="3066" spans="3:4" x14ac:dyDescent="0.2">
      <c r="C3066" t="s">
        <v>5972</v>
      </c>
      <c r="D3066" s="13">
        <v>10</v>
      </c>
    </row>
    <row r="3067" spans="3:4" x14ac:dyDescent="0.2">
      <c r="C3067" t="s">
        <v>6673</v>
      </c>
      <c r="D3067" s="13">
        <v>10</v>
      </c>
    </row>
    <row r="3068" spans="3:4" x14ac:dyDescent="0.2">
      <c r="C3068" t="s">
        <v>7231</v>
      </c>
      <c r="D3068" s="13">
        <v>10</v>
      </c>
    </row>
    <row r="3069" spans="3:4" x14ac:dyDescent="0.2">
      <c r="C3069" t="s">
        <v>7563</v>
      </c>
      <c r="D3069" s="13">
        <v>10</v>
      </c>
    </row>
    <row r="3070" spans="3:4" x14ac:dyDescent="0.2">
      <c r="C3070" t="s">
        <v>7733</v>
      </c>
      <c r="D3070" s="13">
        <v>10</v>
      </c>
    </row>
    <row r="3071" spans="3:4" x14ac:dyDescent="0.2">
      <c r="C3071" t="s">
        <v>8287</v>
      </c>
      <c r="D3071" s="13">
        <v>10</v>
      </c>
    </row>
    <row r="3072" spans="3:4" x14ac:dyDescent="0.2">
      <c r="C3072" t="s">
        <v>340</v>
      </c>
      <c r="D3072" s="13">
        <v>10</v>
      </c>
    </row>
    <row r="3073" spans="3:4" x14ac:dyDescent="0.2">
      <c r="C3073" t="s">
        <v>443</v>
      </c>
      <c r="D3073" s="13">
        <v>10</v>
      </c>
    </row>
    <row r="3074" spans="3:4" x14ac:dyDescent="0.2">
      <c r="C3074" t="s">
        <v>459</v>
      </c>
      <c r="D3074" s="13">
        <v>10</v>
      </c>
    </row>
    <row r="3075" spans="3:4" x14ac:dyDescent="0.2">
      <c r="C3075" t="s">
        <v>479</v>
      </c>
      <c r="D3075" s="13">
        <v>10</v>
      </c>
    </row>
    <row r="3076" spans="3:4" x14ac:dyDescent="0.2">
      <c r="C3076" t="s">
        <v>521</v>
      </c>
      <c r="D3076" s="13">
        <v>10</v>
      </c>
    </row>
    <row r="3077" spans="3:4" x14ac:dyDescent="0.2">
      <c r="C3077" t="s">
        <v>554</v>
      </c>
      <c r="D3077" s="13">
        <v>10</v>
      </c>
    </row>
    <row r="3078" spans="3:4" x14ac:dyDescent="0.2">
      <c r="C3078" t="s">
        <v>577</v>
      </c>
      <c r="D3078" s="13">
        <v>10</v>
      </c>
    </row>
    <row r="3079" spans="3:4" x14ac:dyDescent="0.2">
      <c r="C3079" t="s">
        <v>653</v>
      </c>
      <c r="D3079" s="13">
        <v>10</v>
      </c>
    </row>
    <row r="3080" spans="3:4" x14ac:dyDescent="0.2">
      <c r="C3080" t="s">
        <v>709</v>
      </c>
      <c r="D3080" s="13">
        <v>10</v>
      </c>
    </row>
    <row r="3081" spans="3:4" x14ac:dyDescent="0.2">
      <c r="C3081" t="s">
        <v>939</v>
      </c>
      <c r="D3081" s="13">
        <v>10</v>
      </c>
    </row>
    <row r="3082" spans="3:4" x14ac:dyDescent="0.2">
      <c r="C3082" t="s">
        <v>969</v>
      </c>
      <c r="D3082" s="13">
        <v>10</v>
      </c>
    </row>
    <row r="3083" spans="3:4" x14ac:dyDescent="0.2">
      <c r="C3083" t="s">
        <v>1329</v>
      </c>
      <c r="D3083" s="13">
        <v>10</v>
      </c>
    </row>
    <row r="3084" spans="3:4" x14ac:dyDescent="0.2">
      <c r="C3084" t="s">
        <v>1341</v>
      </c>
      <c r="D3084" s="13">
        <v>10</v>
      </c>
    </row>
    <row r="3085" spans="3:4" x14ac:dyDescent="0.2">
      <c r="C3085" t="s">
        <v>1382</v>
      </c>
      <c r="D3085" s="13">
        <v>10</v>
      </c>
    </row>
    <row r="3086" spans="3:4" x14ac:dyDescent="0.2">
      <c r="C3086" t="s">
        <v>1481</v>
      </c>
      <c r="D3086" s="13">
        <v>10</v>
      </c>
    </row>
    <row r="3087" spans="3:4" x14ac:dyDescent="0.2">
      <c r="C3087" t="s">
        <v>1749</v>
      </c>
      <c r="D3087" s="13">
        <v>10</v>
      </c>
    </row>
    <row r="3088" spans="3:4" x14ac:dyDescent="0.2">
      <c r="C3088" t="s">
        <v>1890</v>
      </c>
      <c r="D3088" s="13">
        <v>10</v>
      </c>
    </row>
    <row r="3089" spans="3:4" x14ac:dyDescent="0.2">
      <c r="C3089" t="s">
        <v>2060</v>
      </c>
      <c r="D3089" s="13">
        <v>10</v>
      </c>
    </row>
    <row r="3090" spans="3:4" x14ac:dyDescent="0.2">
      <c r="C3090" t="s">
        <v>2106</v>
      </c>
      <c r="D3090" s="13">
        <v>10</v>
      </c>
    </row>
    <row r="3091" spans="3:4" x14ac:dyDescent="0.2">
      <c r="C3091" t="s">
        <v>2222</v>
      </c>
      <c r="D3091" s="13">
        <v>10</v>
      </c>
    </row>
    <row r="3092" spans="3:4" x14ac:dyDescent="0.2">
      <c r="C3092" t="s">
        <v>2254</v>
      </c>
      <c r="D3092" s="13">
        <v>10</v>
      </c>
    </row>
    <row r="3093" spans="3:4" x14ac:dyDescent="0.2">
      <c r="C3093" t="s">
        <v>2304</v>
      </c>
      <c r="D3093" s="13">
        <v>10</v>
      </c>
    </row>
    <row r="3094" spans="3:4" x14ac:dyDescent="0.2">
      <c r="C3094" t="s">
        <v>2402</v>
      </c>
      <c r="D3094" s="13">
        <v>10</v>
      </c>
    </row>
    <row r="3095" spans="3:4" x14ac:dyDescent="0.2">
      <c r="C3095" t="s">
        <v>2465</v>
      </c>
      <c r="D3095" s="13">
        <v>10</v>
      </c>
    </row>
    <row r="3096" spans="3:4" x14ac:dyDescent="0.2">
      <c r="C3096" t="s">
        <v>2485</v>
      </c>
      <c r="D3096" s="13">
        <v>10</v>
      </c>
    </row>
    <row r="3097" spans="3:4" x14ac:dyDescent="0.2">
      <c r="C3097" t="s">
        <v>2575</v>
      </c>
      <c r="D3097" s="13">
        <v>10</v>
      </c>
    </row>
    <row r="3098" spans="3:4" x14ac:dyDescent="0.2">
      <c r="C3098" t="s">
        <v>2605</v>
      </c>
      <c r="D3098" s="13">
        <v>10</v>
      </c>
    </row>
    <row r="3099" spans="3:4" x14ac:dyDescent="0.2">
      <c r="C3099" t="s">
        <v>2617</v>
      </c>
      <c r="D3099" s="13">
        <v>10</v>
      </c>
    </row>
    <row r="3100" spans="3:4" x14ac:dyDescent="0.2">
      <c r="C3100" t="s">
        <v>2759</v>
      </c>
      <c r="D3100" s="13">
        <v>10</v>
      </c>
    </row>
    <row r="3101" spans="3:4" x14ac:dyDescent="0.2">
      <c r="C3101" t="s">
        <v>2824</v>
      </c>
      <c r="D3101" s="13">
        <v>10</v>
      </c>
    </row>
    <row r="3102" spans="3:4" x14ac:dyDescent="0.2">
      <c r="C3102" t="s">
        <v>2853</v>
      </c>
      <c r="D3102" s="13">
        <v>10</v>
      </c>
    </row>
    <row r="3103" spans="3:4" x14ac:dyDescent="0.2">
      <c r="C3103" t="s">
        <v>3297</v>
      </c>
      <c r="D3103" s="13">
        <v>10</v>
      </c>
    </row>
    <row r="3104" spans="3:4" x14ac:dyDescent="0.2">
      <c r="C3104" t="s">
        <v>3335</v>
      </c>
      <c r="D3104" s="13">
        <v>10</v>
      </c>
    </row>
    <row r="3105" spans="3:4" x14ac:dyDescent="0.2">
      <c r="C3105" t="s">
        <v>3431</v>
      </c>
      <c r="D3105" s="13">
        <v>10</v>
      </c>
    </row>
    <row r="3106" spans="3:4" x14ac:dyDescent="0.2">
      <c r="C3106" t="s">
        <v>3511</v>
      </c>
      <c r="D3106" s="13">
        <v>10</v>
      </c>
    </row>
    <row r="3107" spans="3:4" x14ac:dyDescent="0.2">
      <c r="C3107" t="s">
        <v>3545</v>
      </c>
      <c r="D3107" s="13">
        <v>10</v>
      </c>
    </row>
    <row r="3108" spans="3:4" x14ac:dyDescent="0.2">
      <c r="C3108" t="s">
        <v>3583</v>
      </c>
      <c r="D3108" s="13">
        <v>10</v>
      </c>
    </row>
    <row r="3109" spans="3:4" x14ac:dyDescent="0.2">
      <c r="C3109" t="s">
        <v>3614</v>
      </c>
      <c r="D3109" s="13">
        <v>10</v>
      </c>
    </row>
    <row r="3110" spans="3:4" x14ac:dyDescent="0.2">
      <c r="C3110" t="s">
        <v>3687</v>
      </c>
      <c r="D3110" s="13">
        <v>10</v>
      </c>
    </row>
    <row r="3111" spans="3:4" x14ac:dyDescent="0.2">
      <c r="C3111" t="s">
        <v>3689</v>
      </c>
      <c r="D3111" s="13">
        <v>10</v>
      </c>
    </row>
    <row r="3112" spans="3:4" x14ac:dyDescent="0.2">
      <c r="C3112" t="s">
        <v>3735</v>
      </c>
      <c r="D3112" s="13">
        <v>10</v>
      </c>
    </row>
    <row r="3113" spans="3:4" x14ac:dyDescent="0.2">
      <c r="C3113" t="s">
        <v>3749</v>
      </c>
      <c r="D3113" s="13">
        <v>10</v>
      </c>
    </row>
    <row r="3114" spans="3:4" x14ac:dyDescent="0.2">
      <c r="C3114" t="s">
        <v>3787</v>
      </c>
      <c r="D3114" s="13">
        <v>10</v>
      </c>
    </row>
    <row r="3115" spans="3:4" x14ac:dyDescent="0.2">
      <c r="C3115" t="s">
        <v>3826</v>
      </c>
      <c r="D3115" s="13">
        <v>10</v>
      </c>
    </row>
    <row r="3116" spans="3:4" x14ac:dyDescent="0.2">
      <c r="C3116" t="s">
        <v>3870</v>
      </c>
      <c r="D3116" s="13">
        <v>10</v>
      </c>
    </row>
    <row r="3117" spans="3:4" x14ac:dyDescent="0.2">
      <c r="C3117" t="s">
        <v>3885</v>
      </c>
      <c r="D3117" s="13">
        <v>10</v>
      </c>
    </row>
    <row r="3118" spans="3:4" x14ac:dyDescent="0.2">
      <c r="C3118" t="s">
        <v>3911</v>
      </c>
      <c r="D3118" s="13">
        <v>10</v>
      </c>
    </row>
    <row r="3119" spans="3:4" x14ac:dyDescent="0.2">
      <c r="C3119" t="s">
        <v>4172</v>
      </c>
      <c r="D3119" s="13">
        <v>10</v>
      </c>
    </row>
    <row r="3120" spans="3:4" x14ac:dyDescent="0.2">
      <c r="C3120" t="s">
        <v>4228</v>
      </c>
      <c r="D3120" s="13">
        <v>10</v>
      </c>
    </row>
    <row r="3121" spans="3:4" x14ac:dyDescent="0.2">
      <c r="C3121" t="s">
        <v>4327</v>
      </c>
      <c r="D3121" s="13">
        <v>10</v>
      </c>
    </row>
    <row r="3122" spans="3:4" x14ac:dyDescent="0.2">
      <c r="C3122" t="s">
        <v>4495</v>
      </c>
      <c r="D3122" s="13">
        <v>10</v>
      </c>
    </row>
    <row r="3123" spans="3:4" x14ac:dyDescent="0.2">
      <c r="C3123" t="s">
        <v>4504</v>
      </c>
      <c r="D3123" s="13">
        <v>10</v>
      </c>
    </row>
    <row r="3124" spans="3:4" x14ac:dyDescent="0.2">
      <c r="C3124" t="s">
        <v>4570</v>
      </c>
      <c r="D3124" s="13">
        <v>10</v>
      </c>
    </row>
    <row r="3125" spans="3:4" x14ac:dyDescent="0.2">
      <c r="C3125" t="s">
        <v>4673</v>
      </c>
      <c r="D3125" s="13">
        <v>10</v>
      </c>
    </row>
    <row r="3126" spans="3:4" x14ac:dyDescent="0.2">
      <c r="C3126" t="s">
        <v>4835</v>
      </c>
      <c r="D3126" s="13">
        <v>10</v>
      </c>
    </row>
    <row r="3127" spans="3:4" x14ac:dyDescent="0.2">
      <c r="C3127" t="s">
        <v>5147</v>
      </c>
      <c r="D3127" s="13">
        <v>10</v>
      </c>
    </row>
    <row r="3128" spans="3:4" x14ac:dyDescent="0.2">
      <c r="C3128" t="s">
        <v>5349</v>
      </c>
      <c r="D3128" s="13">
        <v>10</v>
      </c>
    </row>
    <row r="3129" spans="3:4" x14ac:dyDescent="0.2">
      <c r="C3129" t="s">
        <v>5351</v>
      </c>
      <c r="D3129" s="13">
        <v>10</v>
      </c>
    </row>
    <row r="3130" spans="3:4" x14ac:dyDescent="0.2">
      <c r="C3130" t="s">
        <v>5428</v>
      </c>
      <c r="D3130" s="13">
        <v>10</v>
      </c>
    </row>
    <row r="3131" spans="3:4" x14ac:dyDescent="0.2">
      <c r="C3131" t="s">
        <v>5444</v>
      </c>
      <c r="D3131" s="13">
        <v>10</v>
      </c>
    </row>
    <row r="3132" spans="3:4" x14ac:dyDescent="0.2">
      <c r="C3132" t="s">
        <v>5532</v>
      </c>
      <c r="D3132" s="13">
        <v>10</v>
      </c>
    </row>
    <row r="3133" spans="3:4" x14ac:dyDescent="0.2">
      <c r="C3133" t="s">
        <v>5574</v>
      </c>
      <c r="D3133" s="13">
        <v>10</v>
      </c>
    </row>
    <row r="3134" spans="3:4" x14ac:dyDescent="0.2">
      <c r="C3134" t="s">
        <v>5637</v>
      </c>
      <c r="D3134" s="13">
        <v>10</v>
      </c>
    </row>
    <row r="3135" spans="3:4" x14ac:dyDescent="0.2">
      <c r="C3135" t="s">
        <v>5643</v>
      </c>
      <c r="D3135" s="13">
        <v>10</v>
      </c>
    </row>
    <row r="3136" spans="3:4" x14ac:dyDescent="0.2">
      <c r="C3136" t="s">
        <v>5655</v>
      </c>
      <c r="D3136" s="13">
        <v>10</v>
      </c>
    </row>
    <row r="3137" spans="3:4" x14ac:dyDescent="0.2">
      <c r="C3137" t="s">
        <v>5716</v>
      </c>
      <c r="D3137" s="13">
        <v>10</v>
      </c>
    </row>
    <row r="3138" spans="3:4" x14ac:dyDescent="0.2">
      <c r="C3138" t="s">
        <v>5795</v>
      </c>
      <c r="D3138" s="13">
        <v>10</v>
      </c>
    </row>
    <row r="3139" spans="3:4" x14ac:dyDescent="0.2">
      <c r="C3139" t="s">
        <v>5843</v>
      </c>
      <c r="D3139" s="13">
        <v>10</v>
      </c>
    </row>
    <row r="3140" spans="3:4" x14ac:dyDescent="0.2">
      <c r="C3140" t="s">
        <v>5922</v>
      </c>
      <c r="D3140" s="13">
        <v>10</v>
      </c>
    </row>
    <row r="3141" spans="3:4" x14ac:dyDescent="0.2">
      <c r="C3141" t="s">
        <v>5939</v>
      </c>
      <c r="D3141" s="13">
        <v>10</v>
      </c>
    </row>
    <row r="3142" spans="3:4" x14ac:dyDescent="0.2">
      <c r="C3142" t="s">
        <v>6064</v>
      </c>
      <c r="D3142" s="13">
        <v>10</v>
      </c>
    </row>
    <row r="3143" spans="3:4" x14ac:dyDescent="0.2">
      <c r="C3143" t="s">
        <v>6138</v>
      </c>
      <c r="D3143" s="13">
        <v>10</v>
      </c>
    </row>
    <row r="3144" spans="3:4" x14ac:dyDescent="0.2">
      <c r="C3144" t="s">
        <v>6224</v>
      </c>
      <c r="D3144" s="13">
        <v>10</v>
      </c>
    </row>
    <row r="3145" spans="3:4" x14ac:dyDescent="0.2">
      <c r="C3145" t="s">
        <v>6257</v>
      </c>
      <c r="D3145" s="13">
        <v>10</v>
      </c>
    </row>
    <row r="3146" spans="3:4" x14ac:dyDescent="0.2">
      <c r="C3146" t="s">
        <v>6267</v>
      </c>
      <c r="D3146" s="13">
        <v>10</v>
      </c>
    </row>
    <row r="3147" spans="3:4" x14ac:dyDescent="0.2">
      <c r="C3147" t="s">
        <v>6394</v>
      </c>
      <c r="D3147" s="13">
        <v>10</v>
      </c>
    </row>
    <row r="3148" spans="3:4" x14ac:dyDescent="0.2">
      <c r="C3148" t="s">
        <v>6422</v>
      </c>
      <c r="D3148" s="13">
        <v>10</v>
      </c>
    </row>
    <row r="3149" spans="3:4" x14ac:dyDescent="0.2">
      <c r="C3149" t="s">
        <v>6435</v>
      </c>
      <c r="D3149" s="13">
        <v>10</v>
      </c>
    </row>
    <row r="3150" spans="3:4" x14ac:dyDescent="0.2">
      <c r="C3150" t="s">
        <v>6539</v>
      </c>
      <c r="D3150" s="13">
        <v>10</v>
      </c>
    </row>
    <row r="3151" spans="3:4" x14ac:dyDescent="0.2">
      <c r="C3151" t="s">
        <v>6541</v>
      </c>
      <c r="D3151" s="13">
        <v>10</v>
      </c>
    </row>
    <row r="3152" spans="3:4" x14ac:dyDescent="0.2">
      <c r="C3152" t="s">
        <v>7059</v>
      </c>
      <c r="D3152" s="13">
        <v>10</v>
      </c>
    </row>
    <row r="3153" spans="3:4" x14ac:dyDescent="0.2">
      <c r="C3153" t="s">
        <v>7169</v>
      </c>
      <c r="D3153" s="13">
        <v>10</v>
      </c>
    </row>
    <row r="3154" spans="3:4" x14ac:dyDescent="0.2">
      <c r="C3154" t="s">
        <v>7301</v>
      </c>
      <c r="D3154" s="13">
        <v>10</v>
      </c>
    </row>
    <row r="3155" spans="3:4" x14ac:dyDescent="0.2">
      <c r="C3155" t="s">
        <v>7373</v>
      </c>
      <c r="D3155" s="13">
        <v>10</v>
      </c>
    </row>
    <row r="3156" spans="3:4" x14ac:dyDescent="0.2">
      <c r="C3156" t="s">
        <v>7435</v>
      </c>
      <c r="D3156" s="13">
        <v>10</v>
      </c>
    </row>
    <row r="3157" spans="3:4" x14ac:dyDescent="0.2">
      <c r="C3157" t="s">
        <v>7500</v>
      </c>
      <c r="D3157" s="13">
        <v>10</v>
      </c>
    </row>
    <row r="3158" spans="3:4" x14ac:dyDescent="0.2">
      <c r="C3158" t="s">
        <v>7502</v>
      </c>
      <c r="D3158" s="13">
        <v>10</v>
      </c>
    </row>
    <row r="3159" spans="3:4" x14ac:dyDescent="0.2">
      <c r="C3159" t="s">
        <v>7589</v>
      </c>
      <c r="D3159" s="13">
        <v>10</v>
      </c>
    </row>
    <row r="3160" spans="3:4" x14ac:dyDescent="0.2">
      <c r="C3160" t="s">
        <v>7680</v>
      </c>
      <c r="D3160" s="13">
        <v>10</v>
      </c>
    </row>
    <row r="3161" spans="3:4" x14ac:dyDescent="0.2">
      <c r="C3161" t="s">
        <v>7719</v>
      </c>
      <c r="D3161" s="13">
        <v>10</v>
      </c>
    </row>
    <row r="3162" spans="3:4" x14ac:dyDescent="0.2">
      <c r="C3162" t="s">
        <v>7749</v>
      </c>
      <c r="D3162" s="13">
        <v>10</v>
      </c>
    </row>
    <row r="3163" spans="3:4" x14ac:dyDescent="0.2">
      <c r="C3163" t="s">
        <v>7753</v>
      </c>
      <c r="D3163" s="13">
        <v>10</v>
      </c>
    </row>
    <row r="3164" spans="3:4" x14ac:dyDescent="0.2">
      <c r="C3164" t="s">
        <v>7892</v>
      </c>
      <c r="D3164" s="13">
        <v>10</v>
      </c>
    </row>
    <row r="3165" spans="3:4" x14ac:dyDescent="0.2">
      <c r="C3165" t="s">
        <v>7910</v>
      </c>
      <c r="D3165" s="13">
        <v>10</v>
      </c>
    </row>
    <row r="3166" spans="3:4" x14ac:dyDescent="0.2">
      <c r="C3166" t="s">
        <v>7914</v>
      </c>
      <c r="D3166" s="13">
        <v>10</v>
      </c>
    </row>
    <row r="3167" spans="3:4" x14ac:dyDescent="0.2">
      <c r="C3167" t="s">
        <v>8163</v>
      </c>
      <c r="D3167" s="13">
        <v>10</v>
      </c>
    </row>
    <row r="3168" spans="3:4" x14ac:dyDescent="0.2">
      <c r="C3168" t="s">
        <v>8228</v>
      </c>
      <c r="D3168" s="13">
        <v>10</v>
      </c>
    </row>
    <row r="3169" spans="3:4" x14ac:dyDescent="0.2">
      <c r="C3169" t="s">
        <v>8245</v>
      </c>
      <c r="D3169" s="13">
        <v>10</v>
      </c>
    </row>
    <row r="3170" spans="3:4" x14ac:dyDescent="0.2">
      <c r="C3170" t="s">
        <v>8428</v>
      </c>
      <c r="D3170" s="13">
        <v>10</v>
      </c>
    </row>
    <row r="3171" spans="3:4" x14ac:dyDescent="0.2">
      <c r="C3171" t="s">
        <v>8516</v>
      </c>
      <c r="D3171" s="13">
        <v>10</v>
      </c>
    </row>
    <row r="3172" spans="3:4" x14ac:dyDescent="0.2">
      <c r="C3172" t="s">
        <v>8628</v>
      </c>
      <c r="D3172" s="13">
        <v>10</v>
      </c>
    </row>
    <row r="3173" spans="3:4" x14ac:dyDescent="0.2">
      <c r="C3173" t="s">
        <v>258</v>
      </c>
      <c r="D3173" s="13">
        <v>10</v>
      </c>
    </row>
    <row r="3174" spans="3:4" x14ac:dyDescent="0.2">
      <c r="C3174" t="s">
        <v>1195</v>
      </c>
      <c r="D3174" s="13">
        <v>10</v>
      </c>
    </row>
    <row r="3175" spans="3:4" x14ac:dyDescent="0.2">
      <c r="C3175" t="s">
        <v>2077</v>
      </c>
      <c r="D3175" s="13">
        <v>10</v>
      </c>
    </row>
    <row r="3176" spans="3:4" x14ac:dyDescent="0.2">
      <c r="C3176" t="s">
        <v>2116</v>
      </c>
      <c r="D3176" s="13">
        <v>10</v>
      </c>
    </row>
    <row r="3177" spans="3:4" x14ac:dyDescent="0.2">
      <c r="C3177" t="s">
        <v>2841</v>
      </c>
      <c r="D3177" s="13">
        <v>10</v>
      </c>
    </row>
    <row r="3178" spans="3:4" x14ac:dyDescent="0.2">
      <c r="C3178" t="s">
        <v>3168</v>
      </c>
      <c r="D3178" s="13">
        <v>10</v>
      </c>
    </row>
    <row r="3179" spans="3:4" x14ac:dyDescent="0.2">
      <c r="C3179" t="s">
        <v>3513</v>
      </c>
      <c r="D3179" s="13">
        <v>10</v>
      </c>
    </row>
    <row r="3180" spans="3:4" x14ac:dyDescent="0.2">
      <c r="C3180" t="s">
        <v>3514</v>
      </c>
      <c r="D3180" s="13">
        <v>10</v>
      </c>
    </row>
    <row r="3181" spans="3:4" x14ac:dyDescent="0.2">
      <c r="C3181" t="s">
        <v>5420</v>
      </c>
      <c r="D3181" s="13">
        <v>10</v>
      </c>
    </row>
    <row r="3182" spans="3:4" x14ac:dyDescent="0.2">
      <c r="C3182" t="s">
        <v>5578</v>
      </c>
      <c r="D3182" s="13">
        <v>10</v>
      </c>
    </row>
    <row r="3183" spans="3:4" x14ac:dyDescent="0.2">
      <c r="C3183" t="s">
        <v>6052</v>
      </c>
      <c r="D3183" s="13">
        <v>10</v>
      </c>
    </row>
    <row r="3184" spans="3:4" x14ac:dyDescent="0.2">
      <c r="C3184" t="s">
        <v>6217</v>
      </c>
      <c r="D3184" s="13">
        <v>10</v>
      </c>
    </row>
    <row r="3185" spans="3:4" x14ac:dyDescent="0.2">
      <c r="C3185" t="s">
        <v>7185</v>
      </c>
      <c r="D3185" s="13">
        <v>10</v>
      </c>
    </row>
    <row r="3186" spans="3:4" x14ac:dyDescent="0.2">
      <c r="C3186" t="s">
        <v>625</v>
      </c>
      <c r="D3186" s="13">
        <v>10</v>
      </c>
    </row>
    <row r="3187" spans="3:4" x14ac:dyDescent="0.2">
      <c r="C3187" t="s">
        <v>1073</v>
      </c>
      <c r="D3187" s="13">
        <v>10</v>
      </c>
    </row>
    <row r="3188" spans="3:4" x14ac:dyDescent="0.2">
      <c r="C3188" t="s">
        <v>2180</v>
      </c>
      <c r="D3188" s="13">
        <v>10</v>
      </c>
    </row>
    <row r="3189" spans="3:4" x14ac:dyDescent="0.2">
      <c r="C3189" t="s">
        <v>2181</v>
      </c>
      <c r="D3189" s="13">
        <v>10</v>
      </c>
    </row>
    <row r="3190" spans="3:4" x14ac:dyDescent="0.2">
      <c r="C3190" t="s">
        <v>3515</v>
      </c>
      <c r="D3190" s="13">
        <v>10</v>
      </c>
    </row>
    <row r="3191" spans="3:4" x14ac:dyDescent="0.2">
      <c r="C3191" t="s">
        <v>6641</v>
      </c>
      <c r="D3191" s="13">
        <v>10</v>
      </c>
    </row>
    <row r="3192" spans="3:4" x14ac:dyDescent="0.2">
      <c r="C3192" t="s">
        <v>8442</v>
      </c>
      <c r="D3192" s="13">
        <v>10</v>
      </c>
    </row>
    <row r="3193" spans="3:4" x14ac:dyDescent="0.2">
      <c r="C3193" t="s">
        <v>111</v>
      </c>
      <c r="D3193" s="13">
        <v>10</v>
      </c>
    </row>
    <row r="3194" spans="3:4" x14ac:dyDescent="0.2">
      <c r="C3194" t="s">
        <v>111</v>
      </c>
      <c r="D3194" s="13">
        <v>10</v>
      </c>
    </row>
    <row r="3195" spans="3:4" x14ac:dyDescent="0.2">
      <c r="C3195" t="s">
        <v>356</v>
      </c>
      <c r="D3195" s="13">
        <v>10</v>
      </c>
    </row>
    <row r="3196" spans="3:4" x14ac:dyDescent="0.2">
      <c r="C3196" t="s">
        <v>890</v>
      </c>
      <c r="D3196" s="13">
        <v>10</v>
      </c>
    </row>
    <row r="3197" spans="3:4" x14ac:dyDescent="0.2">
      <c r="C3197" t="s">
        <v>1485</v>
      </c>
      <c r="D3197" s="13">
        <v>10</v>
      </c>
    </row>
    <row r="3198" spans="3:4" x14ac:dyDescent="0.2">
      <c r="C3198" t="s">
        <v>2130</v>
      </c>
      <c r="D3198" s="13">
        <v>10</v>
      </c>
    </row>
    <row r="3199" spans="3:4" x14ac:dyDescent="0.2">
      <c r="C3199" t="s">
        <v>2178</v>
      </c>
      <c r="D3199" s="13">
        <v>10</v>
      </c>
    </row>
    <row r="3200" spans="3:4" x14ac:dyDescent="0.2">
      <c r="C3200" t="s">
        <v>2327</v>
      </c>
      <c r="D3200" s="13">
        <v>10</v>
      </c>
    </row>
    <row r="3201" spans="3:4" x14ac:dyDescent="0.2">
      <c r="C3201" t="s">
        <v>2419</v>
      </c>
      <c r="D3201" s="13">
        <v>10</v>
      </c>
    </row>
    <row r="3202" spans="3:4" x14ac:dyDescent="0.2">
      <c r="C3202" t="s">
        <v>2433</v>
      </c>
      <c r="D3202" s="13">
        <v>10</v>
      </c>
    </row>
    <row r="3203" spans="3:4" x14ac:dyDescent="0.2">
      <c r="C3203" t="s">
        <v>2585</v>
      </c>
      <c r="D3203" s="13">
        <v>10</v>
      </c>
    </row>
    <row r="3204" spans="3:4" x14ac:dyDescent="0.2">
      <c r="C3204" t="s">
        <v>2773</v>
      </c>
      <c r="D3204" s="13">
        <v>10</v>
      </c>
    </row>
    <row r="3205" spans="3:4" x14ac:dyDescent="0.2">
      <c r="C3205" t="s">
        <v>2833</v>
      </c>
      <c r="D3205" s="13">
        <v>10</v>
      </c>
    </row>
    <row r="3206" spans="3:4" x14ac:dyDescent="0.2">
      <c r="C3206" t="s">
        <v>3578</v>
      </c>
      <c r="D3206" s="13">
        <v>10</v>
      </c>
    </row>
    <row r="3207" spans="3:4" x14ac:dyDescent="0.2">
      <c r="C3207" t="s">
        <v>3670</v>
      </c>
      <c r="D3207" s="13">
        <v>10</v>
      </c>
    </row>
    <row r="3208" spans="3:4" x14ac:dyDescent="0.2">
      <c r="C3208" t="s">
        <v>3917</v>
      </c>
      <c r="D3208" s="13">
        <v>10</v>
      </c>
    </row>
    <row r="3209" spans="3:4" x14ac:dyDescent="0.2">
      <c r="C3209" t="s">
        <v>4222</v>
      </c>
      <c r="D3209" s="13">
        <v>10</v>
      </c>
    </row>
    <row r="3210" spans="3:4" x14ac:dyDescent="0.2">
      <c r="C3210" t="s">
        <v>4785</v>
      </c>
      <c r="D3210" s="13">
        <v>10</v>
      </c>
    </row>
    <row r="3211" spans="3:4" x14ac:dyDescent="0.2">
      <c r="C3211" t="s">
        <v>4795</v>
      </c>
      <c r="D3211" s="13">
        <v>10</v>
      </c>
    </row>
    <row r="3212" spans="3:4" x14ac:dyDescent="0.2">
      <c r="C3212" t="s">
        <v>5560</v>
      </c>
      <c r="D3212" s="13">
        <v>10</v>
      </c>
    </row>
    <row r="3213" spans="3:4" x14ac:dyDescent="0.2">
      <c r="C3213" t="s">
        <v>5805</v>
      </c>
      <c r="D3213" s="13">
        <v>10</v>
      </c>
    </row>
    <row r="3214" spans="3:4" x14ac:dyDescent="0.2">
      <c r="C3214" t="s">
        <v>5886</v>
      </c>
      <c r="D3214" s="13">
        <v>10</v>
      </c>
    </row>
    <row r="3215" spans="3:4" x14ac:dyDescent="0.2">
      <c r="C3215" t="s">
        <v>5968</v>
      </c>
      <c r="D3215" s="13">
        <v>10</v>
      </c>
    </row>
    <row r="3216" spans="3:4" x14ac:dyDescent="0.2">
      <c r="C3216" t="s">
        <v>5995</v>
      </c>
      <c r="D3216" s="13">
        <v>10</v>
      </c>
    </row>
    <row r="3217" spans="3:4" x14ac:dyDescent="0.2">
      <c r="C3217" t="s">
        <v>6144</v>
      </c>
      <c r="D3217" s="13">
        <v>10</v>
      </c>
    </row>
    <row r="3218" spans="3:4" x14ac:dyDescent="0.2">
      <c r="C3218" t="s">
        <v>6331</v>
      </c>
      <c r="D3218" s="13">
        <v>10</v>
      </c>
    </row>
    <row r="3219" spans="3:4" x14ac:dyDescent="0.2">
      <c r="C3219" t="s">
        <v>6598</v>
      </c>
      <c r="D3219" s="13">
        <v>10</v>
      </c>
    </row>
    <row r="3220" spans="3:4" x14ac:dyDescent="0.2">
      <c r="C3220" t="s">
        <v>7003</v>
      </c>
      <c r="D3220" s="13">
        <v>10</v>
      </c>
    </row>
    <row r="3221" spans="3:4" x14ac:dyDescent="0.2">
      <c r="C3221" t="s">
        <v>7249</v>
      </c>
      <c r="D3221" s="13">
        <v>10</v>
      </c>
    </row>
    <row r="3222" spans="3:4" x14ac:dyDescent="0.2">
      <c r="C3222" t="s">
        <v>7460</v>
      </c>
      <c r="D3222" s="13">
        <v>10</v>
      </c>
    </row>
    <row r="3223" spans="3:4" x14ac:dyDescent="0.2">
      <c r="C3223" t="s">
        <v>7953</v>
      </c>
      <c r="D3223" s="13">
        <v>10</v>
      </c>
    </row>
    <row r="3224" spans="3:4" x14ac:dyDescent="0.2">
      <c r="C3224" t="s">
        <v>199</v>
      </c>
      <c r="D3224" s="13">
        <v>10</v>
      </c>
    </row>
    <row r="3225" spans="3:4" x14ac:dyDescent="0.2">
      <c r="C3225" t="s">
        <v>2964</v>
      </c>
      <c r="D3225" s="13">
        <v>10</v>
      </c>
    </row>
    <row r="3226" spans="3:4" x14ac:dyDescent="0.2">
      <c r="C3226" t="s">
        <v>3250</v>
      </c>
      <c r="D3226" s="13">
        <v>10</v>
      </c>
    </row>
    <row r="3227" spans="3:4" x14ac:dyDescent="0.2">
      <c r="C3227" t="s">
        <v>3666</v>
      </c>
      <c r="D3227" s="13">
        <v>10</v>
      </c>
    </row>
    <row r="3228" spans="3:4" x14ac:dyDescent="0.2">
      <c r="C3228" t="s">
        <v>3872</v>
      </c>
      <c r="D3228" s="13">
        <v>10</v>
      </c>
    </row>
    <row r="3229" spans="3:4" x14ac:dyDescent="0.2">
      <c r="C3229" t="s">
        <v>3978</v>
      </c>
      <c r="D3229" s="13">
        <v>10</v>
      </c>
    </row>
    <row r="3230" spans="3:4" x14ac:dyDescent="0.2">
      <c r="C3230" t="s">
        <v>158</v>
      </c>
      <c r="D3230" s="13">
        <v>10</v>
      </c>
    </row>
    <row r="3231" spans="3:4" x14ac:dyDescent="0.2">
      <c r="C3231" t="s">
        <v>1549</v>
      </c>
      <c r="D3231" s="13">
        <v>10</v>
      </c>
    </row>
    <row r="3232" spans="3:4" x14ac:dyDescent="0.2">
      <c r="C3232" t="s">
        <v>1177</v>
      </c>
      <c r="D3232" s="13">
        <v>10</v>
      </c>
    </row>
    <row r="3233" spans="3:4" x14ac:dyDescent="0.2">
      <c r="C3233" t="s">
        <v>4104</v>
      </c>
      <c r="D3233" s="13">
        <v>10</v>
      </c>
    </row>
    <row r="3234" spans="3:4" x14ac:dyDescent="0.2">
      <c r="C3234" t="s">
        <v>4105</v>
      </c>
      <c r="D3234" s="13">
        <v>10</v>
      </c>
    </row>
    <row r="3235" spans="3:4" x14ac:dyDescent="0.2">
      <c r="C3235" t="s">
        <v>4380</v>
      </c>
      <c r="D3235" s="13">
        <v>10</v>
      </c>
    </row>
    <row r="3236" spans="3:4" x14ac:dyDescent="0.2">
      <c r="C3236" t="s">
        <v>6826</v>
      </c>
      <c r="D3236" s="13">
        <v>10</v>
      </c>
    </row>
    <row r="3237" spans="3:4" x14ac:dyDescent="0.2">
      <c r="C3237" t="s">
        <v>7229</v>
      </c>
      <c r="D3237" s="13">
        <v>10</v>
      </c>
    </row>
    <row r="3238" spans="3:4" x14ac:dyDescent="0.2">
      <c r="C3238" t="s">
        <v>7349</v>
      </c>
      <c r="D3238" s="13">
        <v>10</v>
      </c>
    </row>
    <row r="3239" spans="3:4" x14ac:dyDescent="0.2">
      <c r="C3239" t="s">
        <v>7542</v>
      </c>
      <c r="D3239" s="13">
        <v>10</v>
      </c>
    </row>
    <row r="3240" spans="3:4" x14ac:dyDescent="0.2">
      <c r="C3240" t="s">
        <v>8309</v>
      </c>
      <c r="D3240" s="13">
        <v>10</v>
      </c>
    </row>
    <row r="3241" spans="3:4" x14ac:dyDescent="0.2">
      <c r="C3241" t="s">
        <v>8356</v>
      </c>
      <c r="D3241" s="13">
        <v>10</v>
      </c>
    </row>
    <row r="3242" spans="3:4" x14ac:dyDescent="0.2">
      <c r="C3242" t="s">
        <v>616</v>
      </c>
      <c r="D3242" s="13">
        <v>10</v>
      </c>
    </row>
    <row r="3243" spans="3:4" x14ac:dyDescent="0.2">
      <c r="C3243" t="s">
        <v>663</v>
      </c>
      <c r="D3243" s="13">
        <v>10</v>
      </c>
    </row>
    <row r="3244" spans="3:4" x14ac:dyDescent="0.2">
      <c r="C3244" t="s">
        <v>676</v>
      </c>
      <c r="D3244" s="13">
        <v>10</v>
      </c>
    </row>
    <row r="3245" spans="3:4" x14ac:dyDescent="0.2">
      <c r="C3245" t="s">
        <v>801</v>
      </c>
      <c r="D3245" s="13">
        <v>10</v>
      </c>
    </row>
    <row r="3246" spans="3:4" x14ac:dyDescent="0.2">
      <c r="C3246" t="s">
        <v>983</v>
      </c>
      <c r="D3246" s="13">
        <v>10</v>
      </c>
    </row>
    <row r="3247" spans="3:4" x14ac:dyDescent="0.2">
      <c r="C3247" t="s">
        <v>1053</v>
      </c>
      <c r="D3247" s="13">
        <v>10</v>
      </c>
    </row>
    <row r="3248" spans="3:4" x14ac:dyDescent="0.2">
      <c r="C3248" t="s">
        <v>1303</v>
      </c>
      <c r="D3248" s="13">
        <v>10</v>
      </c>
    </row>
    <row r="3249" spans="3:4" x14ac:dyDescent="0.2">
      <c r="C3249" t="s">
        <v>1617</v>
      </c>
      <c r="D3249" s="13">
        <v>10</v>
      </c>
    </row>
    <row r="3250" spans="3:4" x14ac:dyDescent="0.2">
      <c r="C3250" t="s">
        <v>1623</v>
      </c>
      <c r="D3250" s="13">
        <v>10</v>
      </c>
    </row>
    <row r="3251" spans="3:4" x14ac:dyDescent="0.2">
      <c r="C3251" t="s">
        <v>1690</v>
      </c>
      <c r="D3251" s="13">
        <v>10</v>
      </c>
    </row>
    <row r="3252" spans="3:4" x14ac:dyDescent="0.2">
      <c r="C3252" t="s">
        <v>1747</v>
      </c>
      <c r="D3252" s="13">
        <v>10</v>
      </c>
    </row>
    <row r="3253" spans="3:4" x14ac:dyDescent="0.2">
      <c r="C3253" t="s">
        <v>1969</v>
      </c>
      <c r="D3253" s="13">
        <v>10</v>
      </c>
    </row>
    <row r="3254" spans="3:4" x14ac:dyDescent="0.2">
      <c r="C3254" t="s">
        <v>2100</v>
      </c>
      <c r="D3254" s="13">
        <v>10</v>
      </c>
    </row>
    <row r="3255" spans="3:4" x14ac:dyDescent="0.2">
      <c r="C3255" t="s">
        <v>2149</v>
      </c>
      <c r="D3255" s="13">
        <v>10</v>
      </c>
    </row>
    <row r="3256" spans="3:4" x14ac:dyDescent="0.2">
      <c r="C3256" t="s">
        <v>2348</v>
      </c>
      <c r="D3256" s="13">
        <v>10</v>
      </c>
    </row>
    <row r="3257" spans="3:4" x14ac:dyDescent="0.2">
      <c r="C3257" t="s">
        <v>2753</v>
      </c>
      <c r="D3257" s="13">
        <v>10</v>
      </c>
    </row>
    <row r="3258" spans="3:4" x14ac:dyDescent="0.2">
      <c r="C3258" t="s">
        <v>2936</v>
      </c>
      <c r="D3258" s="13">
        <v>10</v>
      </c>
    </row>
    <row r="3259" spans="3:4" x14ac:dyDescent="0.2">
      <c r="C3259" t="s">
        <v>3129</v>
      </c>
      <c r="D3259" s="13">
        <v>10</v>
      </c>
    </row>
    <row r="3260" spans="3:4" x14ac:dyDescent="0.2">
      <c r="C3260" t="s">
        <v>3350</v>
      </c>
      <c r="D3260" s="13">
        <v>10</v>
      </c>
    </row>
    <row r="3261" spans="3:4" x14ac:dyDescent="0.2">
      <c r="C3261" t="s">
        <v>3369</v>
      </c>
      <c r="D3261" s="13">
        <v>10</v>
      </c>
    </row>
    <row r="3262" spans="3:4" x14ac:dyDescent="0.2">
      <c r="C3262" t="s">
        <v>3404</v>
      </c>
      <c r="D3262" s="13">
        <v>10</v>
      </c>
    </row>
    <row r="3263" spans="3:4" x14ac:dyDescent="0.2">
      <c r="C3263" t="s">
        <v>3715</v>
      </c>
      <c r="D3263" s="13">
        <v>10</v>
      </c>
    </row>
    <row r="3264" spans="3:4" x14ac:dyDescent="0.2">
      <c r="C3264" t="s">
        <v>3777</v>
      </c>
      <c r="D3264" s="13">
        <v>10</v>
      </c>
    </row>
    <row r="3265" spans="3:4" x14ac:dyDescent="0.2">
      <c r="C3265" t="s">
        <v>3855</v>
      </c>
      <c r="D3265" s="13">
        <v>10</v>
      </c>
    </row>
    <row r="3266" spans="3:4" x14ac:dyDescent="0.2">
      <c r="C3266" t="s">
        <v>3861</v>
      </c>
      <c r="D3266" s="13">
        <v>10</v>
      </c>
    </row>
    <row r="3267" spans="3:4" x14ac:dyDescent="0.2">
      <c r="C3267" t="s">
        <v>4070</v>
      </c>
      <c r="D3267" s="13">
        <v>10</v>
      </c>
    </row>
    <row r="3268" spans="3:4" x14ac:dyDescent="0.2">
      <c r="C3268" t="s">
        <v>4220</v>
      </c>
      <c r="D3268" s="13">
        <v>10</v>
      </c>
    </row>
    <row r="3269" spans="3:4" x14ac:dyDescent="0.2">
      <c r="C3269" t="s">
        <v>4245</v>
      </c>
      <c r="D3269" s="13">
        <v>10</v>
      </c>
    </row>
    <row r="3270" spans="3:4" x14ac:dyDescent="0.2">
      <c r="C3270" t="s">
        <v>4384</v>
      </c>
      <c r="D3270" s="13">
        <v>10</v>
      </c>
    </row>
    <row r="3271" spans="3:4" x14ac:dyDescent="0.2">
      <c r="C3271" t="s">
        <v>4438</v>
      </c>
      <c r="D3271" s="13">
        <v>10</v>
      </c>
    </row>
    <row r="3272" spans="3:4" x14ac:dyDescent="0.2">
      <c r="C3272" t="s">
        <v>4758</v>
      </c>
      <c r="D3272" s="13">
        <v>10</v>
      </c>
    </row>
    <row r="3273" spans="3:4" x14ac:dyDescent="0.2">
      <c r="C3273" t="s">
        <v>5286</v>
      </c>
      <c r="D3273" s="13">
        <v>10</v>
      </c>
    </row>
    <row r="3274" spans="3:4" x14ac:dyDescent="0.2">
      <c r="C3274" t="s">
        <v>5580</v>
      </c>
      <c r="D3274" s="13">
        <v>10</v>
      </c>
    </row>
    <row r="3275" spans="3:4" x14ac:dyDescent="0.2">
      <c r="C3275" t="s">
        <v>5649</v>
      </c>
      <c r="D3275" s="13">
        <v>10</v>
      </c>
    </row>
    <row r="3276" spans="3:4" x14ac:dyDescent="0.2">
      <c r="C3276" t="s">
        <v>5705</v>
      </c>
      <c r="D3276" s="13">
        <v>10</v>
      </c>
    </row>
    <row r="3277" spans="3:4" x14ac:dyDescent="0.2">
      <c r="C3277" t="s">
        <v>5986</v>
      </c>
      <c r="D3277" s="13">
        <v>10</v>
      </c>
    </row>
    <row r="3278" spans="3:4" x14ac:dyDescent="0.2">
      <c r="C3278" t="s">
        <v>6265</v>
      </c>
      <c r="D3278" s="13">
        <v>10</v>
      </c>
    </row>
    <row r="3279" spans="3:4" x14ac:dyDescent="0.2">
      <c r="C3279" t="s">
        <v>6406</v>
      </c>
      <c r="D3279" s="13">
        <v>10</v>
      </c>
    </row>
    <row r="3280" spans="3:4" x14ac:dyDescent="0.2">
      <c r="C3280" t="s">
        <v>6799</v>
      </c>
      <c r="D3280" s="13">
        <v>10</v>
      </c>
    </row>
    <row r="3281" spans="3:4" x14ac:dyDescent="0.2">
      <c r="C3281" t="s">
        <v>6917</v>
      </c>
      <c r="D3281" s="13">
        <v>10</v>
      </c>
    </row>
    <row r="3282" spans="3:4" x14ac:dyDescent="0.2">
      <c r="C3282" t="s">
        <v>6967</v>
      </c>
      <c r="D3282" s="13">
        <v>10</v>
      </c>
    </row>
    <row r="3283" spans="3:4" x14ac:dyDescent="0.2">
      <c r="C3283" t="s">
        <v>7101</v>
      </c>
      <c r="D3283" s="13">
        <v>10</v>
      </c>
    </row>
    <row r="3284" spans="3:4" x14ac:dyDescent="0.2">
      <c r="C3284" t="s">
        <v>7138</v>
      </c>
      <c r="D3284" s="13">
        <v>10</v>
      </c>
    </row>
    <row r="3285" spans="3:4" x14ac:dyDescent="0.2">
      <c r="C3285" t="s">
        <v>7331</v>
      </c>
      <c r="D3285" s="13">
        <v>10</v>
      </c>
    </row>
    <row r="3286" spans="3:4" x14ac:dyDescent="0.2">
      <c r="C3286" t="s">
        <v>7358</v>
      </c>
      <c r="D3286" s="13">
        <v>10</v>
      </c>
    </row>
    <row r="3287" spans="3:4" x14ac:dyDescent="0.2">
      <c r="C3287" t="s">
        <v>7825</v>
      </c>
      <c r="D3287" s="13">
        <v>10</v>
      </c>
    </row>
    <row r="3288" spans="3:4" x14ac:dyDescent="0.2">
      <c r="C3288" t="s">
        <v>8525</v>
      </c>
      <c r="D3288" s="13">
        <v>10</v>
      </c>
    </row>
    <row r="3289" spans="3:4" x14ac:dyDescent="0.2">
      <c r="C3289" t="s">
        <v>8567</v>
      </c>
      <c r="D3289" s="13">
        <v>10</v>
      </c>
    </row>
    <row r="3290" spans="3:4" x14ac:dyDescent="0.2">
      <c r="C3290" t="s">
        <v>8663</v>
      </c>
      <c r="D3290" s="13">
        <v>10</v>
      </c>
    </row>
    <row r="3291" spans="3:4" x14ac:dyDescent="0.2">
      <c r="C3291" t="s">
        <v>8673</v>
      </c>
      <c r="D3291" s="13">
        <v>10</v>
      </c>
    </row>
    <row r="3292" spans="3:4" x14ac:dyDescent="0.2">
      <c r="C3292" t="s">
        <v>240</v>
      </c>
      <c r="D3292" s="13">
        <v>10</v>
      </c>
    </row>
    <row r="3293" spans="3:4" x14ac:dyDescent="0.2">
      <c r="C3293" t="s">
        <v>665</v>
      </c>
      <c r="D3293" s="13">
        <v>10</v>
      </c>
    </row>
    <row r="3294" spans="3:4" x14ac:dyDescent="0.2">
      <c r="C3294" t="s">
        <v>2791</v>
      </c>
      <c r="D3294" s="13">
        <v>10</v>
      </c>
    </row>
    <row r="3295" spans="3:4" x14ac:dyDescent="0.2">
      <c r="C3295" t="s">
        <v>2792</v>
      </c>
      <c r="D3295" s="13">
        <v>10</v>
      </c>
    </row>
    <row r="3296" spans="3:4" x14ac:dyDescent="0.2">
      <c r="C3296" t="s">
        <v>3007</v>
      </c>
      <c r="D3296" s="13">
        <v>10</v>
      </c>
    </row>
    <row r="3297" spans="3:4" x14ac:dyDescent="0.2">
      <c r="C3297" t="s">
        <v>3095</v>
      </c>
      <c r="D3297" s="13">
        <v>10</v>
      </c>
    </row>
    <row r="3298" spans="3:4" x14ac:dyDescent="0.2">
      <c r="C3298" t="s">
        <v>3121</v>
      </c>
      <c r="D3298" s="13">
        <v>10</v>
      </c>
    </row>
    <row r="3299" spans="3:4" x14ac:dyDescent="0.2">
      <c r="C3299" t="s">
        <v>3414</v>
      </c>
      <c r="D3299" s="13">
        <v>10</v>
      </c>
    </row>
    <row r="3300" spans="3:4" x14ac:dyDescent="0.2">
      <c r="C3300" t="s">
        <v>3531</v>
      </c>
      <c r="D3300" s="13">
        <v>10</v>
      </c>
    </row>
    <row r="3301" spans="3:4" x14ac:dyDescent="0.2">
      <c r="C3301" t="s">
        <v>4021</v>
      </c>
      <c r="D3301" s="13">
        <v>10</v>
      </c>
    </row>
    <row r="3302" spans="3:4" x14ac:dyDescent="0.2">
      <c r="C3302" t="s">
        <v>4391</v>
      </c>
      <c r="D3302" s="13">
        <v>10</v>
      </c>
    </row>
    <row r="3303" spans="3:4" x14ac:dyDescent="0.2">
      <c r="C3303" t="s">
        <v>4549</v>
      </c>
      <c r="D3303" s="13">
        <v>10</v>
      </c>
    </row>
    <row r="3304" spans="3:4" x14ac:dyDescent="0.2">
      <c r="C3304" t="s">
        <v>6339</v>
      </c>
      <c r="D3304" s="13">
        <v>10</v>
      </c>
    </row>
    <row r="3305" spans="3:4" x14ac:dyDescent="0.2">
      <c r="C3305" t="s">
        <v>6825</v>
      </c>
      <c r="D3305" s="13">
        <v>10</v>
      </c>
    </row>
    <row r="3306" spans="3:4" x14ac:dyDescent="0.2">
      <c r="C3306" t="s">
        <v>7219</v>
      </c>
      <c r="D3306" s="13">
        <v>10</v>
      </c>
    </row>
    <row r="3307" spans="3:4" x14ac:dyDescent="0.2">
      <c r="C3307" t="s">
        <v>7397</v>
      </c>
      <c r="D3307" s="13">
        <v>10</v>
      </c>
    </row>
    <row r="3308" spans="3:4" x14ac:dyDescent="0.2">
      <c r="C3308" t="s">
        <v>7658</v>
      </c>
      <c r="D3308" s="13">
        <v>10</v>
      </c>
    </row>
    <row r="3309" spans="3:4" x14ac:dyDescent="0.2">
      <c r="C3309" t="s">
        <v>8667</v>
      </c>
      <c r="D3309" s="13">
        <v>10</v>
      </c>
    </row>
    <row r="3310" spans="3:4" x14ac:dyDescent="0.2">
      <c r="C3310" t="s">
        <v>172</v>
      </c>
      <c r="D3310" s="13">
        <v>10</v>
      </c>
    </row>
    <row r="3311" spans="3:4" x14ac:dyDescent="0.2">
      <c r="C3311" t="s">
        <v>215</v>
      </c>
      <c r="D3311" s="13">
        <v>10</v>
      </c>
    </row>
    <row r="3312" spans="3:4" x14ac:dyDescent="0.2">
      <c r="C3312" t="s">
        <v>260</v>
      </c>
      <c r="D3312" s="13">
        <v>10</v>
      </c>
    </row>
    <row r="3313" spans="3:4" x14ac:dyDescent="0.2">
      <c r="C3313" t="s">
        <v>413</v>
      </c>
      <c r="D3313" s="13">
        <v>10</v>
      </c>
    </row>
    <row r="3314" spans="3:4" x14ac:dyDescent="0.2">
      <c r="C3314" t="s">
        <v>439</v>
      </c>
      <c r="D3314" s="13">
        <v>10</v>
      </c>
    </row>
    <row r="3315" spans="3:4" x14ac:dyDescent="0.2">
      <c r="C3315" t="s">
        <v>501</v>
      </c>
      <c r="D3315" s="13">
        <v>10</v>
      </c>
    </row>
    <row r="3316" spans="3:4" x14ac:dyDescent="0.2">
      <c r="C3316" t="s">
        <v>531</v>
      </c>
      <c r="D3316" s="13">
        <v>10</v>
      </c>
    </row>
    <row r="3317" spans="3:4" x14ac:dyDescent="0.2">
      <c r="C3317" t="s">
        <v>544</v>
      </c>
      <c r="D3317" s="13">
        <v>10</v>
      </c>
    </row>
    <row r="3318" spans="3:4" x14ac:dyDescent="0.2">
      <c r="C3318" t="s">
        <v>579</v>
      </c>
      <c r="D3318" s="13">
        <v>10</v>
      </c>
    </row>
    <row r="3319" spans="3:4" x14ac:dyDescent="0.2">
      <c r="C3319" t="s">
        <v>596</v>
      </c>
      <c r="D3319" s="13">
        <v>10</v>
      </c>
    </row>
    <row r="3320" spans="3:4" x14ac:dyDescent="0.2">
      <c r="C3320" t="s">
        <v>635</v>
      </c>
      <c r="D3320" s="13">
        <v>10</v>
      </c>
    </row>
    <row r="3321" spans="3:4" x14ac:dyDescent="0.2">
      <c r="C3321" t="s">
        <v>657</v>
      </c>
      <c r="D3321" s="13">
        <v>10</v>
      </c>
    </row>
    <row r="3322" spans="3:4" x14ac:dyDescent="0.2">
      <c r="C3322" t="s">
        <v>682</v>
      </c>
      <c r="D3322" s="13">
        <v>10</v>
      </c>
    </row>
    <row r="3323" spans="3:4" x14ac:dyDescent="0.2">
      <c r="C3323" t="s">
        <v>776</v>
      </c>
      <c r="D3323" s="13">
        <v>10</v>
      </c>
    </row>
    <row r="3324" spans="3:4" x14ac:dyDescent="0.2">
      <c r="C3324" t="s">
        <v>858</v>
      </c>
      <c r="D3324" s="13">
        <v>10</v>
      </c>
    </row>
    <row r="3325" spans="3:4" x14ac:dyDescent="0.2">
      <c r="C3325" t="s">
        <v>880</v>
      </c>
      <c r="D3325" s="13">
        <v>10</v>
      </c>
    </row>
    <row r="3326" spans="3:4" x14ac:dyDescent="0.2">
      <c r="C3326" t="s">
        <v>1071</v>
      </c>
      <c r="D3326" s="13">
        <v>10</v>
      </c>
    </row>
    <row r="3327" spans="3:4" x14ac:dyDescent="0.2">
      <c r="C3327" t="s">
        <v>1100</v>
      </c>
      <c r="D3327" s="13">
        <v>10</v>
      </c>
    </row>
    <row r="3328" spans="3:4" x14ac:dyDescent="0.2">
      <c r="C3328" t="s">
        <v>1183</v>
      </c>
      <c r="D3328" s="13">
        <v>10</v>
      </c>
    </row>
    <row r="3329" spans="3:4" x14ac:dyDescent="0.2">
      <c r="C3329" t="s">
        <v>1219</v>
      </c>
      <c r="D3329" s="13">
        <v>10</v>
      </c>
    </row>
    <row r="3330" spans="3:4" x14ac:dyDescent="0.2">
      <c r="C3330" t="s">
        <v>1263</v>
      </c>
      <c r="D3330" s="13">
        <v>10</v>
      </c>
    </row>
    <row r="3331" spans="3:4" x14ac:dyDescent="0.2">
      <c r="C3331" t="s">
        <v>1290</v>
      </c>
      <c r="D3331" s="13">
        <v>10</v>
      </c>
    </row>
    <row r="3332" spans="3:4" x14ac:dyDescent="0.2">
      <c r="C3332" t="s">
        <v>1412</v>
      </c>
      <c r="D3332" s="13">
        <v>10</v>
      </c>
    </row>
    <row r="3333" spans="3:4" x14ac:dyDescent="0.2">
      <c r="C3333" t="s">
        <v>1512</v>
      </c>
      <c r="D3333" s="13">
        <v>10</v>
      </c>
    </row>
    <row r="3334" spans="3:4" x14ac:dyDescent="0.2">
      <c r="C3334" t="s">
        <v>1545</v>
      </c>
      <c r="D3334" s="13">
        <v>10</v>
      </c>
    </row>
    <row r="3335" spans="3:4" x14ac:dyDescent="0.2">
      <c r="C3335" t="s">
        <v>1627</v>
      </c>
      <c r="D3335" s="13">
        <v>10</v>
      </c>
    </row>
    <row r="3336" spans="3:4" x14ac:dyDescent="0.2">
      <c r="C3336" t="s">
        <v>1803</v>
      </c>
      <c r="D3336" s="13">
        <v>10</v>
      </c>
    </row>
    <row r="3337" spans="3:4" x14ac:dyDescent="0.2">
      <c r="C3337" t="s">
        <v>1807</v>
      </c>
      <c r="D3337" s="13">
        <v>10</v>
      </c>
    </row>
    <row r="3338" spans="3:4" x14ac:dyDescent="0.2">
      <c r="C3338" t="s">
        <v>1862</v>
      </c>
      <c r="D3338" s="13">
        <v>10</v>
      </c>
    </row>
    <row r="3339" spans="3:4" x14ac:dyDescent="0.2">
      <c r="C3339" t="s">
        <v>1913</v>
      </c>
      <c r="D3339" s="13">
        <v>10</v>
      </c>
    </row>
    <row r="3340" spans="3:4" x14ac:dyDescent="0.2">
      <c r="C3340" t="s">
        <v>1975</v>
      </c>
      <c r="D3340" s="13">
        <v>10</v>
      </c>
    </row>
    <row r="3341" spans="3:4" x14ac:dyDescent="0.2">
      <c r="C3341" t="s">
        <v>2001</v>
      </c>
      <c r="D3341" s="13">
        <v>10</v>
      </c>
    </row>
    <row r="3342" spans="3:4" x14ac:dyDescent="0.2">
      <c r="C3342" t="s">
        <v>2073</v>
      </c>
      <c r="D3342" s="13">
        <v>10</v>
      </c>
    </row>
    <row r="3343" spans="3:4" x14ac:dyDescent="0.2">
      <c r="C3343" t="s">
        <v>2083</v>
      </c>
      <c r="D3343" s="13">
        <v>10</v>
      </c>
    </row>
    <row r="3344" spans="3:4" x14ac:dyDescent="0.2">
      <c r="C3344" t="s">
        <v>2126</v>
      </c>
      <c r="D3344" s="13">
        <v>10</v>
      </c>
    </row>
    <row r="3345" spans="3:4" x14ac:dyDescent="0.2">
      <c r="C3345" t="s">
        <v>2212</v>
      </c>
      <c r="D3345" s="13">
        <v>10</v>
      </c>
    </row>
    <row r="3346" spans="3:4" x14ac:dyDescent="0.2">
      <c r="C3346" t="s">
        <v>2226</v>
      </c>
      <c r="D3346" s="13">
        <v>10</v>
      </c>
    </row>
    <row r="3347" spans="3:4" x14ac:dyDescent="0.2">
      <c r="C3347" t="s">
        <v>2272</v>
      </c>
      <c r="D3347" s="13">
        <v>10</v>
      </c>
    </row>
    <row r="3348" spans="3:4" x14ac:dyDescent="0.2">
      <c r="C3348" t="s">
        <v>2274</v>
      </c>
      <c r="D3348" s="13">
        <v>10</v>
      </c>
    </row>
    <row r="3349" spans="3:4" x14ac:dyDescent="0.2">
      <c r="C3349" t="s">
        <v>2316</v>
      </c>
      <c r="D3349" s="13">
        <v>10</v>
      </c>
    </row>
    <row r="3350" spans="3:4" x14ac:dyDescent="0.2">
      <c r="C3350" t="s">
        <v>2441</v>
      </c>
      <c r="D3350" s="13">
        <v>10</v>
      </c>
    </row>
    <row r="3351" spans="3:4" x14ac:dyDescent="0.2">
      <c r="C3351" t="s">
        <v>2528</v>
      </c>
      <c r="D3351" s="13">
        <v>10</v>
      </c>
    </row>
    <row r="3352" spans="3:4" x14ac:dyDescent="0.2">
      <c r="C3352" t="s">
        <v>2563</v>
      </c>
      <c r="D3352" s="13">
        <v>10</v>
      </c>
    </row>
    <row r="3353" spans="3:4" x14ac:dyDescent="0.2">
      <c r="C3353" t="s">
        <v>2573</v>
      </c>
      <c r="D3353" s="13">
        <v>10</v>
      </c>
    </row>
    <row r="3354" spans="3:4" x14ac:dyDescent="0.2">
      <c r="C3354" t="s">
        <v>2629</v>
      </c>
      <c r="D3354" s="13">
        <v>10</v>
      </c>
    </row>
    <row r="3355" spans="3:4" x14ac:dyDescent="0.2">
      <c r="C3355" t="s">
        <v>2635</v>
      </c>
      <c r="D3355" s="13">
        <v>10</v>
      </c>
    </row>
    <row r="3356" spans="3:4" x14ac:dyDescent="0.2">
      <c r="C3356" t="s">
        <v>2664</v>
      </c>
      <c r="D3356" s="13">
        <v>10</v>
      </c>
    </row>
    <row r="3357" spans="3:4" x14ac:dyDescent="0.2">
      <c r="C3357" t="s">
        <v>2671</v>
      </c>
      <c r="D3357" s="13">
        <v>10</v>
      </c>
    </row>
    <row r="3358" spans="3:4" x14ac:dyDescent="0.2">
      <c r="C3358" t="s">
        <v>2800</v>
      </c>
      <c r="D3358" s="13">
        <v>10</v>
      </c>
    </row>
    <row r="3359" spans="3:4" x14ac:dyDescent="0.2">
      <c r="C3359" t="s">
        <v>2802</v>
      </c>
      <c r="D3359" s="13">
        <v>10</v>
      </c>
    </row>
    <row r="3360" spans="3:4" x14ac:dyDescent="0.2">
      <c r="C3360" t="s">
        <v>2942</v>
      </c>
      <c r="D3360" s="13">
        <v>10</v>
      </c>
    </row>
    <row r="3361" spans="3:4" x14ac:dyDescent="0.2">
      <c r="C3361" t="s">
        <v>3022</v>
      </c>
      <c r="D3361" s="13">
        <v>10</v>
      </c>
    </row>
    <row r="3362" spans="3:4" x14ac:dyDescent="0.2">
      <c r="C3362" t="s">
        <v>3076</v>
      </c>
      <c r="D3362" s="13">
        <v>10</v>
      </c>
    </row>
    <row r="3363" spans="3:4" x14ac:dyDescent="0.2">
      <c r="C3363" t="s">
        <v>3084</v>
      </c>
      <c r="D3363" s="13">
        <v>10</v>
      </c>
    </row>
    <row r="3364" spans="3:4" x14ac:dyDescent="0.2">
      <c r="C3364" t="s">
        <v>3188</v>
      </c>
      <c r="D3364" s="13">
        <v>10</v>
      </c>
    </row>
    <row r="3365" spans="3:4" x14ac:dyDescent="0.2">
      <c r="C3365" t="s">
        <v>3270</v>
      </c>
      <c r="D3365" s="13">
        <v>10</v>
      </c>
    </row>
    <row r="3366" spans="3:4" x14ac:dyDescent="0.2">
      <c r="C3366" t="s">
        <v>3463</v>
      </c>
      <c r="D3366" s="13">
        <v>10</v>
      </c>
    </row>
    <row r="3367" spans="3:4" x14ac:dyDescent="0.2">
      <c r="C3367" t="s">
        <v>3487</v>
      </c>
      <c r="D3367" s="13">
        <v>10</v>
      </c>
    </row>
    <row r="3368" spans="3:4" x14ac:dyDescent="0.2">
      <c r="C3368" t="s">
        <v>3509</v>
      </c>
      <c r="D3368" s="13">
        <v>10</v>
      </c>
    </row>
    <row r="3369" spans="3:4" x14ac:dyDescent="0.2">
      <c r="C3369" t="s">
        <v>3529</v>
      </c>
      <c r="D3369" s="13">
        <v>10</v>
      </c>
    </row>
    <row r="3370" spans="3:4" x14ac:dyDescent="0.2">
      <c r="C3370" t="s">
        <v>3707</v>
      </c>
      <c r="D3370" s="13">
        <v>10</v>
      </c>
    </row>
    <row r="3371" spans="3:4" x14ac:dyDescent="0.2">
      <c r="C3371" t="s">
        <v>3733</v>
      </c>
      <c r="D3371" s="13">
        <v>10</v>
      </c>
    </row>
    <row r="3372" spans="3:4" x14ac:dyDescent="0.2">
      <c r="C3372" t="s">
        <v>3753</v>
      </c>
      <c r="D3372" s="13">
        <v>10</v>
      </c>
    </row>
    <row r="3373" spans="3:4" x14ac:dyDescent="0.2">
      <c r="C3373" t="s">
        <v>3797</v>
      </c>
      <c r="D3373" s="13">
        <v>10</v>
      </c>
    </row>
    <row r="3374" spans="3:4" x14ac:dyDescent="0.2">
      <c r="C3374" t="s">
        <v>3847</v>
      </c>
      <c r="D3374" s="13">
        <v>10</v>
      </c>
    </row>
    <row r="3375" spans="3:4" x14ac:dyDescent="0.2">
      <c r="C3375" t="s">
        <v>3892</v>
      </c>
      <c r="D3375" s="13">
        <v>10</v>
      </c>
    </row>
    <row r="3376" spans="3:4" x14ac:dyDescent="0.2">
      <c r="C3376" t="s">
        <v>3915</v>
      </c>
      <c r="D3376" s="13">
        <v>10</v>
      </c>
    </row>
    <row r="3377" spans="3:4" x14ac:dyDescent="0.2">
      <c r="C3377" t="s">
        <v>3933</v>
      </c>
      <c r="D3377" s="13">
        <v>10</v>
      </c>
    </row>
    <row r="3378" spans="3:4" x14ac:dyDescent="0.2">
      <c r="C3378" t="s">
        <v>3960</v>
      </c>
      <c r="D3378" s="13">
        <v>10</v>
      </c>
    </row>
    <row r="3379" spans="3:4" x14ac:dyDescent="0.2">
      <c r="C3379" t="s">
        <v>4019</v>
      </c>
      <c r="D3379" s="13">
        <v>10</v>
      </c>
    </row>
    <row r="3380" spans="3:4" x14ac:dyDescent="0.2">
      <c r="C3380" t="s">
        <v>4088</v>
      </c>
      <c r="D3380" s="13">
        <v>10</v>
      </c>
    </row>
    <row r="3381" spans="3:4" x14ac:dyDescent="0.2">
      <c r="C3381" t="s">
        <v>4166</v>
      </c>
      <c r="D3381" s="13">
        <v>10</v>
      </c>
    </row>
    <row r="3382" spans="3:4" x14ac:dyDescent="0.2">
      <c r="C3382" t="s">
        <v>4230</v>
      </c>
      <c r="D3382" s="13">
        <v>10</v>
      </c>
    </row>
    <row r="3383" spans="3:4" x14ac:dyDescent="0.2">
      <c r="C3383" t="s">
        <v>4613</v>
      </c>
      <c r="D3383" s="13">
        <v>10</v>
      </c>
    </row>
    <row r="3384" spans="3:4" x14ac:dyDescent="0.2">
      <c r="C3384" t="s">
        <v>4709</v>
      </c>
      <c r="D3384" s="13">
        <v>10</v>
      </c>
    </row>
    <row r="3385" spans="3:4" x14ac:dyDescent="0.2">
      <c r="C3385" t="s">
        <v>4756</v>
      </c>
      <c r="D3385" s="13">
        <v>10</v>
      </c>
    </row>
    <row r="3386" spans="3:4" x14ac:dyDescent="0.2">
      <c r="C3386" t="s">
        <v>4801</v>
      </c>
      <c r="D3386" s="13">
        <v>10</v>
      </c>
    </row>
    <row r="3387" spans="3:4" x14ac:dyDescent="0.2">
      <c r="C3387" t="s">
        <v>4872</v>
      </c>
      <c r="D3387" s="13">
        <v>10</v>
      </c>
    </row>
    <row r="3388" spans="3:4" x14ac:dyDescent="0.2">
      <c r="C3388" t="s">
        <v>4913</v>
      </c>
      <c r="D3388" s="13">
        <v>10</v>
      </c>
    </row>
    <row r="3389" spans="3:4" x14ac:dyDescent="0.2">
      <c r="C3389" t="s">
        <v>4917</v>
      </c>
      <c r="D3389" s="13">
        <v>10</v>
      </c>
    </row>
    <row r="3390" spans="3:4" x14ac:dyDescent="0.2">
      <c r="C3390" t="s">
        <v>4937</v>
      </c>
      <c r="D3390" s="13">
        <v>10</v>
      </c>
    </row>
    <row r="3391" spans="3:4" x14ac:dyDescent="0.2">
      <c r="C3391" t="s">
        <v>4975</v>
      </c>
      <c r="D3391" s="13">
        <v>10</v>
      </c>
    </row>
    <row r="3392" spans="3:4" x14ac:dyDescent="0.2">
      <c r="C3392" t="s">
        <v>5040</v>
      </c>
      <c r="D3392" s="13">
        <v>10</v>
      </c>
    </row>
    <row r="3393" spans="3:4" x14ac:dyDescent="0.2">
      <c r="C3393" t="s">
        <v>5167</v>
      </c>
      <c r="D3393" s="13">
        <v>10</v>
      </c>
    </row>
    <row r="3394" spans="3:4" x14ac:dyDescent="0.2">
      <c r="C3394" t="s">
        <v>5212</v>
      </c>
      <c r="D3394" s="13">
        <v>10</v>
      </c>
    </row>
    <row r="3395" spans="3:4" x14ac:dyDescent="0.2">
      <c r="C3395" t="s">
        <v>5229</v>
      </c>
      <c r="D3395" s="13">
        <v>10</v>
      </c>
    </row>
    <row r="3396" spans="3:4" x14ac:dyDescent="0.2">
      <c r="C3396" t="s">
        <v>5240</v>
      </c>
      <c r="D3396" s="13">
        <v>10</v>
      </c>
    </row>
    <row r="3397" spans="3:4" x14ac:dyDescent="0.2">
      <c r="C3397" t="s">
        <v>5263</v>
      </c>
      <c r="D3397" s="13">
        <v>10</v>
      </c>
    </row>
    <row r="3398" spans="3:4" x14ac:dyDescent="0.2">
      <c r="C3398" t="s">
        <v>5282</v>
      </c>
      <c r="D3398" s="13">
        <v>10</v>
      </c>
    </row>
    <row r="3399" spans="3:4" x14ac:dyDescent="0.2">
      <c r="C3399" t="s">
        <v>5381</v>
      </c>
      <c r="D3399" s="13">
        <v>10</v>
      </c>
    </row>
    <row r="3400" spans="3:4" x14ac:dyDescent="0.2">
      <c r="C3400" t="s">
        <v>5395</v>
      </c>
      <c r="D3400" s="13">
        <v>10</v>
      </c>
    </row>
    <row r="3401" spans="3:4" x14ac:dyDescent="0.2">
      <c r="C3401" t="s">
        <v>5454</v>
      </c>
      <c r="D3401" s="13">
        <v>10</v>
      </c>
    </row>
    <row r="3402" spans="3:4" x14ac:dyDescent="0.2">
      <c r="C3402" t="s">
        <v>5464</v>
      </c>
      <c r="D3402" s="13">
        <v>10</v>
      </c>
    </row>
    <row r="3403" spans="3:4" x14ac:dyDescent="0.2">
      <c r="C3403" t="s">
        <v>5605</v>
      </c>
      <c r="D3403" s="13">
        <v>10</v>
      </c>
    </row>
    <row r="3404" spans="3:4" x14ac:dyDescent="0.2">
      <c r="C3404" t="s">
        <v>5607</v>
      </c>
      <c r="D3404" s="13">
        <v>10</v>
      </c>
    </row>
    <row r="3405" spans="3:4" x14ac:dyDescent="0.2">
      <c r="C3405" t="s">
        <v>5657</v>
      </c>
      <c r="D3405" s="13">
        <v>10</v>
      </c>
    </row>
    <row r="3406" spans="3:4" x14ac:dyDescent="0.2">
      <c r="C3406" t="s">
        <v>5733</v>
      </c>
      <c r="D3406" s="13">
        <v>10</v>
      </c>
    </row>
    <row r="3407" spans="3:4" x14ac:dyDescent="0.2">
      <c r="C3407" t="s">
        <v>5741</v>
      </c>
      <c r="D3407" s="13">
        <v>10</v>
      </c>
    </row>
    <row r="3408" spans="3:4" x14ac:dyDescent="0.2">
      <c r="C3408" t="s">
        <v>5774</v>
      </c>
      <c r="D3408" s="13">
        <v>10</v>
      </c>
    </row>
    <row r="3409" spans="3:4" x14ac:dyDescent="0.2">
      <c r="C3409" t="s">
        <v>5958</v>
      </c>
      <c r="D3409" s="13">
        <v>10</v>
      </c>
    </row>
    <row r="3410" spans="3:4" x14ac:dyDescent="0.2">
      <c r="C3410" t="s">
        <v>5960</v>
      </c>
      <c r="D3410" s="13">
        <v>10</v>
      </c>
    </row>
    <row r="3411" spans="3:4" x14ac:dyDescent="0.2">
      <c r="C3411" t="s">
        <v>6162</v>
      </c>
      <c r="D3411" s="13">
        <v>10</v>
      </c>
    </row>
    <row r="3412" spans="3:4" x14ac:dyDescent="0.2">
      <c r="C3412" t="s">
        <v>6209</v>
      </c>
      <c r="D3412" s="13">
        <v>10</v>
      </c>
    </row>
    <row r="3413" spans="3:4" x14ac:dyDescent="0.2">
      <c r="C3413" t="s">
        <v>6245</v>
      </c>
      <c r="D3413" s="13">
        <v>10</v>
      </c>
    </row>
    <row r="3414" spans="3:4" x14ac:dyDescent="0.2">
      <c r="C3414" t="s">
        <v>6263</v>
      </c>
      <c r="D3414" s="13">
        <v>10</v>
      </c>
    </row>
    <row r="3415" spans="3:4" x14ac:dyDescent="0.2">
      <c r="C3415" t="s">
        <v>6298</v>
      </c>
      <c r="D3415" s="13">
        <v>10</v>
      </c>
    </row>
    <row r="3416" spans="3:4" x14ac:dyDescent="0.2">
      <c r="C3416" t="s">
        <v>6475</v>
      </c>
      <c r="D3416" s="13">
        <v>10</v>
      </c>
    </row>
    <row r="3417" spans="3:4" x14ac:dyDescent="0.2">
      <c r="C3417" t="s">
        <v>6503</v>
      </c>
      <c r="D3417" s="13">
        <v>10</v>
      </c>
    </row>
    <row r="3418" spans="3:4" x14ac:dyDescent="0.2">
      <c r="C3418" t="s">
        <v>6549</v>
      </c>
      <c r="D3418" s="13">
        <v>10</v>
      </c>
    </row>
    <row r="3419" spans="3:4" x14ac:dyDescent="0.2">
      <c r="C3419" t="s">
        <v>6565</v>
      </c>
      <c r="D3419" s="13">
        <v>10</v>
      </c>
    </row>
    <row r="3420" spans="3:4" x14ac:dyDescent="0.2">
      <c r="C3420" t="s">
        <v>6614</v>
      </c>
      <c r="D3420" s="13">
        <v>10</v>
      </c>
    </row>
    <row r="3421" spans="3:4" x14ac:dyDescent="0.2">
      <c r="C3421" t="s">
        <v>6633</v>
      </c>
      <c r="D3421" s="13">
        <v>10</v>
      </c>
    </row>
    <row r="3422" spans="3:4" x14ac:dyDescent="0.2">
      <c r="C3422" t="s">
        <v>6729</v>
      </c>
      <c r="D3422" s="13">
        <v>10</v>
      </c>
    </row>
    <row r="3423" spans="3:4" x14ac:dyDescent="0.2">
      <c r="C3423" t="s">
        <v>6747</v>
      </c>
      <c r="D3423" s="13">
        <v>10</v>
      </c>
    </row>
    <row r="3424" spans="3:4" x14ac:dyDescent="0.2">
      <c r="C3424" t="s">
        <v>6749</v>
      </c>
      <c r="D3424" s="13">
        <v>10</v>
      </c>
    </row>
    <row r="3425" spans="3:4" x14ac:dyDescent="0.2">
      <c r="C3425" t="s">
        <v>6817</v>
      </c>
      <c r="D3425" s="13">
        <v>10</v>
      </c>
    </row>
    <row r="3426" spans="3:4" x14ac:dyDescent="0.2">
      <c r="C3426" t="s">
        <v>6836</v>
      </c>
      <c r="D3426" s="13">
        <v>10</v>
      </c>
    </row>
    <row r="3427" spans="3:4" x14ac:dyDescent="0.2">
      <c r="C3427" t="s">
        <v>6854</v>
      </c>
      <c r="D3427" s="13">
        <v>10</v>
      </c>
    </row>
    <row r="3428" spans="3:4" x14ac:dyDescent="0.2">
      <c r="C3428" t="s">
        <v>7029</v>
      </c>
      <c r="D3428" s="13">
        <v>10</v>
      </c>
    </row>
    <row r="3429" spans="3:4" x14ac:dyDescent="0.2">
      <c r="C3429" t="s">
        <v>7043</v>
      </c>
      <c r="D3429" s="13">
        <v>10</v>
      </c>
    </row>
    <row r="3430" spans="3:4" x14ac:dyDescent="0.2">
      <c r="C3430" t="s">
        <v>7053</v>
      </c>
      <c r="D3430" s="13">
        <v>10</v>
      </c>
    </row>
    <row r="3431" spans="3:4" x14ac:dyDescent="0.2">
      <c r="C3431" t="s">
        <v>7200</v>
      </c>
      <c r="D3431" s="13">
        <v>10</v>
      </c>
    </row>
    <row r="3432" spans="3:4" x14ac:dyDescent="0.2">
      <c r="C3432" t="s">
        <v>7204</v>
      </c>
      <c r="D3432" s="13">
        <v>10</v>
      </c>
    </row>
    <row r="3433" spans="3:4" x14ac:dyDescent="0.2">
      <c r="C3433" t="s">
        <v>7244</v>
      </c>
      <c r="D3433" s="13">
        <v>10</v>
      </c>
    </row>
    <row r="3434" spans="3:4" x14ac:dyDescent="0.2">
      <c r="C3434" t="s">
        <v>7290</v>
      </c>
      <c r="D3434" s="13">
        <v>10</v>
      </c>
    </row>
    <row r="3435" spans="3:4" x14ac:dyDescent="0.2">
      <c r="C3435" t="s">
        <v>7350</v>
      </c>
      <c r="D3435" s="13">
        <v>10</v>
      </c>
    </row>
    <row r="3436" spans="3:4" x14ac:dyDescent="0.2">
      <c r="C3436" t="s">
        <v>7587</v>
      </c>
      <c r="D3436" s="13">
        <v>10</v>
      </c>
    </row>
    <row r="3437" spans="3:4" x14ac:dyDescent="0.2">
      <c r="C3437" t="s">
        <v>7630</v>
      </c>
      <c r="D3437" s="13">
        <v>10</v>
      </c>
    </row>
    <row r="3438" spans="3:4" x14ac:dyDescent="0.2">
      <c r="C3438" t="s">
        <v>7631</v>
      </c>
      <c r="D3438" s="13">
        <v>10</v>
      </c>
    </row>
    <row r="3439" spans="3:4" x14ac:dyDescent="0.2">
      <c r="C3439" t="s">
        <v>7687</v>
      </c>
      <c r="D3439" s="13">
        <v>10</v>
      </c>
    </row>
    <row r="3440" spans="3:4" x14ac:dyDescent="0.2">
      <c r="C3440" t="s">
        <v>7845</v>
      </c>
      <c r="D3440" s="13">
        <v>10</v>
      </c>
    </row>
    <row r="3441" spans="3:4" x14ac:dyDescent="0.2">
      <c r="C3441" t="s">
        <v>7896</v>
      </c>
      <c r="D3441" s="13">
        <v>10</v>
      </c>
    </row>
    <row r="3442" spans="3:4" x14ac:dyDescent="0.2">
      <c r="C3442" t="s">
        <v>7963</v>
      </c>
      <c r="D3442" s="13">
        <v>10</v>
      </c>
    </row>
    <row r="3443" spans="3:4" x14ac:dyDescent="0.2">
      <c r="C3443" t="s">
        <v>7967</v>
      </c>
      <c r="D3443" s="13">
        <v>10</v>
      </c>
    </row>
    <row r="3444" spans="3:4" x14ac:dyDescent="0.2">
      <c r="C3444" t="s">
        <v>8053</v>
      </c>
      <c r="D3444" s="13">
        <v>10</v>
      </c>
    </row>
    <row r="3445" spans="3:4" x14ac:dyDescent="0.2">
      <c r="C3445" t="s">
        <v>8119</v>
      </c>
      <c r="D3445" s="13">
        <v>10</v>
      </c>
    </row>
    <row r="3446" spans="3:4" x14ac:dyDescent="0.2">
      <c r="C3446" t="s">
        <v>8129</v>
      </c>
      <c r="D3446" s="13">
        <v>10</v>
      </c>
    </row>
    <row r="3447" spans="3:4" x14ac:dyDescent="0.2">
      <c r="C3447" t="s">
        <v>8209</v>
      </c>
      <c r="D3447" s="13">
        <v>10</v>
      </c>
    </row>
    <row r="3448" spans="3:4" x14ac:dyDescent="0.2">
      <c r="C3448" t="s">
        <v>8241</v>
      </c>
      <c r="D3448" s="13">
        <v>10</v>
      </c>
    </row>
    <row r="3449" spans="3:4" x14ac:dyDescent="0.2">
      <c r="C3449" t="s">
        <v>8403</v>
      </c>
      <c r="D3449" s="13">
        <v>10</v>
      </c>
    </row>
    <row r="3450" spans="3:4" x14ac:dyDescent="0.2">
      <c r="C3450" t="s">
        <v>8544</v>
      </c>
      <c r="D3450" s="13">
        <v>10</v>
      </c>
    </row>
    <row r="3451" spans="3:4" x14ac:dyDescent="0.2">
      <c r="C3451" t="s">
        <v>8562</v>
      </c>
      <c r="D3451" s="13">
        <v>10</v>
      </c>
    </row>
    <row r="3452" spans="3:4" x14ac:dyDescent="0.2">
      <c r="C3452" t="s">
        <v>8710</v>
      </c>
      <c r="D3452" s="13">
        <v>10</v>
      </c>
    </row>
    <row r="3453" spans="3:4" x14ac:dyDescent="0.2">
      <c r="C3453" t="s">
        <v>129</v>
      </c>
      <c r="D3453" s="13">
        <v>10</v>
      </c>
    </row>
    <row r="3454" spans="3:4" x14ac:dyDescent="0.2">
      <c r="C3454" t="s">
        <v>189</v>
      </c>
      <c r="D3454" s="13">
        <v>10</v>
      </c>
    </row>
    <row r="3455" spans="3:4" x14ac:dyDescent="0.2">
      <c r="C3455" t="s">
        <v>411</v>
      </c>
      <c r="D3455" s="13">
        <v>10</v>
      </c>
    </row>
    <row r="3456" spans="3:4" x14ac:dyDescent="0.2">
      <c r="C3456" t="s">
        <v>431</v>
      </c>
      <c r="D3456" s="13">
        <v>10</v>
      </c>
    </row>
    <row r="3457" spans="3:4" x14ac:dyDescent="0.2">
      <c r="C3457" t="s">
        <v>481</v>
      </c>
      <c r="D3457" s="13">
        <v>10</v>
      </c>
    </row>
    <row r="3458" spans="3:4" x14ac:dyDescent="0.2">
      <c r="C3458" t="s">
        <v>698</v>
      </c>
      <c r="D3458" s="13">
        <v>10</v>
      </c>
    </row>
    <row r="3459" spans="3:4" x14ac:dyDescent="0.2">
      <c r="C3459" t="s">
        <v>933</v>
      </c>
      <c r="D3459" s="13">
        <v>10</v>
      </c>
    </row>
    <row r="3460" spans="3:4" x14ac:dyDescent="0.2">
      <c r="C3460" t="s">
        <v>973</v>
      </c>
      <c r="D3460" s="13">
        <v>10</v>
      </c>
    </row>
    <row r="3461" spans="3:4" x14ac:dyDescent="0.2">
      <c r="C3461" t="s">
        <v>1096</v>
      </c>
      <c r="D3461" s="13">
        <v>10</v>
      </c>
    </row>
    <row r="3462" spans="3:4" x14ac:dyDescent="0.2">
      <c r="C3462" t="s">
        <v>1136</v>
      </c>
      <c r="D3462" s="13">
        <v>10</v>
      </c>
    </row>
    <row r="3463" spans="3:4" x14ac:dyDescent="0.2">
      <c r="C3463" t="s">
        <v>1335</v>
      </c>
      <c r="D3463" s="13">
        <v>10</v>
      </c>
    </row>
    <row r="3464" spans="3:4" x14ac:dyDescent="0.2">
      <c r="C3464" t="s">
        <v>1394</v>
      </c>
      <c r="D3464" s="13">
        <v>10</v>
      </c>
    </row>
    <row r="3465" spans="3:4" x14ac:dyDescent="0.2">
      <c r="C3465" t="s">
        <v>1446</v>
      </c>
      <c r="D3465" s="13">
        <v>10</v>
      </c>
    </row>
    <row r="3466" spans="3:4" x14ac:dyDescent="0.2">
      <c r="C3466" t="s">
        <v>1575</v>
      </c>
      <c r="D3466" s="13">
        <v>10</v>
      </c>
    </row>
    <row r="3467" spans="3:4" x14ac:dyDescent="0.2">
      <c r="C3467" t="s">
        <v>1615</v>
      </c>
      <c r="D3467" s="13">
        <v>10</v>
      </c>
    </row>
    <row r="3468" spans="3:4" x14ac:dyDescent="0.2">
      <c r="C3468" t="s">
        <v>1676</v>
      </c>
      <c r="D3468" s="13">
        <v>10</v>
      </c>
    </row>
    <row r="3469" spans="3:4" x14ac:dyDescent="0.2">
      <c r="C3469" t="s">
        <v>1705</v>
      </c>
      <c r="D3469" s="13">
        <v>10</v>
      </c>
    </row>
    <row r="3470" spans="3:4" x14ac:dyDescent="0.2">
      <c r="C3470" t="s">
        <v>1723</v>
      </c>
      <c r="D3470" s="13">
        <v>10</v>
      </c>
    </row>
    <row r="3471" spans="3:4" x14ac:dyDescent="0.2">
      <c r="C3471" t="s">
        <v>1725</v>
      </c>
      <c r="D3471" s="13">
        <v>10</v>
      </c>
    </row>
    <row r="3472" spans="3:4" x14ac:dyDescent="0.2">
      <c r="C3472" t="s">
        <v>1741</v>
      </c>
      <c r="D3472" s="13">
        <v>10</v>
      </c>
    </row>
    <row r="3473" spans="3:4" x14ac:dyDescent="0.2">
      <c r="C3473" t="s">
        <v>1866</v>
      </c>
      <c r="D3473" s="13">
        <v>10</v>
      </c>
    </row>
    <row r="3474" spans="3:4" x14ac:dyDescent="0.2">
      <c r="C3474" t="s">
        <v>1937</v>
      </c>
      <c r="D3474" s="13">
        <v>10</v>
      </c>
    </row>
    <row r="3475" spans="3:4" x14ac:dyDescent="0.2">
      <c r="C3475" t="s">
        <v>2201</v>
      </c>
      <c r="D3475" s="13">
        <v>10</v>
      </c>
    </row>
    <row r="3476" spans="3:4" x14ac:dyDescent="0.2">
      <c r="C3476" t="s">
        <v>2246</v>
      </c>
      <c r="D3476" s="13">
        <v>10</v>
      </c>
    </row>
    <row r="3477" spans="3:4" x14ac:dyDescent="0.2">
      <c r="C3477" t="s">
        <v>2294</v>
      </c>
      <c r="D3477" s="13">
        <v>10</v>
      </c>
    </row>
    <row r="3478" spans="3:4" x14ac:dyDescent="0.2">
      <c r="C3478" t="s">
        <v>2329</v>
      </c>
      <c r="D3478" s="13">
        <v>10</v>
      </c>
    </row>
    <row r="3479" spans="3:4" x14ac:dyDescent="0.2">
      <c r="C3479" t="s">
        <v>2339</v>
      </c>
      <c r="D3479" s="13">
        <v>10</v>
      </c>
    </row>
    <row r="3480" spans="3:4" x14ac:dyDescent="0.2">
      <c r="C3480" t="s">
        <v>2461</v>
      </c>
      <c r="D3480" s="13">
        <v>10</v>
      </c>
    </row>
    <row r="3481" spans="3:4" x14ac:dyDescent="0.2">
      <c r="C3481" t="s">
        <v>2489</v>
      </c>
      <c r="D3481" s="13">
        <v>10</v>
      </c>
    </row>
    <row r="3482" spans="3:4" x14ac:dyDescent="0.2">
      <c r="C3482" t="s">
        <v>2660</v>
      </c>
      <c r="D3482" s="13">
        <v>10</v>
      </c>
    </row>
    <row r="3483" spans="3:4" x14ac:dyDescent="0.2">
      <c r="C3483" t="s">
        <v>2822</v>
      </c>
      <c r="D3483" s="13">
        <v>10</v>
      </c>
    </row>
    <row r="3484" spans="3:4" x14ac:dyDescent="0.2">
      <c r="C3484" t="s">
        <v>2910</v>
      </c>
      <c r="D3484" s="13">
        <v>10</v>
      </c>
    </row>
    <row r="3485" spans="3:4" x14ac:dyDescent="0.2">
      <c r="C3485" t="s">
        <v>2946</v>
      </c>
      <c r="D3485" s="13">
        <v>10</v>
      </c>
    </row>
    <row r="3486" spans="3:4" x14ac:dyDescent="0.2">
      <c r="C3486" t="s">
        <v>3212</v>
      </c>
      <c r="D3486" s="13">
        <v>10</v>
      </c>
    </row>
    <row r="3487" spans="3:4" x14ac:dyDescent="0.2">
      <c r="C3487" t="s">
        <v>3307</v>
      </c>
      <c r="D3487" s="13">
        <v>10</v>
      </c>
    </row>
    <row r="3488" spans="3:4" x14ac:dyDescent="0.2">
      <c r="C3488" t="s">
        <v>3352</v>
      </c>
      <c r="D3488" s="13">
        <v>10</v>
      </c>
    </row>
    <row r="3489" spans="3:4" x14ac:dyDescent="0.2">
      <c r="C3489" t="s">
        <v>3719</v>
      </c>
      <c r="D3489" s="13">
        <v>10</v>
      </c>
    </row>
    <row r="3490" spans="3:4" x14ac:dyDescent="0.2">
      <c r="C3490" t="s">
        <v>3729</v>
      </c>
      <c r="D3490" s="13">
        <v>10</v>
      </c>
    </row>
    <row r="3491" spans="3:4" x14ac:dyDescent="0.2">
      <c r="C3491" t="s">
        <v>3775</v>
      </c>
      <c r="D3491" s="13">
        <v>10</v>
      </c>
    </row>
    <row r="3492" spans="3:4" x14ac:dyDescent="0.2">
      <c r="C3492" t="s">
        <v>3799</v>
      </c>
      <c r="D3492" s="13">
        <v>10</v>
      </c>
    </row>
    <row r="3493" spans="3:4" x14ac:dyDescent="0.2">
      <c r="C3493" t="s">
        <v>3805</v>
      </c>
      <c r="D3493" s="13">
        <v>10</v>
      </c>
    </row>
    <row r="3494" spans="3:4" x14ac:dyDescent="0.2">
      <c r="C3494" t="s">
        <v>3853</v>
      </c>
      <c r="D3494" s="13">
        <v>10</v>
      </c>
    </row>
    <row r="3495" spans="3:4" x14ac:dyDescent="0.2">
      <c r="C3495" t="s">
        <v>3949</v>
      </c>
      <c r="D3495" s="13">
        <v>10</v>
      </c>
    </row>
    <row r="3496" spans="3:4" x14ac:dyDescent="0.2">
      <c r="C3496" t="s">
        <v>3999</v>
      </c>
      <c r="D3496" s="13">
        <v>10</v>
      </c>
    </row>
    <row r="3497" spans="3:4" x14ac:dyDescent="0.2">
      <c r="C3497" t="s">
        <v>4013</v>
      </c>
      <c r="D3497" s="13">
        <v>10</v>
      </c>
    </row>
    <row r="3498" spans="3:4" x14ac:dyDescent="0.2">
      <c r="C3498" t="s">
        <v>4056</v>
      </c>
      <c r="D3498" s="13">
        <v>10</v>
      </c>
    </row>
    <row r="3499" spans="3:4" x14ac:dyDescent="0.2">
      <c r="C3499" t="s">
        <v>4078</v>
      </c>
      <c r="D3499" s="13">
        <v>10</v>
      </c>
    </row>
    <row r="3500" spans="3:4" x14ac:dyDescent="0.2">
      <c r="C3500" t="s">
        <v>4121</v>
      </c>
      <c r="D3500" s="13">
        <v>10</v>
      </c>
    </row>
    <row r="3501" spans="3:4" x14ac:dyDescent="0.2">
      <c r="C3501" t="s">
        <v>4196</v>
      </c>
      <c r="D3501" s="13">
        <v>10</v>
      </c>
    </row>
    <row r="3502" spans="3:4" x14ac:dyDescent="0.2">
      <c r="C3502" t="s">
        <v>4218</v>
      </c>
      <c r="D3502" s="13">
        <v>10</v>
      </c>
    </row>
    <row r="3503" spans="3:4" x14ac:dyDescent="0.2">
      <c r="C3503" t="s">
        <v>4280</v>
      </c>
      <c r="D3503" s="13">
        <v>10</v>
      </c>
    </row>
    <row r="3504" spans="3:4" x14ac:dyDescent="0.2">
      <c r="C3504" t="s">
        <v>4305</v>
      </c>
      <c r="D3504" s="13">
        <v>10</v>
      </c>
    </row>
    <row r="3505" spans="3:4" x14ac:dyDescent="0.2">
      <c r="C3505" t="s">
        <v>4350</v>
      </c>
      <c r="D3505" s="13">
        <v>10</v>
      </c>
    </row>
    <row r="3506" spans="3:4" x14ac:dyDescent="0.2">
      <c r="C3506" t="s">
        <v>4368</v>
      </c>
      <c r="D3506" s="13">
        <v>10</v>
      </c>
    </row>
    <row r="3507" spans="3:4" x14ac:dyDescent="0.2">
      <c r="C3507" t="s">
        <v>4375</v>
      </c>
      <c r="D3507" s="13">
        <v>10</v>
      </c>
    </row>
    <row r="3508" spans="3:4" x14ac:dyDescent="0.2">
      <c r="C3508" t="s">
        <v>4576</v>
      </c>
      <c r="D3508" s="13">
        <v>10</v>
      </c>
    </row>
    <row r="3509" spans="3:4" x14ac:dyDescent="0.2">
      <c r="C3509" t="s">
        <v>4685</v>
      </c>
      <c r="D3509" s="13">
        <v>10</v>
      </c>
    </row>
    <row r="3510" spans="3:4" x14ac:dyDescent="0.2">
      <c r="C3510" t="s">
        <v>4723</v>
      </c>
      <c r="D3510" s="13">
        <v>10</v>
      </c>
    </row>
    <row r="3511" spans="3:4" x14ac:dyDescent="0.2">
      <c r="C3511" t="s">
        <v>4793</v>
      </c>
      <c r="D3511" s="13">
        <v>10</v>
      </c>
    </row>
    <row r="3512" spans="3:4" x14ac:dyDescent="0.2">
      <c r="C3512" t="s">
        <v>4850</v>
      </c>
      <c r="D3512" s="13">
        <v>10</v>
      </c>
    </row>
    <row r="3513" spans="3:4" x14ac:dyDescent="0.2">
      <c r="C3513" t="s">
        <v>4951</v>
      </c>
      <c r="D3513" s="13">
        <v>10</v>
      </c>
    </row>
    <row r="3514" spans="3:4" x14ac:dyDescent="0.2">
      <c r="C3514" t="s">
        <v>5024</v>
      </c>
      <c r="D3514" s="13">
        <v>10</v>
      </c>
    </row>
    <row r="3515" spans="3:4" x14ac:dyDescent="0.2">
      <c r="C3515" t="s">
        <v>5270</v>
      </c>
      <c r="D3515" s="13">
        <v>10</v>
      </c>
    </row>
    <row r="3516" spans="3:4" x14ac:dyDescent="0.2">
      <c r="C3516" t="s">
        <v>5290</v>
      </c>
      <c r="D3516" s="13">
        <v>10</v>
      </c>
    </row>
    <row r="3517" spans="3:4" x14ac:dyDescent="0.2">
      <c r="C3517" t="s">
        <v>5506</v>
      </c>
      <c r="D3517" s="13">
        <v>10</v>
      </c>
    </row>
    <row r="3518" spans="3:4" x14ac:dyDescent="0.2">
      <c r="C3518" t="s">
        <v>5615</v>
      </c>
      <c r="D3518" s="13">
        <v>10</v>
      </c>
    </row>
    <row r="3519" spans="3:4" x14ac:dyDescent="0.2">
      <c r="C3519" t="s">
        <v>5629</v>
      </c>
      <c r="D3519" s="13">
        <v>10</v>
      </c>
    </row>
    <row r="3520" spans="3:4" x14ac:dyDescent="0.2">
      <c r="C3520" t="s">
        <v>5631</v>
      </c>
      <c r="D3520" s="13">
        <v>10</v>
      </c>
    </row>
    <row r="3521" spans="3:4" x14ac:dyDescent="0.2">
      <c r="C3521" t="s">
        <v>5641</v>
      </c>
      <c r="D3521" s="13">
        <v>10</v>
      </c>
    </row>
    <row r="3522" spans="3:4" x14ac:dyDescent="0.2">
      <c r="C3522" t="s">
        <v>5784</v>
      </c>
      <c r="D3522" s="13">
        <v>10</v>
      </c>
    </row>
    <row r="3523" spans="3:4" x14ac:dyDescent="0.2">
      <c r="C3523" t="s">
        <v>5941</v>
      </c>
      <c r="D3523" s="13">
        <v>10</v>
      </c>
    </row>
    <row r="3524" spans="3:4" x14ac:dyDescent="0.2">
      <c r="C3524" t="s">
        <v>6009</v>
      </c>
      <c r="D3524" s="13">
        <v>10</v>
      </c>
    </row>
    <row r="3525" spans="3:4" x14ac:dyDescent="0.2">
      <c r="C3525" t="s">
        <v>6148</v>
      </c>
      <c r="D3525" s="13">
        <v>10</v>
      </c>
    </row>
    <row r="3526" spans="3:4" x14ac:dyDescent="0.2">
      <c r="C3526" t="s">
        <v>6520</v>
      </c>
      <c r="D3526" s="13">
        <v>10</v>
      </c>
    </row>
    <row r="3527" spans="3:4" x14ac:dyDescent="0.2">
      <c r="C3527" t="s">
        <v>6591</v>
      </c>
      <c r="D3527" s="13">
        <v>10</v>
      </c>
    </row>
    <row r="3528" spans="3:4" x14ac:dyDescent="0.2">
      <c r="C3528" t="s">
        <v>6678</v>
      </c>
      <c r="D3528" s="13">
        <v>10</v>
      </c>
    </row>
    <row r="3529" spans="3:4" x14ac:dyDescent="0.2">
      <c r="C3529" t="s">
        <v>6751</v>
      </c>
      <c r="D3529" s="13">
        <v>10</v>
      </c>
    </row>
    <row r="3530" spans="3:4" x14ac:dyDescent="0.2">
      <c r="C3530" t="s">
        <v>6752</v>
      </c>
      <c r="D3530" s="13">
        <v>10</v>
      </c>
    </row>
    <row r="3531" spans="3:4" x14ac:dyDescent="0.2">
      <c r="C3531" t="s">
        <v>6772</v>
      </c>
      <c r="D3531" s="13">
        <v>10</v>
      </c>
    </row>
    <row r="3532" spans="3:4" x14ac:dyDescent="0.2">
      <c r="C3532" t="s">
        <v>6949</v>
      </c>
      <c r="D3532" s="13">
        <v>10</v>
      </c>
    </row>
    <row r="3533" spans="3:4" x14ac:dyDescent="0.2">
      <c r="C3533" t="s">
        <v>6993</v>
      </c>
      <c r="D3533" s="13">
        <v>10</v>
      </c>
    </row>
    <row r="3534" spans="3:4" x14ac:dyDescent="0.2">
      <c r="C3534" t="s">
        <v>7064</v>
      </c>
      <c r="D3534" s="13">
        <v>10</v>
      </c>
    </row>
    <row r="3535" spans="3:4" x14ac:dyDescent="0.2">
      <c r="C3535" t="s">
        <v>7110</v>
      </c>
      <c r="D3535" s="13">
        <v>10</v>
      </c>
    </row>
    <row r="3536" spans="3:4" x14ac:dyDescent="0.2">
      <c r="C3536" t="s">
        <v>7126</v>
      </c>
      <c r="D3536" s="13">
        <v>10</v>
      </c>
    </row>
    <row r="3537" spans="3:4" x14ac:dyDescent="0.2">
      <c r="C3537" t="s">
        <v>7223</v>
      </c>
      <c r="D3537" s="13">
        <v>10</v>
      </c>
    </row>
    <row r="3538" spans="3:4" x14ac:dyDescent="0.2">
      <c r="C3538" t="s">
        <v>7412</v>
      </c>
      <c r="D3538" s="13">
        <v>10</v>
      </c>
    </row>
    <row r="3539" spans="3:4" x14ac:dyDescent="0.2">
      <c r="C3539" t="s">
        <v>7431</v>
      </c>
      <c r="D3539" s="13">
        <v>10</v>
      </c>
    </row>
    <row r="3540" spans="3:4" x14ac:dyDescent="0.2">
      <c r="C3540" t="s">
        <v>7837</v>
      </c>
      <c r="D3540" s="13">
        <v>10</v>
      </c>
    </row>
    <row r="3541" spans="3:4" x14ac:dyDescent="0.2">
      <c r="C3541" t="s">
        <v>7884</v>
      </c>
      <c r="D3541" s="13">
        <v>10</v>
      </c>
    </row>
    <row r="3542" spans="3:4" x14ac:dyDescent="0.2">
      <c r="C3542" t="s">
        <v>8133</v>
      </c>
      <c r="D3542" s="13">
        <v>10</v>
      </c>
    </row>
    <row r="3543" spans="3:4" x14ac:dyDescent="0.2">
      <c r="C3543" t="s">
        <v>8141</v>
      </c>
      <c r="D3543" s="13">
        <v>10</v>
      </c>
    </row>
    <row r="3544" spans="3:4" x14ac:dyDescent="0.2">
      <c r="C3544" t="s">
        <v>8173</v>
      </c>
      <c r="D3544" s="13">
        <v>10</v>
      </c>
    </row>
    <row r="3545" spans="3:4" x14ac:dyDescent="0.2">
      <c r="C3545" t="s">
        <v>8191</v>
      </c>
      <c r="D3545" s="13">
        <v>10</v>
      </c>
    </row>
    <row r="3546" spans="3:4" x14ac:dyDescent="0.2">
      <c r="C3546" t="s">
        <v>8303</v>
      </c>
      <c r="D3546" s="13">
        <v>10</v>
      </c>
    </row>
    <row r="3547" spans="3:4" x14ac:dyDescent="0.2">
      <c r="C3547" t="s">
        <v>8370</v>
      </c>
      <c r="D3547" s="13">
        <v>10</v>
      </c>
    </row>
    <row r="3548" spans="3:4" x14ac:dyDescent="0.2">
      <c r="C3548" t="s">
        <v>8454</v>
      </c>
      <c r="D3548" s="13">
        <v>10</v>
      </c>
    </row>
    <row r="3549" spans="3:4" x14ac:dyDescent="0.2">
      <c r="C3549" t="s">
        <v>8575</v>
      </c>
      <c r="D3549" s="13">
        <v>10</v>
      </c>
    </row>
    <row r="3550" spans="3:4" x14ac:dyDescent="0.2">
      <c r="C3550" t="s">
        <v>8620</v>
      </c>
      <c r="D3550" s="13">
        <v>10</v>
      </c>
    </row>
    <row r="3551" spans="3:4" x14ac:dyDescent="0.2">
      <c r="C3551" t="s">
        <v>8708</v>
      </c>
      <c r="D3551" s="13">
        <v>10</v>
      </c>
    </row>
    <row r="3552" spans="3:4" x14ac:dyDescent="0.2">
      <c r="C3552" t="s">
        <v>304</v>
      </c>
      <c r="D3552" s="13">
        <v>10</v>
      </c>
    </row>
    <row r="3553" spans="3:4" x14ac:dyDescent="0.2">
      <c r="C3553" t="s">
        <v>475</v>
      </c>
      <c r="D3553" s="13">
        <v>10</v>
      </c>
    </row>
    <row r="3554" spans="3:4" x14ac:dyDescent="0.2">
      <c r="C3554" t="s">
        <v>1007</v>
      </c>
      <c r="D3554" s="13">
        <v>10</v>
      </c>
    </row>
    <row r="3555" spans="3:4" x14ac:dyDescent="0.2">
      <c r="C3555" t="s">
        <v>1266</v>
      </c>
      <c r="D3555" s="13">
        <v>10</v>
      </c>
    </row>
    <row r="3556" spans="3:4" x14ac:dyDescent="0.2">
      <c r="C3556" t="s">
        <v>1362</v>
      </c>
      <c r="D3556" s="13">
        <v>10</v>
      </c>
    </row>
    <row r="3557" spans="3:4" x14ac:dyDescent="0.2">
      <c r="C3557" t="s">
        <v>2172</v>
      </c>
      <c r="D3557" s="13">
        <v>10</v>
      </c>
    </row>
    <row r="3558" spans="3:4" x14ac:dyDescent="0.2">
      <c r="C3558" t="s">
        <v>2318</v>
      </c>
      <c r="D3558" s="13">
        <v>10</v>
      </c>
    </row>
    <row r="3559" spans="3:4" x14ac:dyDescent="0.2">
      <c r="C3559" t="s">
        <v>2425</v>
      </c>
      <c r="D3559" s="13">
        <v>10</v>
      </c>
    </row>
    <row r="3560" spans="3:4" x14ac:dyDescent="0.2">
      <c r="C3560" t="s">
        <v>2740</v>
      </c>
      <c r="D3560" s="13">
        <v>10</v>
      </c>
    </row>
    <row r="3561" spans="3:4" x14ac:dyDescent="0.2">
      <c r="C3561" t="s">
        <v>2771</v>
      </c>
      <c r="D3561" s="13">
        <v>10</v>
      </c>
    </row>
    <row r="3562" spans="3:4" x14ac:dyDescent="0.2">
      <c r="C3562" t="s">
        <v>4411</v>
      </c>
      <c r="D3562" s="13">
        <v>10</v>
      </c>
    </row>
    <row r="3563" spans="3:4" x14ac:dyDescent="0.2">
      <c r="C3563" t="s">
        <v>4455</v>
      </c>
      <c r="D3563" s="13">
        <v>10</v>
      </c>
    </row>
    <row r="3564" spans="3:4" x14ac:dyDescent="0.2">
      <c r="C3564" t="s">
        <v>4459</v>
      </c>
      <c r="D3564" s="13">
        <v>10</v>
      </c>
    </row>
    <row r="3565" spans="3:4" x14ac:dyDescent="0.2">
      <c r="C3565" t="s">
        <v>4665</v>
      </c>
      <c r="D3565" s="13">
        <v>10</v>
      </c>
    </row>
    <row r="3566" spans="3:4" x14ac:dyDescent="0.2">
      <c r="C3566" t="s">
        <v>4707</v>
      </c>
      <c r="D3566" s="13">
        <v>10</v>
      </c>
    </row>
    <row r="3567" spans="3:4" x14ac:dyDescent="0.2">
      <c r="C3567" t="s">
        <v>4725</v>
      </c>
      <c r="D3567" s="13">
        <v>10</v>
      </c>
    </row>
    <row r="3568" spans="3:4" x14ac:dyDescent="0.2">
      <c r="C3568" t="s">
        <v>5703</v>
      </c>
      <c r="D3568" s="13">
        <v>10</v>
      </c>
    </row>
    <row r="3569" spans="3:4" x14ac:dyDescent="0.2">
      <c r="C3569" t="s">
        <v>6060</v>
      </c>
      <c r="D3569" s="13">
        <v>10</v>
      </c>
    </row>
    <row r="3570" spans="3:4" x14ac:dyDescent="0.2">
      <c r="C3570" t="s">
        <v>6253</v>
      </c>
      <c r="D3570" s="13">
        <v>10</v>
      </c>
    </row>
    <row r="3571" spans="3:4" x14ac:dyDescent="0.2">
      <c r="C3571" t="s">
        <v>6710</v>
      </c>
      <c r="D3571" s="13">
        <v>10</v>
      </c>
    </row>
    <row r="3572" spans="3:4" x14ac:dyDescent="0.2">
      <c r="C3572" t="s">
        <v>6739</v>
      </c>
      <c r="D3572" s="13">
        <v>10</v>
      </c>
    </row>
    <row r="3573" spans="3:4" x14ac:dyDescent="0.2">
      <c r="C3573" t="s">
        <v>6874</v>
      </c>
      <c r="D3573" s="13">
        <v>10</v>
      </c>
    </row>
    <row r="3574" spans="3:4" x14ac:dyDescent="0.2">
      <c r="C3574" t="s">
        <v>6971</v>
      </c>
      <c r="D3574" s="13">
        <v>10</v>
      </c>
    </row>
    <row r="3575" spans="3:4" x14ac:dyDescent="0.2">
      <c r="C3575" t="s">
        <v>7171</v>
      </c>
      <c r="D3575" s="13">
        <v>10</v>
      </c>
    </row>
    <row r="3576" spans="3:4" x14ac:dyDescent="0.2">
      <c r="C3576" t="s">
        <v>7554</v>
      </c>
      <c r="D3576" s="13">
        <v>10</v>
      </c>
    </row>
    <row r="3577" spans="3:4" x14ac:dyDescent="0.2">
      <c r="C3577" t="s">
        <v>7811</v>
      </c>
      <c r="D3577" s="13">
        <v>10</v>
      </c>
    </row>
    <row r="3578" spans="3:4" x14ac:dyDescent="0.2">
      <c r="C3578" t="s">
        <v>8159</v>
      </c>
      <c r="D3578" s="13">
        <v>10</v>
      </c>
    </row>
    <row r="3579" spans="3:4" x14ac:dyDescent="0.2">
      <c r="C3579" t="s">
        <v>8387</v>
      </c>
      <c r="D3579" s="13">
        <v>10</v>
      </c>
    </row>
    <row r="3580" spans="3:4" x14ac:dyDescent="0.2">
      <c r="C3580" t="s">
        <v>310</v>
      </c>
      <c r="D3580" s="13">
        <v>10</v>
      </c>
    </row>
    <row r="3581" spans="3:4" x14ac:dyDescent="0.2">
      <c r="C3581" t="s">
        <v>755</v>
      </c>
      <c r="D3581" s="13">
        <v>10</v>
      </c>
    </row>
    <row r="3582" spans="3:4" x14ac:dyDescent="0.2">
      <c r="C3582" t="s">
        <v>1245</v>
      </c>
      <c r="D3582" s="13">
        <v>10</v>
      </c>
    </row>
    <row r="3583" spans="3:4" x14ac:dyDescent="0.2">
      <c r="C3583" t="s">
        <v>1347</v>
      </c>
      <c r="D3583" s="13">
        <v>10</v>
      </c>
    </row>
    <row r="3584" spans="3:4" x14ac:dyDescent="0.2">
      <c r="C3584" t="s">
        <v>2048</v>
      </c>
      <c r="D3584" s="13">
        <v>10</v>
      </c>
    </row>
    <row r="3585" spans="3:4" x14ac:dyDescent="0.2">
      <c r="C3585" t="s">
        <v>3303</v>
      </c>
      <c r="D3585" s="13">
        <v>10</v>
      </c>
    </row>
    <row r="3586" spans="3:4" x14ac:dyDescent="0.2">
      <c r="C3586" t="s">
        <v>3317</v>
      </c>
      <c r="D3586" s="13">
        <v>10</v>
      </c>
    </row>
    <row r="3587" spans="3:4" x14ac:dyDescent="0.2">
      <c r="C3587" t="s">
        <v>3333</v>
      </c>
      <c r="D3587" s="13">
        <v>10</v>
      </c>
    </row>
    <row r="3588" spans="3:4" x14ac:dyDescent="0.2">
      <c r="C3588" t="s">
        <v>4779</v>
      </c>
      <c r="D3588" s="13">
        <v>10</v>
      </c>
    </row>
    <row r="3589" spans="3:4" x14ac:dyDescent="0.2">
      <c r="C3589" t="s">
        <v>6733</v>
      </c>
      <c r="D3589" s="13">
        <v>10</v>
      </c>
    </row>
    <row r="3590" spans="3:4" x14ac:dyDescent="0.2">
      <c r="C3590" t="s">
        <v>7023</v>
      </c>
      <c r="D3590" s="13">
        <v>10</v>
      </c>
    </row>
    <row r="3591" spans="3:4" x14ac:dyDescent="0.2">
      <c r="C3591" t="s">
        <v>7468</v>
      </c>
      <c r="D3591" s="13">
        <v>10</v>
      </c>
    </row>
    <row r="3592" spans="3:4" x14ac:dyDescent="0.2">
      <c r="C3592" t="s">
        <v>7469</v>
      </c>
      <c r="D3592" s="13">
        <v>10</v>
      </c>
    </row>
    <row r="3593" spans="3:4" x14ac:dyDescent="0.2">
      <c r="C3593" t="s">
        <v>8233</v>
      </c>
      <c r="D3593" s="13">
        <v>10</v>
      </c>
    </row>
    <row r="3594" spans="3:4" x14ac:dyDescent="0.2">
      <c r="C3594" t="s">
        <v>195</v>
      </c>
      <c r="D3594" s="13">
        <v>10</v>
      </c>
    </row>
    <row r="3595" spans="3:4" x14ac:dyDescent="0.2">
      <c r="C3595" t="s">
        <v>1081</v>
      </c>
      <c r="D3595" s="13">
        <v>10</v>
      </c>
    </row>
    <row r="3596" spans="3:4" x14ac:dyDescent="0.2">
      <c r="C3596" t="s">
        <v>1459</v>
      </c>
      <c r="D3596" s="13">
        <v>10</v>
      </c>
    </row>
    <row r="3597" spans="3:4" x14ac:dyDescent="0.2">
      <c r="C3597" t="s">
        <v>4454</v>
      </c>
      <c r="D3597" s="13">
        <v>10</v>
      </c>
    </row>
    <row r="3598" spans="3:4" x14ac:dyDescent="0.2">
      <c r="C3598" t="s">
        <v>4657</v>
      </c>
      <c r="D3598" s="13">
        <v>10</v>
      </c>
    </row>
    <row r="3599" spans="3:4" x14ac:dyDescent="0.2">
      <c r="C3599" t="s">
        <v>4693</v>
      </c>
      <c r="D3599" s="13">
        <v>10</v>
      </c>
    </row>
    <row r="3600" spans="3:4" x14ac:dyDescent="0.2">
      <c r="C3600" t="s">
        <v>5549</v>
      </c>
      <c r="D3600" s="13">
        <v>10</v>
      </c>
    </row>
    <row r="3601" spans="3:4" x14ac:dyDescent="0.2">
      <c r="C3601" t="s">
        <v>7989</v>
      </c>
      <c r="D3601" s="13">
        <v>10</v>
      </c>
    </row>
    <row r="3602" spans="3:4" x14ac:dyDescent="0.2">
      <c r="C3602" t="s">
        <v>8391</v>
      </c>
      <c r="D3602" s="13">
        <v>10</v>
      </c>
    </row>
    <row r="3603" spans="3:4" x14ac:dyDescent="0.2">
      <c r="C3603" t="s">
        <v>2625</v>
      </c>
      <c r="D3603" s="13">
        <v>10</v>
      </c>
    </row>
    <row r="3604" spans="3:4" x14ac:dyDescent="0.2">
      <c r="C3604" t="s">
        <v>3281</v>
      </c>
      <c r="D3604" s="13">
        <v>10</v>
      </c>
    </row>
    <row r="3605" spans="3:4" x14ac:dyDescent="0.2">
      <c r="C3605" t="s">
        <v>4096</v>
      </c>
      <c r="D3605" s="13">
        <v>10</v>
      </c>
    </row>
    <row r="3606" spans="3:4" x14ac:dyDescent="0.2">
      <c r="C3606" t="s">
        <v>669</v>
      </c>
      <c r="D3606" s="13">
        <v>10</v>
      </c>
    </row>
    <row r="3607" spans="3:4" x14ac:dyDescent="0.2">
      <c r="C3607" t="s">
        <v>1235</v>
      </c>
      <c r="D3607" s="13">
        <v>10</v>
      </c>
    </row>
    <row r="3608" spans="3:4" x14ac:dyDescent="0.2">
      <c r="C3608" t="s">
        <v>1870</v>
      </c>
      <c r="D3608" s="13">
        <v>10</v>
      </c>
    </row>
    <row r="3609" spans="3:4" x14ac:dyDescent="0.2">
      <c r="C3609" t="s">
        <v>3420</v>
      </c>
      <c r="D3609" s="13">
        <v>10</v>
      </c>
    </row>
    <row r="3610" spans="3:4" x14ac:dyDescent="0.2">
      <c r="C3610" t="s">
        <v>3573</v>
      </c>
      <c r="D3610" s="13">
        <v>10</v>
      </c>
    </row>
    <row r="3611" spans="3:4" x14ac:dyDescent="0.2">
      <c r="C3611" t="s">
        <v>5255</v>
      </c>
      <c r="D3611" s="13">
        <v>10</v>
      </c>
    </row>
    <row r="3612" spans="3:4" x14ac:dyDescent="0.2">
      <c r="C3612" t="s">
        <v>7548</v>
      </c>
      <c r="D3612" s="13">
        <v>10</v>
      </c>
    </row>
    <row r="3613" spans="3:4" x14ac:dyDescent="0.2">
      <c r="C3613" t="s">
        <v>8049</v>
      </c>
      <c r="D3613" s="13">
        <v>10</v>
      </c>
    </row>
    <row r="3614" spans="3:4" x14ac:dyDescent="0.2">
      <c r="C3614" t="s">
        <v>8712</v>
      </c>
      <c r="D3614" s="13">
        <v>10</v>
      </c>
    </row>
    <row r="3615" spans="3:4" x14ac:dyDescent="0.2">
      <c r="C3615" t="s">
        <v>1205</v>
      </c>
      <c r="D3615" s="13">
        <v>10</v>
      </c>
    </row>
    <row r="3616" spans="3:4" x14ac:dyDescent="0.2">
      <c r="C3616" t="s">
        <v>1516</v>
      </c>
      <c r="D3616" s="13">
        <v>10</v>
      </c>
    </row>
    <row r="3617" spans="3:4" x14ac:dyDescent="0.2">
      <c r="C3617" t="s">
        <v>1817</v>
      </c>
      <c r="D3617" s="13">
        <v>10</v>
      </c>
    </row>
    <row r="3618" spans="3:4" x14ac:dyDescent="0.2">
      <c r="C3618" t="s">
        <v>3066</v>
      </c>
      <c r="D3618" s="13">
        <v>10</v>
      </c>
    </row>
    <row r="3619" spans="3:4" x14ac:dyDescent="0.2">
      <c r="C3619" t="s">
        <v>3192</v>
      </c>
      <c r="D3619" s="13">
        <v>10</v>
      </c>
    </row>
    <row r="3620" spans="3:4" x14ac:dyDescent="0.2">
      <c r="C3620" t="s">
        <v>4339</v>
      </c>
      <c r="D3620" s="13">
        <v>10</v>
      </c>
    </row>
    <row r="3621" spans="3:4" x14ac:dyDescent="0.2">
      <c r="C3621" t="s">
        <v>4626</v>
      </c>
      <c r="D3621" s="13">
        <v>10</v>
      </c>
    </row>
    <row r="3622" spans="3:4" x14ac:dyDescent="0.2">
      <c r="C3622" t="s">
        <v>4844</v>
      </c>
      <c r="D3622" s="13">
        <v>10</v>
      </c>
    </row>
    <row r="3623" spans="3:4" x14ac:dyDescent="0.2">
      <c r="C3623" t="s">
        <v>5157</v>
      </c>
      <c r="D3623" s="13">
        <v>10</v>
      </c>
    </row>
    <row r="3624" spans="3:4" x14ac:dyDescent="0.2">
      <c r="C3624" t="s">
        <v>5303</v>
      </c>
      <c r="D3624" s="13">
        <v>10</v>
      </c>
    </row>
    <row r="3625" spans="3:4" x14ac:dyDescent="0.2">
      <c r="C3625" t="s">
        <v>5778</v>
      </c>
      <c r="D3625" s="13">
        <v>10</v>
      </c>
    </row>
    <row r="3626" spans="3:4" x14ac:dyDescent="0.2">
      <c r="C3626" t="s">
        <v>6327</v>
      </c>
      <c r="D3626" s="13">
        <v>10</v>
      </c>
    </row>
    <row r="3627" spans="3:4" x14ac:dyDescent="0.2">
      <c r="C3627" t="s">
        <v>6720</v>
      </c>
      <c r="D3627" s="13">
        <v>10</v>
      </c>
    </row>
    <row r="3628" spans="3:4" x14ac:dyDescent="0.2">
      <c r="C3628" t="s">
        <v>7340</v>
      </c>
      <c r="D3628" s="13">
        <v>10</v>
      </c>
    </row>
    <row r="3629" spans="3:4" x14ac:dyDescent="0.2">
      <c r="C3629" t="s">
        <v>8377</v>
      </c>
      <c r="D3629" s="13">
        <v>10</v>
      </c>
    </row>
    <row r="3630" spans="3:4" x14ac:dyDescent="0.2">
      <c r="C3630" t="s">
        <v>8687</v>
      </c>
      <c r="D3630" s="13">
        <v>10</v>
      </c>
    </row>
    <row r="3631" spans="3:4" x14ac:dyDescent="0.2">
      <c r="C3631" t="s">
        <v>205</v>
      </c>
      <c r="D3631" s="13">
        <v>10</v>
      </c>
    </row>
    <row r="3632" spans="3:4" x14ac:dyDescent="0.2">
      <c r="C3632" t="s">
        <v>3117</v>
      </c>
      <c r="D3632" s="13">
        <v>10</v>
      </c>
    </row>
    <row r="3633" spans="3:4" x14ac:dyDescent="0.2">
      <c r="C3633" t="s">
        <v>7552</v>
      </c>
      <c r="D3633" s="13">
        <v>10</v>
      </c>
    </row>
    <row r="3634" spans="3:4" x14ac:dyDescent="0.2">
      <c r="C3634" t="s">
        <v>8033</v>
      </c>
      <c r="D3634" s="13">
        <v>10</v>
      </c>
    </row>
    <row r="3635" spans="3:4" x14ac:dyDescent="0.2">
      <c r="C3635" t="s">
        <v>927</v>
      </c>
      <c r="D3635" s="13">
        <v>10</v>
      </c>
    </row>
    <row r="3636" spans="3:4" x14ac:dyDescent="0.2">
      <c r="C3636" t="s">
        <v>4644</v>
      </c>
      <c r="D3636" s="13">
        <v>10</v>
      </c>
    </row>
    <row r="3637" spans="3:4" x14ac:dyDescent="0.2">
      <c r="C3637" t="s">
        <v>5364</v>
      </c>
      <c r="D3637" s="13">
        <v>10</v>
      </c>
    </row>
    <row r="3638" spans="3:4" x14ac:dyDescent="0.2">
      <c r="C3638" t="s">
        <v>2153</v>
      </c>
      <c r="D3638" s="13">
        <v>10</v>
      </c>
    </row>
    <row r="3639" spans="3:4" x14ac:dyDescent="0.2">
      <c r="C3639" t="s">
        <v>2847</v>
      </c>
      <c r="D3639" s="13">
        <v>10</v>
      </c>
    </row>
    <row r="3640" spans="3:4" x14ac:dyDescent="0.2">
      <c r="C3640" t="s">
        <v>3761</v>
      </c>
      <c r="D3640" s="13">
        <v>10</v>
      </c>
    </row>
    <row r="3641" spans="3:4" x14ac:dyDescent="0.2">
      <c r="C3641" t="s">
        <v>5151</v>
      </c>
      <c r="D3641" s="13">
        <v>10</v>
      </c>
    </row>
    <row r="3642" spans="3:4" x14ac:dyDescent="0.2">
      <c r="C3642" t="s">
        <v>5589</v>
      </c>
      <c r="D3642" s="13">
        <v>10</v>
      </c>
    </row>
    <row r="3643" spans="3:4" x14ac:dyDescent="0.2">
      <c r="C3643" t="s">
        <v>6758</v>
      </c>
      <c r="D3643" s="13">
        <v>10</v>
      </c>
    </row>
    <row r="3644" spans="3:4" x14ac:dyDescent="0.2">
      <c r="C3644" t="s">
        <v>7674</v>
      </c>
      <c r="D3644" s="13">
        <v>10</v>
      </c>
    </row>
    <row r="3645" spans="3:4" x14ac:dyDescent="0.2">
      <c r="C3645" t="s">
        <v>8389</v>
      </c>
      <c r="D3645" s="13">
        <v>10</v>
      </c>
    </row>
    <row r="3646" spans="3:4" x14ac:dyDescent="0.2">
      <c r="C3646" t="s">
        <v>2777</v>
      </c>
      <c r="D3646" s="13">
        <v>10</v>
      </c>
    </row>
    <row r="3647" spans="3:4" x14ac:dyDescent="0.2">
      <c r="C3647" t="s">
        <v>3569</v>
      </c>
      <c r="D3647" s="13">
        <v>10</v>
      </c>
    </row>
    <row r="3648" spans="3:4" x14ac:dyDescent="0.2">
      <c r="C3648" t="s">
        <v>5964</v>
      </c>
      <c r="D3648" s="13">
        <v>10</v>
      </c>
    </row>
    <row r="3649" spans="3:4" x14ac:dyDescent="0.2">
      <c r="C3649" t="s">
        <v>6104</v>
      </c>
      <c r="D3649" s="13">
        <v>10</v>
      </c>
    </row>
    <row r="3650" spans="3:4" x14ac:dyDescent="0.2">
      <c r="C3650" t="s">
        <v>6809</v>
      </c>
      <c r="D3650" s="13">
        <v>10</v>
      </c>
    </row>
    <row r="3651" spans="3:4" x14ac:dyDescent="0.2">
      <c r="C3651" t="s">
        <v>505</v>
      </c>
      <c r="D3651" s="13">
        <v>10</v>
      </c>
    </row>
    <row r="3652" spans="3:4" x14ac:dyDescent="0.2">
      <c r="C3652" t="s">
        <v>2025</v>
      </c>
      <c r="D3652" s="13">
        <v>10</v>
      </c>
    </row>
    <row r="3653" spans="3:4" x14ac:dyDescent="0.2">
      <c r="C3653" t="s">
        <v>5709</v>
      </c>
      <c r="D3653" s="13">
        <v>10</v>
      </c>
    </row>
    <row r="3654" spans="3:4" x14ac:dyDescent="0.2">
      <c r="C3654" t="s">
        <v>5823</v>
      </c>
      <c r="D3654" s="13">
        <v>10</v>
      </c>
    </row>
    <row r="3655" spans="3:4" x14ac:dyDescent="0.2">
      <c r="C3655" t="s">
        <v>152</v>
      </c>
      <c r="D3655" s="13">
        <v>10</v>
      </c>
    </row>
    <row r="3656" spans="3:4" x14ac:dyDescent="0.2">
      <c r="C3656" t="s">
        <v>7371</v>
      </c>
      <c r="D3656" s="13">
        <v>10</v>
      </c>
    </row>
    <row r="3657" spans="3:4" x14ac:dyDescent="0.2">
      <c r="C3657" t="s">
        <v>7608</v>
      </c>
      <c r="D3657" s="13">
        <v>10</v>
      </c>
    </row>
    <row r="3658" spans="3:4" x14ac:dyDescent="0.2">
      <c r="C3658" t="s">
        <v>6795</v>
      </c>
      <c r="D3658" s="13">
        <v>10</v>
      </c>
    </row>
    <row r="3659" spans="3:4" x14ac:dyDescent="0.2">
      <c r="C3659" t="s">
        <v>2483</v>
      </c>
      <c r="D3659" s="13">
        <v>10</v>
      </c>
    </row>
    <row r="3660" spans="3:4" x14ac:dyDescent="0.2">
      <c r="C3660" t="s">
        <v>5078</v>
      </c>
      <c r="D3660" s="13">
        <v>10</v>
      </c>
    </row>
    <row r="3661" spans="3:4" x14ac:dyDescent="0.2">
      <c r="C3661" t="s">
        <v>6042</v>
      </c>
      <c r="D3661" s="13">
        <v>10</v>
      </c>
    </row>
    <row r="3662" spans="3:4" x14ac:dyDescent="0.2">
      <c r="C3662" t="s">
        <v>2509</v>
      </c>
      <c r="D3662" s="13">
        <v>10</v>
      </c>
    </row>
    <row r="3663" spans="3:4" x14ac:dyDescent="0.2">
      <c r="C3663" t="s">
        <v>5538</v>
      </c>
      <c r="D3663" s="13">
        <v>10</v>
      </c>
    </row>
    <row r="3664" spans="3:4" x14ac:dyDescent="0.2">
      <c r="C3664" t="s">
        <v>2577</v>
      </c>
      <c r="D3664" s="13">
        <v>10</v>
      </c>
    </row>
    <row r="3665" spans="3:4" x14ac:dyDescent="0.2">
      <c r="C3665" t="s">
        <v>6571</v>
      </c>
      <c r="D3665" s="13">
        <v>10</v>
      </c>
    </row>
    <row r="3666" spans="3:4" x14ac:dyDescent="0.2">
      <c r="C3666" t="s">
        <v>1845</v>
      </c>
      <c r="D3666" s="13">
        <v>10</v>
      </c>
    </row>
    <row r="3667" spans="3:4" x14ac:dyDescent="0.2">
      <c r="C3667" t="s">
        <v>8169</v>
      </c>
      <c r="D3667" s="13">
        <v>10</v>
      </c>
    </row>
    <row r="3668" spans="3:4" x14ac:dyDescent="0.2">
      <c r="C3668" t="s">
        <v>118</v>
      </c>
      <c r="D3668" s="13">
        <v>10</v>
      </c>
    </row>
    <row r="3669" spans="3:4" x14ac:dyDescent="0.2">
      <c r="C3669" t="s">
        <v>360</v>
      </c>
      <c r="D3669" s="13">
        <v>10</v>
      </c>
    </row>
    <row r="3670" spans="3:4" x14ac:dyDescent="0.2">
      <c r="C3670" t="s">
        <v>361</v>
      </c>
      <c r="D3670" s="13">
        <v>10</v>
      </c>
    </row>
    <row r="3671" spans="3:4" x14ac:dyDescent="0.2">
      <c r="C3671" t="s">
        <v>407</v>
      </c>
      <c r="D3671" s="13">
        <v>10</v>
      </c>
    </row>
    <row r="3672" spans="3:4" x14ac:dyDescent="0.2">
      <c r="C3672" t="s">
        <v>937</v>
      </c>
      <c r="D3672" s="13">
        <v>10</v>
      </c>
    </row>
    <row r="3673" spans="3:4" x14ac:dyDescent="0.2">
      <c r="C3673" t="s">
        <v>1057</v>
      </c>
      <c r="D3673" s="13">
        <v>10</v>
      </c>
    </row>
    <row r="3674" spans="3:4" x14ac:dyDescent="0.2">
      <c r="C3674" t="s">
        <v>1255</v>
      </c>
      <c r="D3674" s="13">
        <v>10</v>
      </c>
    </row>
    <row r="3675" spans="3:4" x14ac:dyDescent="0.2">
      <c r="C3675" t="s">
        <v>1392</v>
      </c>
      <c r="D3675" s="13">
        <v>10</v>
      </c>
    </row>
    <row r="3676" spans="3:4" x14ac:dyDescent="0.2">
      <c r="C3676" t="s">
        <v>1565</v>
      </c>
      <c r="D3676" s="13">
        <v>10</v>
      </c>
    </row>
    <row r="3677" spans="3:4" x14ac:dyDescent="0.2">
      <c r="C3677" t="s">
        <v>1605</v>
      </c>
      <c r="D3677" s="13">
        <v>10</v>
      </c>
    </row>
    <row r="3678" spans="3:4" x14ac:dyDescent="0.2">
      <c r="C3678" t="s">
        <v>1896</v>
      </c>
      <c r="D3678" s="13">
        <v>10</v>
      </c>
    </row>
    <row r="3679" spans="3:4" x14ac:dyDescent="0.2">
      <c r="C3679" t="s">
        <v>2013</v>
      </c>
      <c r="D3679" s="13">
        <v>10</v>
      </c>
    </row>
    <row r="3680" spans="3:4" x14ac:dyDescent="0.2">
      <c r="C3680" t="s">
        <v>2368</v>
      </c>
      <c r="D3680" s="13">
        <v>10</v>
      </c>
    </row>
    <row r="3681" spans="3:4" x14ac:dyDescent="0.2">
      <c r="C3681" t="s">
        <v>2603</v>
      </c>
      <c r="D3681" s="13">
        <v>10</v>
      </c>
    </row>
    <row r="3682" spans="3:4" x14ac:dyDescent="0.2">
      <c r="C3682" t="s">
        <v>3137</v>
      </c>
      <c r="D3682" s="13">
        <v>10</v>
      </c>
    </row>
    <row r="3683" spans="3:4" x14ac:dyDescent="0.2">
      <c r="C3683" t="s">
        <v>3565</v>
      </c>
      <c r="D3683" s="13">
        <v>10</v>
      </c>
    </row>
    <row r="3684" spans="3:4" x14ac:dyDescent="0.2">
      <c r="C3684" t="s">
        <v>3857</v>
      </c>
      <c r="D3684" s="13">
        <v>10</v>
      </c>
    </row>
    <row r="3685" spans="3:4" x14ac:dyDescent="0.2">
      <c r="C3685" t="s">
        <v>3990</v>
      </c>
      <c r="D3685" s="13">
        <v>10</v>
      </c>
    </row>
    <row r="3686" spans="3:4" x14ac:dyDescent="0.2">
      <c r="C3686" t="s">
        <v>4145</v>
      </c>
      <c r="D3686" s="13">
        <v>10</v>
      </c>
    </row>
    <row r="3687" spans="3:4" x14ac:dyDescent="0.2">
      <c r="C3687" t="s">
        <v>4405</v>
      </c>
      <c r="D3687" s="13">
        <v>10</v>
      </c>
    </row>
    <row r="3688" spans="3:4" x14ac:dyDescent="0.2">
      <c r="C3688" t="s">
        <v>4654</v>
      </c>
      <c r="D3688" s="13">
        <v>10</v>
      </c>
    </row>
    <row r="3689" spans="3:4" x14ac:dyDescent="0.2">
      <c r="C3689" t="s">
        <v>4946</v>
      </c>
      <c r="D3689" s="13">
        <v>10</v>
      </c>
    </row>
    <row r="3690" spans="3:4" x14ac:dyDescent="0.2">
      <c r="C3690" t="s">
        <v>4947</v>
      </c>
      <c r="D3690" s="13">
        <v>10</v>
      </c>
    </row>
    <row r="3691" spans="3:4" x14ac:dyDescent="0.2">
      <c r="C3691" t="s">
        <v>5080</v>
      </c>
      <c r="D3691" s="13">
        <v>10</v>
      </c>
    </row>
    <row r="3692" spans="3:4" x14ac:dyDescent="0.2">
      <c r="C3692" t="s">
        <v>5280</v>
      </c>
      <c r="D3692" s="13">
        <v>10</v>
      </c>
    </row>
    <row r="3693" spans="3:4" x14ac:dyDescent="0.2">
      <c r="C3693" t="s">
        <v>5345</v>
      </c>
      <c r="D3693" s="13">
        <v>10</v>
      </c>
    </row>
    <row r="3694" spans="3:4" x14ac:dyDescent="0.2">
      <c r="C3694" t="s">
        <v>6062</v>
      </c>
      <c r="D3694" s="13">
        <v>10</v>
      </c>
    </row>
    <row r="3695" spans="3:4" x14ac:dyDescent="0.2">
      <c r="C3695" t="s">
        <v>6313</v>
      </c>
      <c r="D3695" s="13">
        <v>10</v>
      </c>
    </row>
    <row r="3696" spans="3:4" x14ac:dyDescent="0.2">
      <c r="C3696" t="s">
        <v>6329</v>
      </c>
      <c r="D3696" s="13">
        <v>10</v>
      </c>
    </row>
    <row r="3697" spans="3:4" x14ac:dyDescent="0.2">
      <c r="C3697" t="s">
        <v>6663</v>
      </c>
      <c r="D3697" s="13">
        <v>10</v>
      </c>
    </row>
    <row r="3698" spans="3:4" x14ac:dyDescent="0.2">
      <c r="C3698" t="s">
        <v>7015</v>
      </c>
      <c r="D3698" s="13">
        <v>10</v>
      </c>
    </row>
    <row r="3699" spans="3:4" x14ac:dyDescent="0.2">
      <c r="C3699" t="s">
        <v>7593</v>
      </c>
      <c r="D3699" s="13">
        <v>10</v>
      </c>
    </row>
    <row r="3700" spans="3:4" x14ac:dyDescent="0.2">
      <c r="C3700" t="s">
        <v>8324</v>
      </c>
      <c r="D3700" s="13">
        <v>10</v>
      </c>
    </row>
    <row r="3701" spans="3:4" x14ac:dyDescent="0.2">
      <c r="C3701" t="s">
        <v>8407</v>
      </c>
      <c r="D3701" s="13">
        <v>10</v>
      </c>
    </row>
    <row r="3702" spans="3:4" x14ac:dyDescent="0.2">
      <c r="C3702" t="s">
        <v>8458</v>
      </c>
      <c r="D3702" s="13">
        <v>10</v>
      </c>
    </row>
    <row r="3703" spans="3:4" x14ac:dyDescent="0.2">
      <c r="C3703" t="s">
        <v>7813</v>
      </c>
      <c r="D3703" s="13">
        <v>14</v>
      </c>
    </row>
    <row r="3704" spans="3:4" x14ac:dyDescent="0.2">
      <c r="C3704" t="s">
        <v>3747</v>
      </c>
      <c r="D3704" s="13">
        <v>14</v>
      </c>
    </row>
    <row r="3705" spans="3:4" x14ac:dyDescent="0.2">
      <c r="C3705" t="s">
        <v>3068</v>
      </c>
      <c r="D3705" s="13">
        <v>16</v>
      </c>
    </row>
    <row r="3706" spans="3:4" x14ac:dyDescent="0.2">
      <c r="C3706" t="s">
        <v>882</v>
      </c>
      <c r="D3706" s="13">
        <v>16</v>
      </c>
    </row>
    <row r="3707" spans="3:4" x14ac:dyDescent="0.2">
      <c r="C3707" t="s">
        <v>975</v>
      </c>
      <c r="D3707" s="13">
        <v>16</v>
      </c>
    </row>
    <row r="3708" spans="3:4" x14ac:dyDescent="0.2">
      <c r="C3708" t="s">
        <v>1506</v>
      </c>
      <c r="D3708" s="13">
        <v>16</v>
      </c>
    </row>
    <row r="3709" spans="3:4" x14ac:dyDescent="0.2">
      <c r="C3709" t="s">
        <v>2783</v>
      </c>
      <c r="D3709" s="13">
        <v>16</v>
      </c>
    </row>
    <row r="3710" spans="3:4" x14ac:dyDescent="0.2">
      <c r="C3710" t="s">
        <v>5847</v>
      </c>
      <c r="D3710" s="13">
        <v>16</v>
      </c>
    </row>
    <row r="3711" spans="3:4" x14ac:dyDescent="0.2">
      <c r="C3711" t="s">
        <v>5309</v>
      </c>
      <c r="D3711" s="13">
        <v>16</v>
      </c>
    </row>
    <row r="3712" spans="3:4" x14ac:dyDescent="0.2">
      <c r="C3712" t="s">
        <v>4247</v>
      </c>
      <c r="D3712" s="13">
        <v>16</v>
      </c>
    </row>
    <row r="3713" spans="3:4" x14ac:dyDescent="0.2">
      <c r="C3713" t="s">
        <v>7163</v>
      </c>
      <c r="D3713" s="13">
        <v>18</v>
      </c>
    </row>
    <row r="3714" spans="3:4" x14ac:dyDescent="0.2">
      <c r="C3714" t="s">
        <v>4935</v>
      </c>
      <c r="D3714" s="13">
        <v>18</v>
      </c>
    </row>
    <row r="3715" spans="3:4" x14ac:dyDescent="0.2">
      <c r="C3715" t="s">
        <v>2039</v>
      </c>
      <c r="D3715" s="13">
        <v>18</v>
      </c>
    </row>
    <row r="3716" spans="3:4" x14ac:dyDescent="0.2">
      <c r="C3716" t="s">
        <v>3091</v>
      </c>
      <c r="D3716" s="13">
        <v>18</v>
      </c>
    </row>
    <row r="3717" spans="3:4" x14ac:dyDescent="0.2">
      <c r="C3717" t="s">
        <v>8091</v>
      </c>
      <c r="D3717" s="13">
        <v>18</v>
      </c>
    </row>
    <row r="3718" spans="3:4" x14ac:dyDescent="0.2">
      <c r="C3718" t="s">
        <v>6281</v>
      </c>
      <c r="D3718" s="13">
        <v>18</v>
      </c>
    </row>
    <row r="3719" spans="3:4" x14ac:dyDescent="0.2">
      <c r="C3719" t="s">
        <v>6356</v>
      </c>
      <c r="D3719" s="13">
        <v>18</v>
      </c>
    </row>
    <row r="3720" spans="3:4" x14ac:dyDescent="0.2">
      <c r="C3720" t="s">
        <v>2972</v>
      </c>
      <c r="D3720" s="13">
        <v>18</v>
      </c>
    </row>
    <row r="3721" spans="3:4" x14ac:dyDescent="0.2">
      <c r="C3721" t="s">
        <v>5462</v>
      </c>
      <c r="D3721" s="13">
        <v>18</v>
      </c>
    </row>
    <row r="3722" spans="3:4" x14ac:dyDescent="0.2">
      <c r="C3722" t="s">
        <v>2589</v>
      </c>
      <c r="D3722" s="13">
        <v>18</v>
      </c>
    </row>
    <row r="3723" spans="3:4" x14ac:dyDescent="0.2">
      <c r="C3723" t="s">
        <v>7949</v>
      </c>
      <c r="D3723" s="13">
        <v>18</v>
      </c>
    </row>
    <row r="3724" spans="3:4" x14ac:dyDescent="0.2">
      <c r="C3724" t="s">
        <v>3090</v>
      </c>
      <c r="D3724" s="13">
        <v>18</v>
      </c>
    </row>
    <row r="3725" spans="3:4" x14ac:dyDescent="0.2">
      <c r="C3725" t="s">
        <v>3863</v>
      </c>
      <c r="D3725" s="13">
        <v>18</v>
      </c>
    </row>
    <row r="3726" spans="3:4" x14ac:dyDescent="0.2">
      <c r="C3726" t="s">
        <v>5827</v>
      </c>
      <c r="D3726" s="13">
        <v>18</v>
      </c>
    </row>
    <row r="3727" spans="3:4" x14ac:dyDescent="0.2">
      <c r="C3727" t="s">
        <v>606</v>
      </c>
      <c r="D3727" s="13">
        <v>18</v>
      </c>
    </row>
    <row r="3728" spans="3:4" x14ac:dyDescent="0.2">
      <c r="C3728" t="s">
        <v>8021</v>
      </c>
      <c r="D3728" s="13">
        <v>18</v>
      </c>
    </row>
    <row r="3729" spans="3:4" x14ac:dyDescent="0.2">
      <c r="C3729" t="s">
        <v>8123</v>
      </c>
      <c r="D3729" s="13">
        <v>18</v>
      </c>
    </row>
    <row r="3730" spans="3:4" x14ac:dyDescent="0.2">
      <c r="C3730" t="s">
        <v>6420</v>
      </c>
      <c r="D3730" s="13">
        <v>18</v>
      </c>
    </row>
    <row r="3731" spans="3:4" x14ac:dyDescent="0.2">
      <c r="C3731" t="s">
        <v>7494</v>
      </c>
      <c r="D3731" s="13">
        <v>18</v>
      </c>
    </row>
    <row r="3732" spans="3:4" x14ac:dyDescent="0.2">
      <c r="C3732" t="s">
        <v>4743</v>
      </c>
      <c r="D3732" s="13">
        <v>18</v>
      </c>
    </row>
    <row r="3733" spans="3:4" x14ac:dyDescent="0.2">
      <c r="C3733" t="s">
        <v>4015</v>
      </c>
      <c r="D3733" s="13">
        <v>18</v>
      </c>
    </row>
    <row r="3734" spans="3:4" x14ac:dyDescent="0.2">
      <c r="C3734" t="s">
        <v>4520</v>
      </c>
      <c r="D3734" s="13">
        <v>18</v>
      </c>
    </row>
    <row r="3735" spans="3:4" x14ac:dyDescent="0.2">
      <c r="C3735" t="s">
        <v>4632</v>
      </c>
      <c r="D3735" s="13">
        <v>18</v>
      </c>
    </row>
    <row r="3736" spans="3:4" x14ac:dyDescent="0.2">
      <c r="C3736" t="s">
        <v>3275</v>
      </c>
      <c r="D3736" s="13">
        <v>18</v>
      </c>
    </row>
    <row r="3737" spans="3:4" x14ac:dyDescent="0.2">
      <c r="C3737" t="s">
        <v>6997</v>
      </c>
      <c r="D3737" s="13">
        <v>18</v>
      </c>
    </row>
    <row r="3738" spans="3:4" x14ac:dyDescent="0.2">
      <c r="C3738" t="s">
        <v>3725</v>
      </c>
      <c r="D3738" s="13">
        <v>18</v>
      </c>
    </row>
    <row r="3739" spans="3:4" x14ac:dyDescent="0.2">
      <c r="C3739" t="s">
        <v>1661</v>
      </c>
      <c r="D3739" s="13">
        <v>18</v>
      </c>
    </row>
    <row r="3740" spans="3:4" x14ac:dyDescent="0.2">
      <c r="C3740" t="s">
        <v>598</v>
      </c>
      <c r="D3740" s="13">
        <v>18</v>
      </c>
    </row>
    <row r="3741" spans="3:4" x14ac:dyDescent="0.2">
      <c r="C3741" t="s">
        <v>3865</v>
      </c>
      <c r="D3741" s="13">
        <v>18</v>
      </c>
    </row>
    <row r="3742" spans="3:4" x14ac:dyDescent="0.2">
      <c r="C3742" t="s">
        <v>6439</v>
      </c>
      <c r="D3742" s="13">
        <v>18</v>
      </c>
    </row>
    <row r="3743" spans="3:4" x14ac:dyDescent="0.2">
      <c r="C3743" t="s">
        <v>1352</v>
      </c>
      <c r="D3743" s="13">
        <v>18</v>
      </c>
    </row>
    <row r="3744" spans="3:4" x14ac:dyDescent="0.2">
      <c r="C3744" t="s">
        <v>4204</v>
      </c>
      <c r="D3744" s="13">
        <v>18</v>
      </c>
    </row>
    <row r="3745" spans="3:4" x14ac:dyDescent="0.2">
      <c r="C3745" t="s">
        <v>2058</v>
      </c>
      <c r="D3745" s="13">
        <v>18</v>
      </c>
    </row>
    <row r="3746" spans="3:4" x14ac:dyDescent="0.2">
      <c r="C3746" t="s">
        <v>3683</v>
      </c>
      <c r="D3746" s="13">
        <v>18</v>
      </c>
    </row>
    <row r="3747" spans="3:4" x14ac:dyDescent="0.2">
      <c r="C3747" t="s">
        <v>4854</v>
      </c>
      <c r="D3747" s="13">
        <v>18</v>
      </c>
    </row>
    <row r="3748" spans="3:4" x14ac:dyDescent="0.2">
      <c r="C3748" t="s">
        <v>4942</v>
      </c>
      <c r="D3748" s="13">
        <v>18</v>
      </c>
    </row>
    <row r="3749" spans="3:4" x14ac:dyDescent="0.2">
      <c r="C3749" t="s">
        <v>5028</v>
      </c>
      <c r="D3749" s="13">
        <v>18</v>
      </c>
    </row>
    <row r="3750" spans="3:4" x14ac:dyDescent="0.2">
      <c r="C3750" t="s">
        <v>5153</v>
      </c>
      <c r="D3750" s="13">
        <v>18</v>
      </c>
    </row>
    <row r="3751" spans="3:4" x14ac:dyDescent="0.2">
      <c r="C3751" t="s">
        <v>7227</v>
      </c>
      <c r="D3751" s="13">
        <v>18</v>
      </c>
    </row>
    <row r="3752" spans="3:4" x14ac:dyDescent="0.2">
      <c r="C3752" t="s">
        <v>7520</v>
      </c>
      <c r="D3752" s="13">
        <v>18</v>
      </c>
    </row>
    <row r="3753" spans="3:4" x14ac:dyDescent="0.2">
      <c r="C3753" t="s">
        <v>8271</v>
      </c>
      <c r="D3753" s="13">
        <v>18</v>
      </c>
    </row>
    <row r="3754" spans="3:4" x14ac:dyDescent="0.2">
      <c r="C3754" t="s">
        <v>1928</v>
      </c>
      <c r="D3754" s="13">
        <v>18</v>
      </c>
    </row>
    <row r="3755" spans="3:4" x14ac:dyDescent="0.2">
      <c r="C3755" t="s">
        <v>3962</v>
      </c>
      <c r="D3755" s="13">
        <v>18</v>
      </c>
    </row>
    <row r="3756" spans="3:4" x14ac:dyDescent="0.2">
      <c r="C3756" t="s">
        <v>2958</v>
      </c>
      <c r="D3756" s="13">
        <v>20</v>
      </c>
    </row>
    <row r="3757" spans="3:4" x14ac:dyDescent="0.2">
      <c r="C3757" t="s">
        <v>3140</v>
      </c>
      <c r="D3757" s="13">
        <v>20</v>
      </c>
    </row>
    <row r="3758" spans="3:4" x14ac:dyDescent="0.2">
      <c r="C3758" t="s">
        <v>4978</v>
      </c>
      <c r="D3758" s="13">
        <v>20</v>
      </c>
    </row>
    <row r="3759" spans="3:4" x14ac:dyDescent="0.2">
      <c r="C3759" t="s">
        <v>6868</v>
      </c>
      <c r="D3759" s="13">
        <v>20</v>
      </c>
    </row>
    <row r="3760" spans="3:4" x14ac:dyDescent="0.2">
      <c r="C3760" t="s">
        <v>1404</v>
      </c>
      <c r="D3760" s="13">
        <v>20</v>
      </c>
    </row>
    <row r="3761" spans="3:4" x14ac:dyDescent="0.2">
      <c r="C3761" t="s">
        <v>1847</v>
      </c>
      <c r="D3761" s="13">
        <v>20</v>
      </c>
    </row>
    <row r="3762" spans="3:4" x14ac:dyDescent="0.2">
      <c r="C3762" t="s">
        <v>2405</v>
      </c>
      <c r="D3762" s="13">
        <v>20</v>
      </c>
    </row>
    <row r="3763" spans="3:4" x14ac:dyDescent="0.2">
      <c r="C3763" t="s">
        <v>6359</v>
      </c>
      <c r="D3763" s="13">
        <v>20</v>
      </c>
    </row>
    <row r="3764" spans="3:4" x14ac:dyDescent="0.2">
      <c r="C3764" t="s">
        <v>176</v>
      </c>
      <c r="D3764" s="13">
        <v>20</v>
      </c>
    </row>
    <row r="3765" spans="3:4" x14ac:dyDescent="0.2">
      <c r="C3765" t="s">
        <v>177</v>
      </c>
      <c r="D3765" s="13">
        <v>20</v>
      </c>
    </row>
    <row r="3766" spans="3:4" x14ac:dyDescent="0.2">
      <c r="C3766" t="s">
        <v>7104</v>
      </c>
      <c r="D3766" s="13">
        <v>20</v>
      </c>
    </row>
    <row r="3767" spans="3:4" x14ac:dyDescent="0.2">
      <c r="C3767" t="s">
        <v>8239</v>
      </c>
      <c r="D3767" s="13">
        <v>20</v>
      </c>
    </row>
    <row r="3768" spans="3:4" x14ac:dyDescent="0.2">
      <c r="C3768" t="s">
        <v>5378</v>
      </c>
      <c r="D3768" s="13">
        <v>20</v>
      </c>
    </row>
    <row r="3769" spans="3:4" x14ac:dyDescent="0.2">
      <c r="C3769" t="s">
        <v>6294</v>
      </c>
      <c r="D3769" s="13">
        <v>20</v>
      </c>
    </row>
    <row r="3770" spans="3:4" x14ac:dyDescent="0.2">
      <c r="C3770" t="s">
        <v>6867</v>
      </c>
      <c r="D3770" s="13">
        <v>20</v>
      </c>
    </row>
    <row r="3771" spans="3:4" x14ac:dyDescent="0.2">
      <c r="C3771" t="s">
        <v>377</v>
      </c>
      <c r="D3771" s="13">
        <v>20</v>
      </c>
    </row>
    <row r="3772" spans="3:4" x14ac:dyDescent="0.2">
      <c r="C3772" t="s">
        <v>2278</v>
      </c>
      <c r="D3772" s="13">
        <v>20</v>
      </c>
    </row>
    <row r="3773" spans="3:4" x14ac:dyDescent="0.2">
      <c r="C3773" t="s">
        <v>6001</v>
      </c>
      <c r="D3773" s="13">
        <v>20</v>
      </c>
    </row>
    <row r="3774" spans="3:4" x14ac:dyDescent="0.2">
      <c r="C3774" t="s">
        <v>6282</v>
      </c>
      <c r="D3774" s="13">
        <v>20</v>
      </c>
    </row>
    <row r="3775" spans="3:4" x14ac:dyDescent="0.2">
      <c r="C3775" t="s">
        <v>583</v>
      </c>
      <c r="D3775" s="13">
        <v>20</v>
      </c>
    </row>
    <row r="3776" spans="3:4" x14ac:dyDescent="0.2">
      <c r="C3776" t="s">
        <v>1284</v>
      </c>
      <c r="D3776" s="13">
        <v>20</v>
      </c>
    </row>
    <row r="3777" spans="3:4" x14ac:dyDescent="0.2">
      <c r="C3777" t="s">
        <v>2350</v>
      </c>
      <c r="D3777" s="13">
        <v>20</v>
      </c>
    </row>
    <row r="3778" spans="3:4" x14ac:dyDescent="0.2">
      <c r="C3778" t="s">
        <v>3346</v>
      </c>
      <c r="D3778" s="13">
        <v>20</v>
      </c>
    </row>
    <row r="3779" spans="3:4" x14ac:dyDescent="0.2">
      <c r="C3779" t="s">
        <v>4886</v>
      </c>
      <c r="D3779" s="13">
        <v>20</v>
      </c>
    </row>
    <row r="3780" spans="3:4" x14ac:dyDescent="0.2">
      <c r="C3780" t="s">
        <v>5897</v>
      </c>
      <c r="D3780" s="13">
        <v>20</v>
      </c>
    </row>
    <row r="3781" spans="3:4" x14ac:dyDescent="0.2">
      <c r="C3781" t="s">
        <v>6829</v>
      </c>
      <c r="D3781" s="13">
        <v>20</v>
      </c>
    </row>
    <row r="3782" spans="3:4" x14ac:dyDescent="0.2">
      <c r="C3782" t="s">
        <v>7743</v>
      </c>
      <c r="D3782" s="13">
        <v>20</v>
      </c>
    </row>
    <row r="3783" spans="3:4" x14ac:dyDescent="0.2">
      <c r="C3783" t="s">
        <v>7928</v>
      </c>
      <c r="D3783" s="13">
        <v>20</v>
      </c>
    </row>
    <row r="3784" spans="3:4" x14ac:dyDescent="0.2">
      <c r="C3784" t="s">
        <v>2831</v>
      </c>
      <c r="D3784" s="13">
        <v>20</v>
      </c>
    </row>
    <row r="3785" spans="3:4" x14ac:dyDescent="0.2">
      <c r="C3785" t="s">
        <v>4492</v>
      </c>
      <c r="D3785" s="13">
        <v>20</v>
      </c>
    </row>
    <row r="3786" spans="3:4" x14ac:dyDescent="0.2">
      <c r="C3786" t="s">
        <v>6828</v>
      </c>
      <c r="D3786" s="13">
        <v>20</v>
      </c>
    </row>
    <row r="3787" spans="3:4" x14ac:dyDescent="0.2">
      <c r="C3787" t="s">
        <v>2404</v>
      </c>
      <c r="D3787" s="13">
        <v>20</v>
      </c>
    </row>
    <row r="3788" spans="3:4" x14ac:dyDescent="0.2">
      <c r="C3788" t="s">
        <v>4092</v>
      </c>
      <c r="D3788" s="13">
        <v>20</v>
      </c>
    </row>
    <row r="3789" spans="3:4" x14ac:dyDescent="0.2">
      <c r="C3789" t="s">
        <v>4827</v>
      </c>
      <c r="D3789" s="13">
        <v>20</v>
      </c>
    </row>
    <row r="3790" spans="3:4" x14ac:dyDescent="0.2">
      <c r="C3790" t="s">
        <v>5520</v>
      </c>
      <c r="D3790" s="13">
        <v>20</v>
      </c>
    </row>
    <row r="3791" spans="3:4" x14ac:dyDescent="0.2">
      <c r="C3791" t="s">
        <v>5835</v>
      </c>
      <c r="D3791" s="13">
        <v>20</v>
      </c>
    </row>
    <row r="3792" spans="3:4" x14ac:dyDescent="0.2">
      <c r="C3792" t="s">
        <v>7492</v>
      </c>
      <c r="D3792" s="13">
        <v>20</v>
      </c>
    </row>
    <row r="3793" spans="3:4" x14ac:dyDescent="0.2">
      <c r="C3793" t="s">
        <v>7912</v>
      </c>
      <c r="D3793" s="13">
        <v>20</v>
      </c>
    </row>
    <row r="3794" spans="3:4" x14ac:dyDescent="0.2">
      <c r="C3794" t="s">
        <v>8423</v>
      </c>
      <c r="D3794" s="13">
        <v>20</v>
      </c>
    </row>
    <row r="3795" spans="3:4" x14ac:dyDescent="0.2">
      <c r="C3795" t="s">
        <v>3309</v>
      </c>
      <c r="D3795" s="13">
        <v>20</v>
      </c>
    </row>
    <row r="3796" spans="3:4" x14ac:dyDescent="0.2">
      <c r="C3796" t="s">
        <v>3310</v>
      </c>
      <c r="D3796" s="13">
        <v>20</v>
      </c>
    </row>
    <row r="3797" spans="3:4" x14ac:dyDescent="0.2">
      <c r="C3797" t="s">
        <v>5219</v>
      </c>
      <c r="D3797" s="13">
        <v>20</v>
      </c>
    </row>
    <row r="3798" spans="3:4" x14ac:dyDescent="0.2">
      <c r="C3798" t="s">
        <v>6745</v>
      </c>
      <c r="D3798" s="13">
        <v>20</v>
      </c>
    </row>
    <row r="3799" spans="3:4" x14ac:dyDescent="0.2">
      <c r="C3799" t="s">
        <v>7103</v>
      </c>
      <c r="D3799" s="13">
        <v>20</v>
      </c>
    </row>
    <row r="3800" spans="3:4" x14ac:dyDescent="0.2">
      <c r="C3800" t="s">
        <v>7546</v>
      </c>
      <c r="D3800" s="13">
        <v>20</v>
      </c>
    </row>
    <row r="3801" spans="3:4" x14ac:dyDescent="0.2">
      <c r="C3801" t="s">
        <v>870</v>
      </c>
      <c r="D3801" s="13">
        <v>20</v>
      </c>
    </row>
    <row r="3802" spans="3:4" x14ac:dyDescent="0.2">
      <c r="C3802" t="s">
        <v>1349</v>
      </c>
      <c r="D3802" s="13">
        <v>20</v>
      </c>
    </row>
    <row r="3803" spans="3:4" x14ac:dyDescent="0.2">
      <c r="C3803" t="s">
        <v>1753</v>
      </c>
      <c r="D3803" s="13">
        <v>20</v>
      </c>
    </row>
    <row r="3804" spans="3:4" x14ac:dyDescent="0.2">
      <c r="C3804" t="s">
        <v>3178</v>
      </c>
      <c r="D3804" s="13">
        <v>20</v>
      </c>
    </row>
    <row r="3805" spans="3:4" x14ac:dyDescent="0.2">
      <c r="C3805" t="s">
        <v>4401</v>
      </c>
      <c r="D3805" s="13">
        <v>20</v>
      </c>
    </row>
    <row r="3806" spans="3:4" x14ac:dyDescent="0.2">
      <c r="C3806" t="s">
        <v>6602</v>
      </c>
      <c r="D3806" s="13">
        <v>20</v>
      </c>
    </row>
    <row r="3807" spans="3:4" x14ac:dyDescent="0.2">
      <c r="C3807" t="s">
        <v>7577</v>
      </c>
      <c r="D3807" s="13">
        <v>20</v>
      </c>
    </row>
    <row r="3808" spans="3:4" x14ac:dyDescent="0.2">
      <c r="C3808" t="s">
        <v>7697</v>
      </c>
      <c r="D3808" s="13">
        <v>20</v>
      </c>
    </row>
    <row r="3809" spans="3:4" x14ac:dyDescent="0.2">
      <c r="C3809" t="s">
        <v>584</v>
      </c>
      <c r="D3809" s="13">
        <v>20</v>
      </c>
    </row>
    <row r="3810" spans="3:4" x14ac:dyDescent="0.2">
      <c r="C3810" t="s">
        <v>786</v>
      </c>
      <c r="D3810" s="13">
        <v>20</v>
      </c>
    </row>
    <row r="3811" spans="3:4" x14ac:dyDescent="0.2">
      <c r="C3811" t="s">
        <v>3119</v>
      </c>
      <c r="D3811" s="13">
        <v>20</v>
      </c>
    </row>
    <row r="3812" spans="3:4" x14ac:dyDescent="0.2">
      <c r="C3812" t="s">
        <v>3711</v>
      </c>
      <c r="D3812" s="13">
        <v>20</v>
      </c>
    </row>
    <row r="3813" spans="3:4" x14ac:dyDescent="0.2">
      <c r="C3813" t="s">
        <v>4007</v>
      </c>
      <c r="D3813" s="13">
        <v>20</v>
      </c>
    </row>
    <row r="3814" spans="3:4" x14ac:dyDescent="0.2">
      <c r="C3814" t="s">
        <v>4216</v>
      </c>
      <c r="D3814" s="13">
        <v>20</v>
      </c>
    </row>
    <row r="3815" spans="3:4" x14ac:dyDescent="0.2">
      <c r="C3815" t="s">
        <v>4888</v>
      </c>
      <c r="D3815" s="13">
        <v>20</v>
      </c>
    </row>
    <row r="3816" spans="3:4" x14ac:dyDescent="0.2">
      <c r="C3816" t="s">
        <v>6005</v>
      </c>
      <c r="D3816" s="13">
        <v>20</v>
      </c>
    </row>
    <row r="3817" spans="3:4" x14ac:dyDescent="0.2">
      <c r="C3817" t="s">
        <v>7556</v>
      </c>
      <c r="D3817" s="13">
        <v>20</v>
      </c>
    </row>
    <row r="3818" spans="3:4" x14ac:dyDescent="0.2">
      <c r="C3818" t="s">
        <v>7785</v>
      </c>
      <c r="D3818" s="13">
        <v>20</v>
      </c>
    </row>
    <row r="3819" spans="3:4" x14ac:dyDescent="0.2">
      <c r="C3819" t="s">
        <v>8013</v>
      </c>
      <c r="D3819" s="13">
        <v>20</v>
      </c>
    </row>
    <row r="3820" spans="3:4" x14ac:dyDescent="0.2">
      <c r="C3820" t="s">
        <v>144</v>
      </c>
      <c r="D3820" s="13">
        <v>20</v>
      </c>
    </row>
    <row r="3821" spans="3:4" x14ac:dyDescent="0.2">
      <c r="C3821" t="s">
        <v>852</v>
      </c>
      <c r="D3821" s="13">
        <v>20</v>
      </c>
    </row>
    <row r="3822" spans="3:4" x14ac:dyDescent="0.2">
      <c r="C3822" t="s">
        <v>1910</v>
      </c>
      <c r="D3822" s="13">
        <v>20</v>
      </c>
    </row>
    <row r="3823" spans="3:4" x14ac:dyDescent="0.2">
      <c r="C3823" t="s">
        <v>3741</v>
      </c>
      <c r="D3823" s="13">
        <v>20</v>
      </c>
    </row>
    <row r="3824" spans="3:4" x14ac:dyDescent="0.2">
      <c r="C3824" t="s">
        <v>4514</v>
      </c>
      <c r="D3824" s="13">
        <v>20</v>
      </c>
    </row>
    <row r="3825" spans="3:4" x14ac:dyDescent="0.2">
      <c r="C3825" t="s">
        <v>5919</v>
      </c>
      <c r="D3825" s="13">
        <v>20</v>
      </c>
    </row>
    <row r="3826" spans="3:4" x14ac:dyDescent="0.2">
      <c r="C3826" t="s">
        <v>6203</v>
      </c>
      <c r="D3826" s="13">
        <v>20</v>
      </c>
    </row>
    <row r="3827" spans="3:4" x14ac:dyDescent="0.2">
      <c r="C3827" t="s">
        <v>6756</v>
      </c>
      <c r="D3827" s="13">
        <v>20</v>
      </c>
    </row>
    <row r="3828" spans="3:4" x14ac:dyDescent="0.2">
      <c r="C3828" t="s">
        <v>7124</v>
      </c>
      <c r="D3828" s="13">
        <v>20</v>
      </c>
    </row>
    <row r="3829" spans="3:4" x14ac:dyDescent="0.2">
      <c r="C3829" t="s">
        <v>120</v>
      </c>
      <c r="D3829" s="13">
        <v>20</v>
      </c>
    </row>
    <row r="3830" spans="3:4" x14ac:dyDescent="0.2">
      <c r="C3830" t="s">
        <v>667</v>
      </c>
      <c r="D3830" s="13">
        <v>20</v>
      </c>
    </row>
    <row r="3831" spans="3:4" x14ac:dyDescent="0.2">
      <c r="C3831" t="s">
        <v>774</v>
      </c>
      <c r="D3831" s="13">
        <v>20</v>
      </c>
    </row>
    <row r="3832" spans="3:4" x14ac:dyDescent="0.2">
      <c r="C3832" t="s">
        <v>2128</v>
      </c>
      <c r="D3832" s="13">
        <v>20</v>
      </c>
    </row>
    <row r="3833" spans="3:4" x14ac:dyDescent="0.2">
      <c r="C3833" t="s">
        <v>3555</v>
      </c>
      <c r="D3833" s="13">
        <v>20</v>
      </c>
    </row>
    <row r="3834" spans="3:4" x14ac:dyDescent="0.2">
      <c r="C3834" t="s">
        <v>4054</v>
      </c>
      <c r="D3834" s="13">
        <v>20</v>
      </c>
    </row>
    <row r="3835" spans="3:4" x14ac:dyDescent="0.2">
      <c r="C3835" t="s">
        <v>5492</v>
      </c>
      <c r="D3835" s="13">
        <v>20</v>
      </c>
    </row>
    <row r="3836" spans="3:4" x14ac:dyDescent="0.2">
      <c r="C3836" t="s">
        <v>5920</v>
      </c>
      <c r="D3836" s="13">
        <v>20</v>
      </c>
    </row>
    <row r="3837" spans="3:4" x14ac:dyDescent="0.2">
      <c r="C3837" t="s">
        <v>5980</v>
      </c>
      <c r="D3837" s="13">
        <v>20</v>
      </c>
    </row>
    <row r="3838" spans="3:4" x14ac:dyDescent="0.2">
      <c r="C3838" t="s">
        <v>6680</v>
      </c>
      <c r="D3838" s="13">
        <v>20</v>
      </c>
    </row>
    <row r="3839" spans="3:4" x14ac:dyDescent="0.2">
      <c r="C3839" t="s">
        <v>6944</v>
      </c>
      <c r="D3839" s="13">
        <v>20</v>
      </c>
    </row>
    <row r="3840" spans="3:4" x14ac:dyDescent="0.2">
      <c r="C3840" t="s">
        <v>7618</v>
      </c>
      <c r="D3840" s="13">
        <v>20</v>
      </c>
    </row>
    <row r="3841" spans="3:4" x14ac:dyDescent="0.2">
      <c r="C3841" t="s">
        <v>7651</v>
      </c>
      <c r="D3841" s="13">
        <v>20</v>
      </c>
    </row>
    <row r="3842" spans="3:4" x14ac:dyDescent="0.2">
      <c r="C3842" t="s">
        <v>7882</v>
      </c>
      <c r="D3842" s="13">
        <v>20</v>
      </c>
    </row>
    <row r="3843" spans="3:4" x14ac:dyDescent="0.2">
      <c r="C3843" t="s">
        <v>8595</v>
      </c>
      <c r="D3843" s="13">
        <v>20</v>
      </c>
    </row>
    <row r="3844" spans="3:4" x14ac:dyDescent="0.2">
      <c r="C3844" t="s">
        <v>8601</v>
      </c>
      <c r="D3844" s="13">
        <v>20</v>
      </c>
    </row>
    <row r="3845" spans="3:4" x14ac:dyDescent="0.2">
      <c r="C3845" t="s">
        <v>453</v>
      </c>
      <c r="D3845" s="13">
        <v>20</v>
      </c>
    </row>
    <row r="3846" spans="3:4" x14ac:dyDescent="0.2">
      <c r="C3846" t="s">
        <v>2553</v>
      </c>
      <c r="D3846" s="13">
        <v>20</v>
      </c>
    </row>
    <row r="3847" spans="3:4" x14ac:dyDescent="0.2">
      <c r="C3847" t="s">
        <v>2874</v>
      </c>
      <c r="D3847" s="13">
        <v>20</v>
      </c>
    </row>
    <row r="3848" spans="3:4" x14ac:dyDescent="0.2">
      <c r="C3848" t="s">
        <v>2900</v>
      </c>
      <c r="D3848" s="13">
        <v>20</v>
      </c>
    </row>
    <row r="3849" spans="3:4" x14ac:dyDescent="0.2">
      <c r="C3849" t="s">
        <v>3264</v>
      </c>
      <c r="D3849" s="13">
        <v>20</v>
      </c>
    </row>
    <row r="3850" spans="3:4" x14ac:dyDescent="0.2">
      <c r="C3850" t="s">
        <v>3393</v>
      </c>
      <c r="D3850" s="13">
        <v>20</v>
      </c>
    </row>
    <row r="3851" spans="3:4" x14ac:dyDescent="0.2">
      <c r="C3851" t="s">
        <v>4866</v>
      </c>
      <c r="D3851" s="13">
        <v>20</v>
      </c>
    </row>
    <row r="3852" spans="3:4" x14ac:dyDescent="0.2">
      <c r="C3852" t="s">
        <v>5711</v>
      </c>
      <c r="D3852" s="13">
        <v>20</v>
      </c>
    </row>
    <row r="3853" spans="3:4" x14ac:dyDescent="0.2">
      <c r="C3853" t="s">
        <v>5888</v>
      </c>
      <c r="D3853" s="13">
        <v>20</v>
      </c>
    </row>
    <row r="3854" spans="3:4" x14ac:dyDescent="0.2">
      <c r="C3854" t="s">
        <v>6764</v>
      </c>
      <c r="D3854" s="13">
        <v>20</v>
      </c>
    </row>
    <row r="3855" spans="3:4" x14ac:dyDescent="0.2">
      <c r="C3855" t="s">
        <v>7162</v>
      </c>
      <c r="D3855" s="13">
        <v>20</v>
      </c>
    </row>
    <row r="3856" spans="3:4" x14ac:dyDescent="0.2">
      <c r="C3856" t="s">
        <v>1128</v>
      </c>
      <c r="D3856" s="13">
        <v>20</v>
      </c>
    </row>
    <row r="3857" spans="3:4" x14ac:dyDescent="0.2">
      <c r="C3857" t="s">
        <v>4050</v>
      </c>
      <c r="D3857" s="13">
        <v>20</v>
      </c>
    </row>
    <row r="3858" spans="3:4" x14ac:dyDescent="0.2">
      <c r="C3858" t="s">
        <v>4293</v>
      </c>
      <c r="D3858" s="13">
        <v>20</v>
      </c>
    </row>
    <row r="3859" spans="3:4" x14ac:dyDescent="0.2">
      <c r="C3859" t="s">
        <v>6554</v>
      </c>
      <c r="D3859" s="13">
        <v>20</v>
      </c>
    </row>
    <row r="3860" spans="3:4" x14ac:dyDescent="0.2">
      <c r="C3860" t="s">
        <v>7807</v>
      </c>
      <c r="D3860" s="13">
        <v>20</v>
      </c>
    </row>
    <row r="3861" spans="3:4" x14ac:dyDescent="0.2">
      <c r="C3861" t="s">
        <v>8015</v>
      </c>
      <c r="D3861" s="13">
        <v>20</v>
      </c>
    </row>
    <row r="3862" spans="3:4" x14ac:dyDescent="0.2">
      <c r="C3862" t="s">
        <v>6462</v>
      </c>
      <c r="D3862" s="13">
        <v>20</v>
      </c>
    </row>
    <row r="3863" spans="3:4" x14ac:dyDescent="0.2">
      <c r="C3863" t="s">
        <v>7585</v>
      </c>
      <c r="D3863" s="13">
        <v>20</v>
      </c>
    </row>
    <row r="3864" spans="3:4" x14ac:dyDescent="0.2">
      <c r="C3864" t="s">
        <v>1755</v>
      </c>
      <c r="D3864" s="13">
        <v>20</v>
      </c>
    </row>
    <row r="3865" spans="3:4" x14ac:dyDescent="0.2">
      <c r="C3865" t="s">
        <v>5204</v>
      </c>
      <c r="D3865" s="13">
        <v>20</v>
      </c>
    </row>
    <row r="3866" spans="3:4" x14ac:dyDescent="0.2">
      <c r="C3866" t="s">
        <v>7514</v>
      </c>
      <c r="D3866" s="13">
        <v>20</v>
      </c>
    </row>
    <row r="3867" spans="3:4" x14ac:dyDescent="0.2">
      <c r="C3867" t="s">
        <v>7652</v>
      </c>
      <c r="D3867" s="13">
        <v>20</v>
      </c>
    </row>
    <row r="3868" spans="3:4" x14ac:dyDescent="0.2">
      <c r="C3868" t="s">
        <v>291</v>
      </c>
      <c r="D3868" s="13">
        <v>20</v>
      </c>
    </row>
    <row r="3869" spans="3:4" x14ac:dyDescent="0.2">
      <c r="C3869" t="s">
        <v>575</v>
      </c>
      <c r="D3869" s="13">
        <v>20</v>
      </c>
    </row>
    <row r="3870" spans="3:4" x14ac:dyDescent="0.2">
      <c r="C3870" t="s">
        <v>2007</v>
      </c>
      <c r="D3870" s="13">
        <v>20</v>
      </c>
    </row>
    <row r="3871" spans="3:4" x14ac:dyDescent="0.2">
      <c r="C3871" t="s">
        <v>3080</v>
      </c>
      <c r="D3871" s="13">
        <v>20</v>
      </c>
    </row>
    <row r="3872" spans="3:4" x14ac:dyDescent="0.2">
      <c r="C3872" t="s">
        <v>6349</v>
      </c>
      <c r="D3872" s="13">
        <v>20</v>
      </c>
    </row>
    <row r="3873" spans="3:4" x14ac:dyDescent="0.2">
      <c r="C3873" t="s">
        <v>7926</v>
      </c>
      <c r="D3873" s="13">
        <v>20</v>
      </c>
    </row>
    <row r="3874" spans="3:4" x14ac:dyDescent="0.2">
      <c r="C3874" t="s">
        <v>8231</v>
      </c>
      <c r="D3874" s="13">
        <v>20</v>
      </c>
    </row>
    <row r="3875" spans="3:4" x14ac:dyDescent="0.2">
      <c r="C3875" t="s">
        <v>8554</v>
      </c>
      <c r="D3875" s="13">
        <v>20</v>
      </c>
    </row>
    <row r="3876" spans="3:4" x14ac:dyDescent="0.2">
      <c r="C3876" t="s">
        <v>123</v>
      </c>
      <c r="D3876" s="13">
        <v>20</v>
      </c>
    </row>
    <row r="3877" spans="3:4" x14ac:dyDescent="0.2">
      <c r="C3877" t="s">
        <v>3779</v>
      </c>
      <c r="D3877" s="13">
        <v>20</v>
      </c>
    </row>
    <row r="3878" spans="3:4" x14ac:dyDescent="0.2">
      <c r="C3878" t="s">
        <v>4206</v>
      </c>
      <c r="D3878" s="13">
        <v>20</v>
      </c>
    </row>
    <row r="3879" spans="3:4" x14ac:dyDescent="0.2">
      <c r="C3879" t="s">
        <v>4762</v>
      </c>
      <c r="D3879" s="13">
        <v>20</v>
      </c>
    </row>
    <row r="3880" spans="3:4" x14ac:dyDescent="0.2">
      <c r="C3880" t="s">
        <v>4909</v>
      </c>
      <c r="D3880" s="13">
        <v>20</v>
      </c>
    </row>
    <row r="3881" spans="3:4" x14ac:dyDescent="0.2">
      <c r="C3881" t="s">
        <v>5488</v>
      </c>
      <c r="D3881" s="13">
        <v>20</v>
      </c>
    </row>
    <row r="3882" spans="3:4" x14ac:dyDescent="0.2">
      <c r="C3882" t="s">
        <v>5757</v>
      </c>
      <c r="D3882" s="13">
        <v>20</v>
      </c>
    </row>
    <row r="3883" spans="3:4" x14ac:dyDescent="0.2">
      <c r="C3883" t="s">
        <v>6555</v>
      </c>
      <c r="D3883" s="13">
        <v>20</v>
      </c>
    </row>
    <row r="3884" spans="3:4" x14ac:dyDescent="0.2">
      <c r="C3884" t="s">
        <v>7447</v>
      </c>
      <c r="D3884" s="13">
        <v>20</v>
      </c>
    </row>
    <row r="3885" spans="3:4" x14ac:dyDescent="0.2">
      <c r="C3885" t="s">
        <v>8255</v>
      </c>
      <c r="D3885" s="13">
        <v>20</v>
      </c>
    </row>
    <row r="3886" spans="3:4" x14ac:dyDescent="0.2">
      <c r="C3886" t="s">
        <v>8295</v>
      </c>
      <c r="D3886" s="13">
        <v>20</v>
      </c>
    </row>
    <row r="3887" spans="3:4" x14ac:dyDescent="0.2">
      <c r="C3887" t="s">
        <v>8560</v>
      </c>
      <c r="D3887" s="13">
        <v>20</v>
      </c>
    </row>
    <row r="3888" spans="3:4" x14ac:dyDescent="0.2">
      <c r="C3888" t="s">
        <v>232</v>
      </c>
      <c r="D3888" s="13">
        <v>20</v>
      </c>
    </row>
    <row r="3889" spans="3:4" x14ac:dyDescent="0.2">
      <c r="C3889" t="s">
        <v>720</v>
      </c>
      <c r="D3889" s="13">
        <v>20</v>
      </c>
    </row>
    <row r="3890" spans="3:4" x14ac:dyDescent="0.2">
      <c r="C3890" t="s">
        <v>2904</v>
      </c>
      <c r="D3890" s="13">
        <v>20</v>
      </c>
    </row>
    <row r="3891" spans="3:4" x14ac:dyDescent="0.2">
      <c r="C3891" t="s">
        <v>3909</v>
      </c>
      <c r="D3891" s="13">
        <v>20</v>
      </c>
    </row>
    <row r="3892" spans="3:4" x14ac:dyDescent="0.2">
      <c r="C3892" t="s">
        <v>4291</v>
      </c>
      <c r="D3892" s="13">
        <v>20</v>
      </c>
    </row>
    <row r="3893" spans="3:4" x14ac:dyDescent="0.2">
      <c r="C3893" t="s">
        <v>4129</v>
      </c>
      <c r="D3893" s="13">
        <v>20</v>
      </c>
    </row>
    <row r="3894" spans="3:4" x14ac:dyDescent="0.2">
      <c r="C3894" t="s">
        <v>4699</v>
      </c>
      <c r="D3894" s="13">
        <v>20</v>
      </c>
    </row>
    <row r="3895" spans="3:4" x14ac:dyDescent="0.2">
      <c r="C3895" t="s">
        <v>7450</v>
      </c>
      <c r="D3895" s="13">
        <v>20</v>
      </c>
    </row>
    <row r="3896" spans="3:4" x14ac:dyDescent="0.2">
      <c r="C3896" t="s">
        <v>7454</v>
      </c>
      <c r="D3896" s="13">
        <v>20</v>
      </c>
    </row>
    <row r="3897" spans="3:4" x14ac:dyDescent="0.2">
      <c r="C3897" t="s">
        <v>7698</v>
      </c>
      <c r="D3897" s="13">
        <v>20</v>
      </c>
    </row>
    <row r="3898" spans="3:4" x14ac:dyDescent="0.2">
      <c r="C3898" t="s">
        <v>7755</v>
      </c>
      <c r="D3898" s="13">
        <v>20</v>
      </c>
    </row>
    <row r="3899" spans="3:4" x14ac:dyDescent="0.2">
      <c r="C3899" t="s">
        <v>556</v>
      </c>
      <c r="D3899" s="13">
        <v>20</v>
      </c>
    </row>
    <row r="3900" spans="3:4" x14ac:dyDescent="0.2">
      <c r="C3900" t="s">
        <v>1276</v>
      </c>
      <c r="D3900" s="13">
        <v>20</v>
      </c>
    </row>
    <row r="3901" spans="3:4" x14ac:dyDescent="0.2">
      <c r="C3901" t="s">
        <v>1841</v>
      </c>
      <c r="D3901" s="13">
        <v>20</v>
      </c>
    </row>
    <row r="3902" spans="3:4" x14ac:dyDescent="0.2">
      <c r="C3902" t="s">
        <v>1888</v>
      </c>
      <c r="D3902" s="13">
        <v>20</v>
      </c>
    </row>
    <row r="3903" spans="3:4" x14ac:dyDescent="0.2">
      <c r="C3903" t="s">
        <v>2067</v>
      </c>
      <c r="D3903" s="13">
        <v>20</v>
      </c>
    </row>
    <row r="3904" spans="3:4" x14ac:dyDescent="0.2">
      <c r="C3904" t="s">
        <v>2736</v>
      </c>
      <c r="D3904" s="13">
        <v>20</v>
      </c>
    </row>
    <row r="3905" spans="3:4" x14ac:dyDescent="0.2">
      <c r="C3905" t="s">
        <v>2899</v>
      </c>
      <c r="D3905" s="13">
        <v>20</v>
      </c>
    </row>
    <row r="3906" spans="3:4" x14ac:dyDescent="0.2">
      <c r="C3906" t="s">
        <v>3301</v>
      </c>
      <c r="D3906" s="13">
        <v>20</v>
      </c>
    </row>
    <row r="3907" spans="3:4" x14ac:dyDescent="0.2">
      <c r="C3907" t="s">
        <v>3533</v>
      </c>
      <c r="D3907" s="13">
        <v>20</v>
      </c>
    </row>
    <row r="3908" spans="3:4" x14ac:dyDescent="0.2">
      <c r="C3908" t="s">
        <v>3771</v>
      </c>
      <c r="D3908" s="13">
        <v>20</v>
      </c>
    </row>
    <row r="3909" spans="3:4" x14ac:dyDescent="0.2">
      <c r="C3909" t="s">
        <v>4127</v>
      </c>
      <c r="D3909" s="13">
        <v>20</v>
      </c>
    </row>
    <row r="3910" spans="3:4" x14ac:dyDescent="0.2">
      <c r="C3910" t="s">
        <v>4422</v>
      </c>
      <c r="D3910" s="13">
        <v>20</v>
      </c>
    </row>
    <row r="3911" spans="3:4" x14ac:dyDescent="0.2">
      <c r="C3911" t="s">
        <v>4616</v>
      </c>
      <c r="D3911" s="13">
        <v>20</v>
      </c>
    </row>
    <row r="3912" spans="3:4" x14ac:dyDescent="0.2">
      <c r="C3912" t="s">
        <v>4700</v>
      </c>
      <c r="D3912" s="13">
        <v>20</v>
      </c>
    </row>
    <row r="3913" spans="3:4" x14ac:dyDescent="0.2">
      <c r="C3913" t="s">
        <v>4711</v>
      </c>
      <c r="D3913" s="13">
        <v>20</v>
      </c>
    </row>
    <row r="3914" spans="3:4" x14ac:dyDescent="0.2">
      <c r="C3914" t="s">
        <v>5084</v>
      </c>
      <c r="D3914" s="13">
        <v>20</v>
      </c>
    </row>
    <row r="3915" spans="3:4" x14ac:dyDescent="0.2">
      <c r="C3915" t="s">
        <v>5114</v>
      </c>
      <c r="D3915" s="13">
        <v>20</v>
      </c>
    </row>
    <row r="3916" spans="3:4" x14ac:dyDescent="0.2">
      <c r="C3916" t="s">
        <v>5317</v>
      </c>
      <c r="D3916" s="13">
        <v>20</v>
      </c>
    </row>
    <row r="3917" spans="3:4" x14ac:dyDescent="0.2">
      <c r="C3917" t="s">
        <v>5327</v>
      </c>
      <c r="D3917" s="13">
        <v>20</v>
      </c>
    </row>
    <row r="3918" spans="3:4" x14ac:dyDescent="0.2">
      <c r="C3918" t="s">
        <v>5619</v>
      </c>
      <c r="D3918" s="13">
        <v>20</v>
      </c>
    </row>
    <row r="3919" spans="3:4" x14ac:dyDescent="0.2">
      <c r="C3919" t="s">
        <v>7097</v>
      </c>
      <c r="D3919" s="13">
        <v>20</v>
      </c>
    </row>
    <row r="3920" spans="3:4" x14ac:dyDescent="0.2">
      <c r="C3920" t="s">
        <v>7175</v>
      </c>
      <c r="D3920" s="13">
        <v>20</v>
      </c>
    </row>
    <row r="3921" spans="3:4" x14ac:dyDescent="0.2">
      <c r="C3921" t="s">
        <v>7187</v>
      </c>
      <c r="D3921" s="13">
        <v>20</v>
      </c>
    </row>
    <row r="3922" spans="3:4" x14ac:dyDescent="0.2">
      <c r="C3922" t="s">
        <v>7305</v>
      </c>
      <c r="D3922" s="13">
        <v>20</v>
      </c>
    </row>
    <row r="3923" spans="3:4" x14ac:dyDescent="0.2">
      <c r="C3923" t="s">
        <v>7635</v>
      </c>
      <c r="D3923" s="13">
        <v>20</v>
      </c>
    </row>
    <row r="3924" spans="3:4" x14ac:dyDescent="0.2">
      <c r="C3924" t="s">
        <v>7704</v>
      </c>
      <c r="D3924" s="13">
        <v>20</v>
      </c>
    </row>
    <row r="3925" spans="3:4" x14ac:dyDescent="0.2">
      <c r="C3925" t="s">
        <v>328</v>
      </c>
      <c r="D3925" s="13">
        <v>20</v>
      </c>
    </row>
    <row r="3926" spans="3:4" x14ac:dyDescent="0.2">
      <c r="C3926" t="s">
        <v>3976</v>
      </c>
      <c r="D3926" s="13">
        <v>20</v>
      </c>
    </row>
    <row r="3927" spans="3:4" x14ac:dyDescent="0.2">
      <c r="C3927" t="s">
        <v>5572</v>
      </c>
      <c r="D3927" s="13">
        <v>20</v>
      </c>
    </row>
    <row r="3928" spans="3:4" x14ac:dyDescent="0.2">
      <c r="C3928" t="s">
        <v>463</v>
      </c>
      <c r="D3928" s="13">
        <v>20</v>
      </c>
    </row>
    <row r="3929" spans="3:4" x14ac:dyDescent="0.2">
      <c r="C3929" t="s">
        <v>1223</v>
      </c>
      <c r="D3929" s="13">
        <v>20</v>
      </c>
    </row>
    <row r="3930" spans="3:4" x14ac:dyDescent="0.2">
      <c r="C3930" t="s">
        <v>2518</v>
      </c>
      <c r="D3930" s="13">
        <v>20</v>
      </c>
    </row>
    <row r="3931" spans="3:4" x14ac:dyDescent="0.2">
      <c r="C3931" t="s">
        <v>2938</v>
      </c>
      <c r="D3931" s="13">
        <v>20</v>
      </c>
    </row>
    <row r="3932" spans="3:4" x14ac:dyDescent="0.2">
      <c r="C3932" t="s">
        <v>3423</v>
      </c>
      <c r="D3932" s="13">
        <v>20</v>
      </c>
    </row>
    <row r="3933" spans="3:4" x14ac:dyDescent="0.2">
      <c r="C3933" t="s">
        <v>4176</v>
      </c>
      <c r="D3933" s="13">
        <v>20</v>
      </c>
    </row>
    <row r="3934" spans="3:4" x14ac:dyDescent="0.2">
      <c r="C3934" t="s">
        <v>4186</v>
      </c>
      <c r="D3934" s="13">
        <v>20</v>
      </c>
    </row>
    <row r="3935" spans="3:4" x14ac:dyDescent="0.2">
      <c r="C3935" t="s">
        <v>5412</v>
      </c>
      <c r="D3935" s="13">
        <v>20</v>
      </c>
    </row>
    <row r="3936" spans="3:4" x14ac:dyDescent="0.2">
      <c r="C3936" t="s">
        <v>6363</v>
      </c>
      <c r="D3936" s="13">
        <v>20</v>
      </c>
    </row>
    <row r="3937" spans="3:4" x14ac:dyDescent="0.2">
      <c r="C3937" t="s">
        <v>6801</v>
      </c>
      <c r="D3937" s="13">
        <v>20</v>
      </c>
    </row>
    <row r="3938" spans="3:4" x14ac:dyDescent="0.2">
      <c r="C3938" t="s">
        <v>8644</v>
      </c>
      <c r="D3938" s="13">
        <v>20</v>
      </c>
    </row>
    <row r="3939" spans="3:4" x14ac:dyDescent="0.2">
      <c r="C3939" t="s">
        <v>701</v>
      </c>
      <c r="D3939" s="13">
        <v>20</v>
      </c>
    </row>
    <row r="3940" spans="3:4" x14ac:dyDescent="0.2">
      <c r="C3940" t="s">
        <v>1257</v>
      </c>
      <c r="D3940" s="13">
        <v>20</v>
      </c>
    </row>
    <row r="3941" spans="3:4" x14ac:dyDescent="0.2">
      <c r="C3941" t="s">
        <v>1311</v>
      </c>
      <c r="D3941" s="13">
        <v>20</v>
      </c>
    </row>
    <row r="3942" spans="3:4" x14ac:dyDescent="0.2">
      <c r="C3942" t="s">
        <v>1456</v>
      </c>
      <c r="D3942" s="13">
        <v>20</v>
      </c>
    </row>
    <row r="3943" spans="3:4" x14ac:dyDescent="0.2">
      <c r="C3943" t="s">
        <v>1207</v>
      </c>
      <c r="D3943" s="13">
        <v>20</v>
      </c>
    </row>
    <row r="3944" spans="3:4" x14ac:dyDescent="0.2">
      <c r="C3944" t="s">
        <v>2134</v>
      </c>
      <c r="D3944" s="13">
        <v>20</v>
      </c>
    </row>
    <row r="3945" spans="3:4" x14ac:dyDescent="0.2">
      <c r="C3945" t="s">
        <v>2565</v>
      </c>
      <c r="D3945" s="13">
        <v>20</v>
      </c>
    </row>
    <row r="3946" spans="3:4" x14ac:dyDescent="0.2">
      <c r="C3946" t="s">
        <v>3441</v>
      </c>
      <c r="D3946" s="13">
        <v>20</v>
      </c>
    </row>
    <row r="3947" spans="3:4" x14ac:dyDescent="0.2">
      <c r="C3947" t="s">
        <v>4265</v>
      </c>
      <c r="D3947" s="13">
        <v>20</v>
      </c>
    </row>
    <row r="3948" spans="3:4" x14ac:dyDescent="0.2">
      <c r="C3948" t="s">
        <v>4715</v>
      </c>
      <c r="D3948" s="13">
        <v>20</v>
      </c>
    </row>
    <row r="3949" spans="3:4" x14ac:dyDescent="0.2">
      <c r="C3949" t="s">
        <v>5551</v>
      </c>
      <c r="D3949" s="13">
        <v>20</v>
      </c>
    </row>
    <row r="3950" spans="3:4" x14ac:dyDescent="0.2">
      <c r="C3950" t="s">
        <v>7322</v>
      </c>
      <c r="D3950" s="13">
        <v>20</v>
      </c>
    </row>
    <row r="3951" spans="3:4" x14ac:dyDescent="0.2">
      <c r="C3951" t="s">
        <v>1699</v>
      </c>
      <c r="D3951" s="13">
        <v>20</v>
      </c>
    </row>
    <row r="3952" spans="3:4" x14ac:dyDescent="0.2">
      <c r="C3952" t="s">
        <v>2009</v>
      </c>
      <c r="D3952" s="13">
        <v>20</v>
      </c>
    </row>
    <row r="3953" spans="3:4" x14ac:dyDescent="0.2">
      <c r="C3953" t="s">
        <v>4001</v>
      </c>
      <c r="D3953" s="13">
        <v>20</v>
      </c>
    </row>
    <row r="3954" spans="3:4" x14ac:dyDescent="0.2">
      <c r="C3954" t="s">
        <v>4307</v>
      </c>
      <c r="D3954" s="13">
        <v>20</v>
      </c>
    </row>
    <row r="3955" spans="3:4" x14ac:dyDescent="0.2">
      <c r="C3955" t="s">
        <v>4442</v>
      </c>
      <c r="D3955" s="13">
        <v>20</v>
      </c>
    </row>
    <row r="3956" spans="3:4" x14ac:dyDescent="0.2">
      <c r="C3956" t="s">
        <v>7997</v>
      </c>
      <c r="D3956" s="13">
        <v>20</v>
      </c>
    </row>
    <row r="3957" spans="3:4" x14ac:dyDescent="0.2">
      <c r="C3957" t="s">
        <v>8137</v>
      </c>
      <c r="D3957" s="13">
        <v>20</v>
      </c>
    </row>
    <row r="3958" spans="3:4" x14ac:dyDescent="0.2">
      <c r="C3958" t="s">
        <v>1410</v>
      </c>
      <c r="D3958" s="13">
        <v>20</v>
      </c>
    </row>
    <row r="3959" spans="3:4" x14ac:dyDescent="0.2">
      <c r="C3959" t="s">
        <v>2417</v>
      </c>
      <c r="D3959" s="13">
        <v>20</v>
      </c>
    </row>
    <row r="3960" spans="3:4" x14ac:dyDescent="0.2">
      <c r="C3960" t="s">
        <v>3321</v>
      </c>
      <c r="D3960" s="13">
        <v>20</v>
      </c>
    </row>
    <row r="3961" spans="3:4" x14ac:dyDescent="0.2">
      <c r="C3961" t="s">
        <v>3479</v>
      </c>
      <c r="D3961" s="13">
        <v>20</v>
      </c>
    </row>
    <row r="3962" spans="3:4" x14ac:dyDescent="0.2">
      <c r="C3962" t="s">
        <v>5815</v>
      </c>
      <c r="D3962" s="13">
        <v>20</v>
      </c>
    </row>
    <row r="3963" spans="3:4" x14ac:dyDescent="0.2">
      <c r="C3963" t="s">
        <v>5953</v>
      </c>
      <c r="D3963" s="13">
        <v>20</v>
      </c>
    </row>
    <row r="3964" spans="3:4" x14ac:dyDescent="0.2">
      <c r="C3964" t="s">
        <v>6947</v>
      </c>
      <c r="D3964" s="13">
        <v>20</v>
      </c>
    </row>
    <row r="3965" spans="3:4" x14ac:dyDescent="0.2">
      <c r="C3965" t="s">
        <v>7971</v>
      </c>
      <c r="D3965" s="13">
        <v>20</v>
      </c>
    </row>
    <row r="3966" spans="3:4" x14ac:dyDescent="0.2">
      <c r="C3966" t="s">
        <v>8518</v>
      </c>
      <c r="D3966" s="13">
        <v>20</v>
      </c>
    </row>
    <row r="3967" spans="3:4" x14ac:dyDescent="0.2">
      <c r="C3967" t="s">
        <v>1313</v>
      </c>
      <c r="D3967" s="13">
        <v>20</v>
      </c>
    </row>
    <row r="3968" spans="3:4" x14ac:dyDescent="0.2">
      <c r="C3968" t="s">
        <v>2378</v>
      </c>
      <c r="D3968" s="13">
        <v>20</v>
      </c>
    </row>
    <row r="3969" spans="3:4" x14ac:dyDescent="0.2">
      <c r="C3969" t="s">
        <v>2581</v>
      </c>
      <c r="D3969" s="13">
        <v>20</v>
      </c>
    </row>
    <row r="3970" spans="3:4" x14ac:dyDescent="0.2">
      <c r="C3970" t="s">
        <v>3608</v>
      </c>
      <c r="D3970" s="13">
        <v>20</v>
      </c>
    </row>
    <row r="3971" spans="3:4" x14ac:dyDescent="0.2">
      <c r="C3971" t="s">
        <v>4029</v>
      </c>
      <c r="D3971" s="13">
        <v>20</v>
      </c>
    </row>
    <row r="3972" spans="3:4" x14ac:dyDescent="0.2">
      <c r="C3972" t="s">
        <v>6182</v>
      </c>
      <c r="D3972" s="13">
        <v>20</v>
      </c>
    </row>
    <row r="3973" spans="3:4" x14ac:dyDescent="0.2">
      <c r="C3973" t="s">
        <v>7307</v>
      </c>
      <c r="D3973" s="13">
        <v>20</v>
      </c>
    </row>
    <row r="3974" spans="3:4" x14ac:dyDescent="0.2">
      <c r="C3974" t="s">
        <v>7959</v>
      </c>
      <c r="D3974" s="13">
        <v>20</v>
      </c>
    </row>
    <row r="3975" spans="3:4" x14ac:dyDescent="0.2">
      <c r="C3975" t="s">
        <v>8069</v>
      </c>
      <c r="D3975" s="13">
        <v>20</v>
      </c>
    </row>
    <row r="3976" spans="3:4" x14ac:dyDescent="0.2">
      <c r="C3976" t="s">
        <v>473</v>
      </c>
      <c r="D3976" s="13">
        <v>20</v>
      </c>
    </row>
    <row r="3977" spans="3:4" x14ac:dyDescent="0.2">
      <c r="C3977" t="s">
        <v>722</v>
      </c>
      <c r="D3977" s="13">
        <v>20</v>
      </c>
    </row>
    <row r="3978" spans="3:4" x14ac:dyDescent="0.2">
      <c r="C3978" t="s">
        <v>4319</v>
      </c>
      <c r="D3978" s="13">
        <v>20</v>
      </c>
    </row>
    <row r="3979" spans="3:4" x14ac:dyDescent="0.2">
      <c r="C3979" t="s">
        <v>5379</v>
      </c>
      <c r="D3979" s="13">
        <v>20</v>
      </c>
    </row>
    <row r="3980" spans="3:4" x14ac:dyDescent="0.2">
      <c r="C3980" t="s">
        <v>6595</v>
      </c>
      <c r="D3980" s="13">
        <v>20</v>
      </c>
    </row>
    <row r="3981" spans="3:4" x14ac:dyDescent="0.2">
      <c r="C3981" t="s">
        <v>6596</v>
      </c>
      <c r="D3981" s="13">
        <v>20</v>
      </c>
    </row>
    <row r="3982" spans="3:4" x14ac:dyDescent="0.2">
      <c r="C3982" t="s">
        <v>7843</v>
      </c>
      <c r="D3982" s="13">
        <v>20</v>
      </c>
    </row>
    <row r="3983" spans="3:4" x14ac:dyDescent="0.2">
      <c r="C3983" t="s">
        <v>8537</v>
      </c>
      <c r="D3983" s="13">
        <v>20</v>
      </c>
    </row>
    <row r="3984" spans="3:4" x14ac:dyDescent="0.2">
      <c r="C3984" t="s">
        <v>1573</v>
      </c>
      <c r="D3984" s="13">
        <v>20</v>
      </c>
    </row>
    <row r="3985" spans="3:4" x14ac:dyDescent="0.2">
      <c r="C3985" t="s">
        <v>1625</v>
      </c>
      <c r="D3985" s="13">
        <v>20</v>
      </c>
    </row>
    <row r="3986" spans="3:4" x14ac:dyDescent="0.2">
      <c r="C3986" t="s">
        <v>1872</v>
      </c>
      <c r="D3986" s="13">
        <v>20</v>
      </c>
    </row>
    <row r="3987" spans="3:4" x14ac:dyDescent="0.2">
      <c r="C3987" t="s">
        <v>2138</v>
      </c>
      <c r="D3987" s="13">
        <v>20</v>
      </c>
    </row>
    <row r="3988" spans="3:4" x14ac:dyDescent="0.2">
      <c r="C3988" t="s">
        <v>2197</v>
      </c>
      <c r="D3988" s="13">
        <v>20</v>
      </c>
    </row>
    <row r="3989" spans="3:4" x14ac:dyDescent="0.2">
      <c r="C3989" t="s">
        <v>2362</v>
      </c>
      <c r="D3989" s="13">
        <v>20</v>
      </c>
    </row>
    <row r="3990" spans="3:4" x14ac:dyDescent="0.2">
      <c r="C3990" t="s">
        <v>2467</v>
      </c>
      <c r="D3990" s="13">
        <v>20</v>
      </c>
    </row>
    <row r="3991" spans="3:4" x14ac:dyDescent="0.2">
      <c r="C3991" t="s">
        <v>3057</v>
      </c>
      <c r="D3991" s="13">
        <v>20</v>
      </c>
    </row>
    <row r="3992" spans="3:4" x14ac:dyDescent="0.2">
      <c r="C3992" t="s">
        <v>3131</v>
      </c>
      <c r="D3992" s="13">
        <v>20</v>
      </c>
    </row>
    <row r="3993" spans="3:4" x14ac:dyDescent="0.2">
      <c r="C3993" t="s">
        <v>3937</v>
      </c>
      <c r="D3993" s="13">
        <v>20</v>
      </c>
    </row>
    <row r="3994" spans="3:4" x14ac:dyDescent="0.2">
      <c r="C3994" t="s">
        <v>4421</v>
      </c>
      <c r="D3994" s="13">
        <v>20</v>
      </c>
    </row>
    <row r="3995" spans="3:4" x14ac:dyDescent="0.2">
      <c r="C3995" t="s">
        <v>4557</v>
      </c>
      <c r="D3995" s="13">
        <v>20</v>
      </c>
    </row>
    <row r="3996" spans="3:4" x14ac:dyDescent="0.2">
      <c r="C3996" t="s">
        <v>4856</v>
      </c>
      <c r="D3996" s="13">
        <v>20</v>
      </c>
    </row>
    <row r="3997" spans="3:4" x14ac:dyDescent="0.2">
      <c r="C3997" t="s">
        <v>5928</v>
      </c>
      <c r="D3997" s="13">
        <v>20</v>
      </c>
    </row>
    <row r="3998" spans="3:4" x14ac:dyDescent="0.2">
      <c r="C3998" t="s">
        <v>6170</v>
      </c>
      <c r="D3998" s="13">
        <v>20</v>
      </c>
    </row>
    <row r="3999" spans="3:4" x14ac:dyDescent="0.2">
      <c r="C3999" t="s">
        <v>6346</v>
      </c>
      <c r="D3999" s="13">
        <v>20</v>
      </c>
    </row>
    <row r="4000" spans="3:4" x14ac:dyDescent="0.2">
      <c r="C4000" t="s">
        <v>6361</v>
      </c>
      <c r="D4000" s="13">
        <v>20</v>
      </c>
    </row>
    <row r="4001" spans="3:4" x14ac:dyDescent="0.2">
      <c r="C4001" t="s">
        <v>6377</v>
      </c>
      <c r="D4001" s="13">
        <v>20</v>
      </c>
    </row>
    <row r="4002" spans="3:4" x14ac:dyDescent="0.2">
      <c r="C4002" t="s">
        <v>7179</v>
      </c>
      <c r="D4002" s="13">
        <v>20</v>
      </c>
    </row>
    <row r="4003" spans="3:4" x14ac:dyDescent="0.2">
      <c r="C4003" t="s">
        <v>7839</v>
      </c>
      <c r="D4003" s="13">
        <v>20</v>
      </c>
    </row>
    <row r="4004" spans="3:4" x14ac:dyDescent="0.2">
      <c r="C4004" t="s">
        <v>7867</v>
      </c>
      <c r="D4004" s="13">
        <v>20</v>
      </c>
    </row>
    <row r="4005" spans="3:4" x14ac:dyDescent="0.2">
      <c r="C4005" t="s">
        <v>7868</v>
      </c>
      <c r="D4005" s="13">
        <v>20</v>
      </c>
    </row>
    <row r="4006" spans="3:4" x14ac:dyDescent="0.2">
      <c r="C4006" t="s">
        <v>7969</v>
      </c>
      <c r="D4006" s="13">
        <v>20</v>
      </c>
    </row>
    <row r="4007" spans="3:4" x14ac:dyDescent="0.2">
      <c r="C4007" t="s">
        <v>8005</v>
      </c>
      <c r="D4007" s="13">
        <v>20</v>
      </c>
    </row>
    <row r="4008" spans="3:4" x14ac:dyDescent="0.2">
      <c r="C4008" t="s">
        <v>8145</v>
      </c>
      <c r="D4008" s="13">
        <v>20</v>
      </c>
    </row>
    <row r="4009" spans="3:4" x14ac:dyDescent="0.2">
      <c r="C4009" t="s">
        <v>8155</v>
      </c>
      <c r="D4009" s="13">
        <v>20</v>
      </c>
    </row>
    <row r="4010" spans="3:4" x14ac:dyDescent="0.2">
      <c r="C4010" t="s">
        <v>8577</v>
      </c>
      <c r="D4010" s="13">
        <v>20</v>
      </c>
    </row>
    <row r="4011" spans="3:4" x14ac:dyDescent="0.2">
      <c r="C4011" t="s">
        <v>8669</v>
      </c>
      <c r="D4011" s="13">
        <v>20</v>
      </c>
    </row>
    <row r="4012" spans="3:4" x14ac:dyDescent="0.2">
      <c r="C4012" t="s">
        <v>179</v>
      </c>
      <c r="D4012" s="13">
        <v>20</v>
      </c>
    </row>
    <row r="4013" spans="3:4" x14ac:dyDescent="0.2">
      <c r="C4013" t="s">
        <v>1049</v>
      </c>
      <c r="D4013" s="13">
        <v>20</v>
      </c>
    </row>
    <row r="4014" spans="3:4" x14ac:dyDescent="0.2">
      <c r="C4014" t="s">
        <v>2685</v>
      </c>
      <c r="D4014" s="13">
        <v>20</v>
      </c>
    </row>
    <row r="4015" spans="3:4" x14ac:dyDescent="0.2">
      <c r="C4015" t="s">
        <v>2712</v>
      </c>
      <c r="D4015" s="13">
        <v>20</v>
      </c>
    </row>
    <row r="4016" spans="3:4" x14ac:dyDescent="0.2">
      <c r="C4016" t="s">
        <v>3919</v>
      </c>
      <c r="D4016" s="13">
        <v>20</v>
      </c>
    </row>
    <row r="4017" spans="3:4" x14ac:dyDescent="0.2">
      <c r="C4017" t="s">
        <v>461</v>
      </c>
      <c r="D4017" s="13">
        <v>20</v>
      </c>
    </row>
    <row r="4018" spans="3:4" x14ac:dyDescent="0.2">
      <c r="C4018" t="s">
        <v>629</v>
      </c>
      <c r="D4018" s="13">
        <v>20</v>
      </c>
    </row>
    <row r="4019" spans="3:4" x14ac:dyDescent="0.2">
      <c r="C4019" t="s">
        <v>1719</v>
      </c>
      <c r="D4019" s="13">
        <v>20</v>
      </c>
    </row>
    <row r="4020" spans="3:4" x14ac:dyDescent="0.2">
      <c r="C4020" t="s">
        <v>5544</v>
      </c>
      <c r="D4020" s="13">
        <v>20</v>
      </c>
    </row>
    <row r="4021" spans="3:4" x14ac:dyDescent="0.2">
      <c r="C4021" t="s">
        <v>6718</v>
      </c>
      <c r="D4021" s="13">
        <v>20</v>
      </c>
    </row>
    <row r="4022" spans="3:4" x14ac:dyDescent="0.2">
      <c r="C4022" t="s">
        <v>5225</v>
      </c>
      <c r="D4022" s="13">
        <v>20</v>
      </c>
    </row>
    <row r="4023" spans="3:4" x14ac:dyDescent="0.2">
      <c r="C4023" t="s">
        <v>1063</v>
      </c>
      <c r="D4023" s="13">
        <v>20</v>
      </c>
    </row>
    <row r="4024" spans="3:4" x14ac:dyDescent="0.2">
      <c r="C4024" t="s">
        <v>3480</v>
      </c>
      <c r="D4024" s="13">
        <v>20</v>
      </c>
    </row>
    <row r="4025" spans="3:4" x14ac:dyDescent="0.2">
      <c r="C4025" t="s">
        <v>4031</v>
      </c>
      <c r="D4025" s="13">
        <v>20</v>
      </c>
    </row>
    <row r="4026" spans="3:4" x14ac:dyDescent="0.2">
      <c r="C4026" t="s">
        <v>121</v>
      </c>
      <c r="D4026" s="13">
        <v>20</v>
      </c>
    </row>
    <row r="4027" spans="3:4" x14ac:dyDescent="0.2">
      <c r="C4027" t="s">
        <v>387</v>
      </c>
      <c r="D4027" s="13">
        <v>20</v>
      </c>
    </row>
    <row r="4028" spans="3:4" x14ac:dyDescent="0.2">
      <c r="C4028" t="s">
        <v>1657</v>
      </c>
      <c r="D4028" s="13">
        <v>20</v>
      </c>
    </row>
    <row r="4029" spans="3:4" x14ac:dyDescent="0.2">
      <c r="C4029" t="s">
        <v>1794</v>
      </c>
      <c r="D4029" s="13">
        <v>20</v>
      </c>
    </row>
    <row r="4030" spans="3:4" x14ac:dyDescent="0.2">
      <c r="C4030" t="s">
        <v>1795</v>
      </c>
      <c r="D4030" s="13">
        <v>20</v>
      </c>
    </row>
    <row r="4031" spans="3:4" x14ac:dyDescent="0.2">
      <c r="C4031" t="s">
        <v>5635</v>
      </c>
      <c r="D4031" s="13">
        <v>20</v>
      </c>
    </row>
    <row r="4032" spans="3:4" x14ac:dyDescent="0.2">
      <c r="C4032" t="s">
        <v>5803</v>
      </c>
      <c r="D4032" s="13">
        <v>20</v>
      </c>
    </row>
    <row r="4033" spans="3:4" x14ac:dyDescent="0.2">
      <c r="C4033" t="s">
        <v>7477</v>
      </c>
      <c r="D4033" s="13">
        <v>20</v>
      </c>
    </row>
    <row r="4034" spans="3:4" x14ac:dyDescent="0.2">
      <c r="C4034" t="s">
        <v>8034</v>
      </c>
      <c r="D4034" s="13">
        <v>20</v>
      </c>
    </row>
    <row r="4035" spans="3:4" x14ac:dyDescent="0.2">
      <c r="C4035" t="s">
        <v>469</v>
      </c>
      <c r="D4035" s="13">
        <v>20</v>
      </c>
    </row>
    <row r="4036" spans="3:4" x14ac:dyDescent="0.2">
      <c r="C4036" t="s">
        <v>843</v>
      </c>
      <c r="D4036" s="13">
        <v>20</v>
      </c>
    </row>
    <row r="4037" spans="3:4" x14ac:dyDescent="0.2">
      <c r="C4037" t="s">
        <v>1709</v>
      </c>
      <c r="D4037" s="13">
        <v>20</v>
      </c>
    </row>
    <row r="4038" spans="3:4" x14ac:dyDescent="0.2">
      <c r="C4038" t="s">
        <v>2323</v>
      </c>
      <c r="D4038" s="13">
        <v>20</v>
      </c>
    </row>
    <row r="4039" spans="3:4" x14ac:dyDescent="0.2">
      <c r="C4039" t="s">
        <v>2662</v>
      </c>
      <c r="D4039" s="13">
        <v>20</v>
      </c>
    </row>
    <row r="4040" spans="3:4" x14ac:dyDescent="0.2">
      <c r="C4040" t="s">
        <v>2991</v>
      </c>
      <c r="D4040" s="13">
        <v>20</v>
      </c>
    </row>
    <row r="4041" spans="3:4" x14ac:dyDescent="0.2">
      <c r="C4041" t="s">
        <v>5186</v>
      </c>
      <c r="D4041" s="13">
        <v>20</v>
      </c>
    </row>
    <row r="4042" spans="3:4" x14ac:dyDescent="0.2">
      <c r="C4042" t="s">
        <v>5755</v>
      </c>
      <c r="D4042" s="13">
        <v>20</v>
      </c>
    </row>
    <row r="4043" spans="3:4" x14ac:dyDescent="0.2">
      <c r="C4043" t="s">
        <v>6230</v>
      </c>
      <c r="D4043" s="13">
        <v>20</v>
      </c>
    </row>
    <row r="4044" spans="3:4" x14ac:dyDescent="0.2">
      <c r="C4044" t="s">
        <v>6450</v>
      </c>
      <c r="D4044" s="13">
        <v>20</v>
      </c>
    </row>
    <row r="4045" spans="3:4" x14ac:dyDescent="0.2">
      <c r="C4045" t="s">
        <v>6543</v>
      </c>
      <c r="D4045" s="13">
        <v>20</v>
      </c>
    </row>
    <row r="4046" spans="3:4" x14ac:dyDescent="0.2">
      <c r="C4046" t="s">
        <v>6977</v>
      </c>
      <c r="D4046" s="13">
        <v>20</v>
      </c>
    </row>
    <row r="4047" spans="3:4" x14ac:dyDescent="0.2">
      <c r="C4047" t="s">
        <v>7399</v>
      </c>
      <c r="D4047" s="13">
        <v>20</v>
      </c>
    </row>
    <row r="4048" spans="3:4" x14ac:dyDescent="0.2">
      <c r="C4048" t="s">
        <v>289</v>
      </c>
      <c r="D4048" s="13">
        <v>20</v>
      </c>
    </row>
    <row r="4049" spans="3:4" x14ac:dyDescent="0.2">
      <c r="C4049" t="s">
        <v>4618</v>
      </c>
      <c r="D4049" s="13">
        <v>20</v>
      </c>
    </row>
    <row r="4050" spans="3:4" x14ac:dyDescent="0.2">
      <c r="C4050" t="s">
        <v>4622</v>
      </c>
      <c r="D4050" s="13">
        <v>20</v>
      </c>
    </row>
    <row r="4051" spans="3:4" x14ac:dyDescent="0.2">
      <c r="C4051" t="s">
        <v>7299</v>
      </c>
      <c r="D4051" s="13">
        <v>20</v>
      </c>
    </row>
    <row r="4052" spans="3:4" x14ac:dyDescent="0.2">
      <c r="C4052" t="s">
        <v>112</v>
      </c>
      <c r="D4052" s="13">
        <v>20</v>
      </c>
    </row>
    <row r="4053" spans="3:4" x14ac:dyDescent="0.2">
      <c r="C4053" t="s">
        <v>112</v>
      </c>
      <c r="D4053" s="13">
        <v>20</v>
      </c>
    </row>
    <row r="4054" spans="3:4" x14ac:dyDescent="0.2">
      <c r="C4054" t="s">
        <v>122</v>
      </c>
      <c r="D4054" s="13">
        <v>20</v>
      </c>
    </row>
    <row r="4055" spans="3:4" x14ac:dyDescent="0.2">
      <c r="C4055" t="s">
        <v>248</v>
      </c>
      <c r="D4055" s="13">
        <v>20</v>
      </c>
    </row>
    <row r="4056" spans="3:4" x14ac:dyDescent="0.2">
      <c r="C4056" t="s">
        <v>256</v>
      </c>
      <c r="D4056" s="13">
        <v>20</v>
      </c>
    </row>
    <row r="4057" spans="3:4" x14ac:dyDescent="0.2">
      <c r="C4057" t="s">
        <v>610</v>
      </c>
      <c r="D4057" s="13">
        <v>20</v>
      </c>
    </row>
    <row r="4058" spans="3:4" x14ac:dyDescent="0.2">
      <c r="C4058" t="s">
        <v>1296</v>
      </c>
      <c r="D4058" s="13">
        <v>20</v>
      </c>
    </row>
    <row r="4059" spans="3:4" x14ac:dyDescent="0.2">
      <c r="C4059" t="s">
        <v>1504</v>
      </c>
      <c r="D4059" s="13">
        <v>20</v>
      </c>
    </row>
    <row r="4060" spans="3:4" x14ac:dyDescent="0.2">
      <c r="C4060" t="s">
        <v>2098</v>
      </c>
      <c r="D4060" s="13">
        <v>20</v>
      </c>
    </row>
    <row r="4061" spans="3:4" x14ac:dyDescent="0.2">
      <c r="C4061" t="s">
        <v>4894</v>
      </c>
      <c r="D4061" s="13">
        <v>20</v>
      </c>
    </row>
    <row r="4062" spans="3:4" x14ac:dyDescent="0.2">
      <c r="C4062" t="s">
        <v>5353</v>
      </c>
      <c r="D4062" s="13">
        <v>20</v>
      </c>
    </row>
    <row r="4063" spans="3:4" x14ac:dyDescent="0.2">
      <c r="C4063" t="s">
        <v>6784</v>
      </c>
      <c r="D4063" s="13">
        <v>20</v>
      </c>
    </row>
    <row r="4064" spans="3:4" x14ac:dyDescent="0.2">
      <c r="C4064" t="s">
        <v>7298</v>
      </c>
      <c r="D4064" s="13">
        <v>20</v>
      </c>
    </row>
    <row r="4065" spans="3:4" x14ac:dyDescent="0.2">
      <c r="C4065" t="s">
        <v>7360</v>
      </c>
      <c r="D4065" s="13">
        <v>20</v>
      </c>
    </row>
    <row r="4066" spans="3:4" x14ac:dyDescent="0.2">
      <c r="C4066" t="s">
        <v>7904</v>
      </c>
      <c r="D4066" s="13">
        <v>20</v>
      </c>
    </row>
    <row r="4067" spans="3:4" x14ac:dyDescent="0.2">
      <c r="C4067" t="s">
        <v>8281</v>
      </c>
      <c r="D4067" s="13">
        <v>20</v>
      </c>
    </row>
    <row r="4068" spans="3:4" x14ac:dyDescent="0.2">
      <c r="C4068" t="s">
        <v>8501</v>
      </c>
      <c r="D4068" s="13">
        <v>20</v>
      </c>
    </row>
    <row r="4069" spans="3:4" x14ac:dyDescent="0.2">
      <c r="C4069" t="s">
        <v>8662</v>
      </c>
      <c r="D4069" s="13">
        <v>20</v>
      </c>
    </row>
    <row r="4070" spans="3:4" x14ac:dyDescent="0.2">
      <c r="C4070" t="s">
        <v>854</v>
      </c>
      <c r="D4070" s="13">
        <v>20</v>
      </c>
    </row>
    <row r="4071" spans="3:4" x14ac:dyDescent="0.2">
      <c r="C4071" t="s">
        <v>7522</v>
      </c>
      <c r="D4071" s="13">
        <v>20</v>
      </c>
    </row>
    <row r="4072" spans="3:4" x14ac:dyDescent="0.2">
      <c r="C4072" t="s">
        <v>1667</v>
      </c>
      <c r="D4072" s="13">
        <v>20</v>
      </c>
    </row>
    <row r="4073" spans="3:4" x14ac:dyDescent="0.2">
      <c r="C4073" t="s">
        <v>4809</v>
      </c>
      <c r="D4073" s="13">
        <v>20</v>
      </c>
    </row>
    <row r="4074" spans="3:4" x14ac:dyDescent="0.2">
      <c r="C4074" t="s">
        <v>5895</v>
      </c>
      <c r="D4074" s="13">
        <v>20</v>
      </c>
    </row>
    <row r="4075" spans="3:4" x14ac:dyDescent="0.2">
      <c r="C4075" t="s">
        <v>7414</v>
      </c>
      <c r="D4075" s="13">
        <v>20</v>
      </c>
    </row>
    <row r="4076" spans="3:4" x14ac:dyDescent="0.2">
      <c r="C4076" t="s">
        <v>8490</v>
      </c>
      <c r="D4076" s="13">
        <v>20</v>
      </c>
    </row>
    <row r="4077" spans="3:4" x14ac:dyDescent="0.2">
      <c r="C4077" t="s">
        <v>1731</v>
      </c>
      <c r="D4077" s="13">
        <v>20</v>
      </c>
    </row>
    <row r="4078" spans="3:4" x14ac:dyDescent="0.2">
      <c r="C4078" t="s">
        <v>8083</v>
      </c>
      <c r="D4078" s="13">
        <v>20</v>
      </c>
    </row>
    <row r="4079" spans="3:4" x14ac:dyDescent="0.2">
      <c r="C4079" t="s">
        <v>8489</v>
      </c>
      <c r="D4079" s="13">
        <v>20</v>
      </c>
    </row>
    <row r="4080" spans="3:4" x14ac:dyDescent="0.2">
      <c r="C4080" t="s">
        <v>3356</v>
      </c>
      <c r="D4080" s="13">
        <v>20</v>
      </c>
    </row>
    <row r="4081" spans="3:4" x14ac:dyDescent="0.2">
      <c r="C4081" t="s">
        <v>4502</v>
      </c>
      <c r="D4081" s="13">
        <v>20</v>
      </c>
    </row>
    <row r="4082" spans="3:4" x14ac:dyDescent="0.2">
      <c r="C4082" t="s">
        <v>4813</v>
      </c>
      <c r="D4082" s="13">
        <v>20</v>
      </c>
    </row>
    <row r="4083" spans="3:4" x14ac:dyDescent="0.2">
      <c r="C4083" t="s">
        <v>1463</v>
      </c>
      <c r="D4083" s="13">
        <v>20</v>
      </c>
    </row>
    <row r="4084" spans="3:4" x14ac:dyDescent="0.2">
      <c r="C4084" t="s">
        <v>1581</v>
      </c>
      <c r="D4084" s="13">
        <v>20</v>
      </c>
    </row>
    <row r="4085" spans="3:4" x14ac:dyDescent="0.2">
      <c r="C4085" t="s">
        <v>3277</v>
      </c>
      <c r="D4085" s="13">
        <v>20</v>
      </c>
    </row>
    <row r="4086" spans="3:4" x14ac:dyDescent="0.2">
      <c r="C4086" t="s">
        <v>3323</v>
      </c>
      <c r="D4086" s="13">
        <v>20</v>
      </c>
    </row>
    <row r="4087" spans="3:4" x14ac:dyDescent="0.2">
      <c r="C4087" t="s">
        <v>3398</v>
      </c>
      <c r="D4087" s="13">
        <v>20</v>
      </c>
    </row>
    <row r="4088" spans="3:4" x14ac:dyDescent="0.2">
      <c r="C4088" t="s">
        <v>4434</v>
      </c>
      <c r="D4088" s="13">
        <v>20</v>
      </c>
    </row>
    <row r="4089" spans="3:4" x14ac:dyDescent="0.2">
      <c r="C4089" t="s">
        <v>4467</v>
      </c>
      <c r="D4089" s="13">
        <v>20</v>
      </c>
    </row>
    <row r="4090" spans="3:4" x14ac:dyDescent="0.2">
      <c r="C4090" t="s">
        <v>4852</v>
      </c>
      <c r="D4090" s="13">
        <v>20</v>
      </c>
    </row>
    <row r="4091" spans="3:4" x14ac:dyDescent="0.2">
      <c r="C4091" t="s">
        <v>6661</v>
      </c>
      <c r="D4091" s="13">
        <v>20</v>
      </c>
    </row>
    <row r="4092" spans="3:4" x14ac:dyDescent="0.2">
      <c r="C4092" t="s">
        <v>6951</v>
      </c>
      <c r="D4092" s="13">
        <v>20</v>
      </c>
    </row>
    <row r="4093" spans="3:4" x14ac:dyDescent="0.2">
      <c r="C4093" t="s">
        <v>7735</v>
      </c>
      <c r="D4093" s="13">
        <v>20</v>
      </c>
    </row>
    <row r="4094" spans="3:4" x14ac:dyDescent="0.2">
      <c r="C4094" t="s">
        <v>8230</v>
      </c>
      <c r="D4094" s="13">
        <v>20</v>
      </c>
    </row>
    <row r="4095" spans="3:4" x14ac:dyDescent="0.2">
      <c r="C4095" t="s">
        <v>391</v>
      </c>
      <c r="D4095" s="13">
        <v>20</v>
      </c>
    </row>
    <row r="4096" spans="3:4" x14ac:dyDescent="0.2">
      <c r="C4096" t="s">
        <v>2613</v>
      </c>
      <c r="D4096" s="13">
        <v>20</v>
      </c>
    </row>
    <row r="4097" spans="3:4" x14ac:dyDescent="0.2">
      <c r="C4097" t="s">
        <v>4876</v>
      </c>
      <c r="D4097" s="13">
        <v>20</v>
      </c>
    </row>
    <row r="4098" spans="3:4" x14ac:dyDescent="0.2">
      <c r="C4098" t="s">
        <v>5244</v>
      </c>
      <c r="D4098" s="13">
        <v>20</v>
      </c>
    </row>
    <row r="4099" spans="3:4" x14ac:dyDescent="0.2">
      <c r="C4099" t="s">
        <v>525</v>
      </c>
      <c r="D4099" s="13">
        <v>20</v>
      </c>
    </row>
    <row r="4100" spans="3:4" x14ac:dyDescent="0.2">
      <c r="C4100" t="s">
        <v>1668</v>
      </c>
      <c r="D4100" s="13">
        <v>20</v>
      </c>
    </row>
    <row r="4101" spans="3:4" x14ac:dyDescent="0.2">
      <c r="C4101" t="s">
        <v>3148</v>
      </c>
      <c r="D4101" s="13">
        <v>20</v>
      </c>
    </row>
    <row r="4102" spans="3:4" x14ac:dyDescent="0.2">
      <c r="C4102" t="s">
        <v>4819</v>
      </c>
      <c r="D4102" s="13">
        <v>20</v>
      </c>
    </row>
    <row r="4103" spans="3:4" x14ac:dyDescent="0.2">
      <c r="C4103" t="s">
        <v>6174</v>
      </c>
      <c r="D4103" s="13">
        <v>20</v>
      </c>
    </row>
    <row r="4104" spans="3:4" x14ac:dyDescent="0.2">
      <c r="C4104" t="s">
        <v>197</v>
      </c>
      <c r="D4104" s="13">
        <v>20</v>
      </c>
    </row>
    <row r="4105" spans="3:4" x14ac:dyDescent="0.2">
      <c r="C4105" t="s">
        <v>700</v>
      </c>
      <c r="D4105" s="13">
        <v>20</v>
      </c>
    </row>
    <row r="4106" spans="3:4" x14ac:dyDescent="0.2">
      <c r="C4106" t="s">
        <v>813</v>
      </c>
      <c r="D4106" s="13">
        <v>20</v>
      </c>
    </row>
    <row r="4107" spans="3:4" x14ac:dyDescent="0.2">
      <c r="C4107" t="s">
        <v>1221</v>
      </c>
      <c r="D4107" s="13">
        <v>20</v>
      </c>
    </row>
    <row r="4108" spans="3:4" x14ac:dyDescent="0.2">
      <c r="C4108" t="s">
        <v>1868</v>
      </c>
      <c r="D4108" s="13">
        <v>20</v>
      </c>
    </row>
    <row r="4109" spans="3:4" x14ac:dyDescent="0.2">
      <c r="C4109" t="s">
        <v>2856</v>
      </c>
      <c r="D4109" s="13">
        <v>20</v>
      </c>
    </row>
    <row r="4110" spans="3:4" x14ac:dyDescent="0.2">
      <c r="C4110" t="s">
        <v>2881</v>
      </c>
      <c r="D4110" s="13">
        <v>20</v>
      </c>
    </row>
    <row r="4111" spans="3:4" x14ac:dyDescent="0.2">
      <c r="C4111" t="s">
        <v>3214</v>
      </c>
      <c r="D4111" s="13">
        <v>20</v>
      </c>
    </row>
    <row r="4112" spans="3:4" x14ac:dyDescent="0.2">
      <c r="C4112" t="s">
        <v>3341</v>
      </c>
      <c r="D4112" s="13">
        <v>20</v>
      </c>
    </row>
    <row r="4113" spans="3:4" x14ac:dyDescent="0.2">
      <c r="C4113" t="s">
        <v>4933</v>
      </c>
      <c r="D4113" s="13">
        <v>20</v>
      </c>
    </row>
    <row r="4114" spans="3:4" x14ac:dyDescent="0.2">
      <c r="C4114" t="s">
        <v>5934</v>
      </c>
      <c r="D4114" s="13">
        <v>20</v>
      </c>
    </row>
    <row r="4115" spans="3:4" x14ac:dyDescent="0.2">
      <c r="C4115" t="s">
        <v>6022</v>
      </c>
      <c r="D4115" s="13">
        <v>20</v>
      </c>
    </row>
    <row r="4116" spans="3:4" x14ac:dyDescent="0.2">
      <c r="C4116" t="s">
        <v>6288</v>
      </c>
      <c r="D4116" s="13">
        <v>20</v>
      </c>
    </row>
    <row r="4117" spans="3:4" x14ac:dyDescent="0.2">
      <c r="C4117" t="s">
        <v>7068</v>
      </c>
      <c r="D4117" s="13">
        <v>20</v>
      </c>
    </row>
    <row r="4118" spans="3:4" x14ac:dyDescent="0.2">
      <c r="C4118" t="s">
        <v>7221</v>
      </c>
      <c r="D4118" s="13">
        <v>20</v>
      </c>
    </row>
    <row r="4119" spans="3:4" x14ac:dyDescent="0.2">
      <c r="C4119" t="s">
        <v>7712</v>
      </c>
      <c r="D4119" s="13">
        <v>20</v>
      </c>
    </row>
    <row r="4120" spans="3:4" x14ac:dyDescent="0.2">
      <c r="C4120" t="s">
        <v>7922</v>
      </c>
      <c r="D4120" s="13">
        <v>20</v>
      </c>
    </row>
    <row r="4121" spans="3:4" x14ac:dyDescent="0.2">
      <c r="C4121" t="s">
        <v>8656</v>
      </c>
      <c r="D4121" s="13">
        <v>20</v>
      </c>
    </row>
    <row r="4122" spans="3:4" x14ac:dyDescent="0.2">
      <c r="C4122" t="s">
        <v>187</v>
      </c>
      <c r="D4122" s="13">
        <v>20</v>
      </c>
    </row>
    <row r="4123" spans="3:4" x14ac:dyDescent="0.2">
      <c r="C4123" t="s">
        <v>1374</v>
      </c>
      <c r="D4123" s="13">
        <v>20</v>
      </c>
    </row>
    <row r="4124" spans="3:4" x14ac:dyDescent="0.2">
      <c r="C4124" t="s">
        <v>4512</v>
      </c>
      <c r="D4124" s="13">
        <v>20</v>
      </c>
    </row>
    <row r="4125" spans="3:4" x14ac:dyDescent="0.2">
      <c r="C4125" t="s">
        <v>6021</v>
      </c>
      <c r="D4125" s="13">
        <v>20</v>
      </c>
    </row>
    <row r="4126" spans="3:4" x14ac:dyDescent="0.2">
      <c r="C4126" t="s">
        <v>6172</v>
      </c>
      <c r="D4126" s="13">
        <v>20</v>
      </c>
    </row>
    <row r="4127" spans="3:4" x14ac:dyDescent="0.2">
      <c r="C4127" t="s">
        <v>6243</v>
      </c>
      <c r="D4127" s="13">
        <v>20</v>
      </c>
    </row>
    <row r="4128" spans="3:4" x14ac:dyDescent="0.2">
      <c r="C4128" t="s">
        <v>2530</v>
      </c>
      <c r="D4128" s="13">
        <v>20</v>
      </c>
    </row>
    <row r="4129" spans="3:4" x14ac:dyDescent="0.2">
      <c r="C4129" t="s">
        <v>4345</v>
      </c>
      <c r="D4129" s="13">
        <v>20</v>
      </c>
    </row>
    <row r="4130" spans="3:4" x14ac:dyDescent="0.2">
      <c r="C4130" t="s">
        <v>5403</v>
      </c>
      <c r="D4130" s="13">
        <v>20</v>
      </c>
    </row>
    <row r="4131" spans="3:4" x14ac:dyDescent="0.2">
      <c r="C4131" t="s">
        <v>563</v>
      </c>
      <c r="D4131" s="13">
        <v>20</v>
      </c>
    </row>
    <row r="4132" spans="3:4" x14ac:dyDescent="0.2">
      <c r="C4132" t="s">
        <v>2096</v>
      </c>
      <c r="D4132" s="13">
        <v>20</v>
      </c>
    </row>
    <row r="4133" spans="3:4" x14ac:dyDescent="0.2">
      <c r="C4133" t="s">
        <v>3305</v>
      </c>
      <c r="D4133" s="13">
        <v>20</v>
      </c>
    </row>
    <row r="4134" spans="3:4" x14ac:dyDescent="0.2">
      <c r="C4134" t="s">
        <v>5788</v>
      </c>
      <c r="D4134" s="13">
        <v>20</v>
      </c>
    </row>
    <row r="4135" spans="3:4" x14ac:dyDescent="0.2">
      <c r="C4135" t="s">
        <v>7258</v>
      </c>
      <c r="D4135" s="13">
        <v>20</v>
      </c>
    </row>
    <row r="4136" spans="3:4" x14ac:dyDescent="0.2">
      <c r="C4136" t="s">
        <v>4536</v>
      </c>
      <c r="D4136" s="13">
        <v>20</v>
      </c>
    </row>
    <row r="4137" spans="3:4" x14ac:dyDescent="0.2">
      <c r="C4137" t="s">
        <v>7448</v>
      </c>
      <c r="D4137" s="13">
        <v>20</v>
      </c>
    </row>
    <row r="4138" spans="3:4" x14ac:dyDescent="0.2">
      <c r="C4138" t="s">
        <v>7604</v>
      </c>
      <c r="D4138" s="13">
        <v>20</v>
      </c>
    </row>
    <row r="4139" spans="3:4" x14ac:dyDescent="0.2">
      <c r="C4139" t="s">
        <v>2157</v>
      </c>
      <c r="D4139" s="13">
        <v>20</v>
      </c>
    </row>
    <row r="4140" spans="3:4" x14ac:dyDescent="0.2">
      <c r="C4140" t="s">
        <v>6128</v>
      </c>
      <c r="D4140" s="13">
        <v>20</v>
      </c>
    </row>
    <row r="4141" spans="3:4" x14ac:dyDescent="0.2">
      <c r="C4141" t="s">
        <v>1327</v>
      </c>
      <c r="D4141" s="13">
        <v>20</v>
      </c>
    </row>
    <row r="4142" spans="3:4" x14ac:dyDescent="0.2">
      <c r="C4142" t="s">
        <v>2155</v>
      </c>
      <c r="D4142" s="13">
        <v>20</v>
      </c>
    </row>
    <row r="4143" spans="3:4" x14ac:dyDescent="0.2">
      <c r="C4143" t="s">
        <v>3196</v>
      </c>
      <c r="D4143" s="13">
        <v>20</v>
      </c>
    </row>
    <row r="4144" spans="3:4" x14ac:dyDescent="0.2">
      <c r="C4144" t="s">
        <v>4620</v>
      </c>
      <c r="D4144" s="13">
        <v>20</v>
      </c>
    </row>
    <row r="4145" spans="3:4" x14ac:dyDescent="0.2">
      <c r="C4145" t="s">
        <v>4973</v>
      </c>
      <c r="D4145" s="13">
        <v>20</v>
      </c>
    </row>
    <row r="4146" spans="3:4" x14ac:dyDescent="0.2">
      <c r="C4146" t="s">
        <v>5042</v>
      </c>
      <c r="D4146" s="13">
        <v>20</v>
      </c>
    </row>
    <row r="4147" spans="3:4" x14ac:dyDescent="0.2">
      <c r="C4147" t="s">
        <v>5911</v>
      </c>
      <c r="D4147" s="13">
        <v>20</v>
      </c>
    </row>
    <row r="4148" spans="3:4" x14ac:dyDescent="0.2">
      <c r="C4148" t="s">
        <v>7393</v>
      </c>
      <c r="D4148" s="13">
        <v>20</v>
      </c>
    </row>
    <row r="4149" spans="3:4" x14ac:dyDescent="0.2">
      <c r="C4149" t="s">
        <v>7708</v>
      </c>
      <c r="D4149" s="13">
        <v>20</v>
      </c>
    </row>
    <row r="4150" spans="3:4" x14ac:dyDescent="0.2">
      <c r="C4150" t="s">
        <v>8360</v>
      </c>
      <c r="D4150" s="13">
        <v>20</v>
      </c>
    </row>
    <row r="4151" spans="3:4" x14ac:dyDescent="0.2">
      <c r="C4151" t="s">
        <v>1185</v>
      </c>
      <c r="D4151" s="13">
        <v>20</v>
      </c>
    </row>
    <row r="4152" spans="3:4" x14ac:dyDescent="0.2">
      <c r="C4152" t="s">
        <v>1839</v>
      </c>
      <c r="D4152" s="13">
        <v>20</v>
      </c>
    </row>
    <row r="4153" spans="3:4" x14ac:dyDescent="0.2">
      <c r="C4153" t="s">
        <v>3391</v>
      </c>
      <c r="D4153" s="13">
        <v>20</v>
      </c>
    </row>
    <row r="4154" spans="3:4" x14ac:dyDescent="0.2">
      <c r="C4154" t="s">
        <v>4817</v>
      </c>
      <c r="D4154" s="13">
        <v>20</v>
      </c>
    </row>
    <row r="4155" spans="3:4" x14ac:dyDescent="0.2">
      <c r="C4155" t="s">
        <v>5127</v>
      </c>
      <c r="D4155" s="13">
        <v>20</v>
      </c>
    </row>
    <row r="4156" spans="3:4" x14ac:dyDescent="0.2">
      <c r="C4156" t="s">
        <v>5512</v>
      </c>
      <c r="D4156" s="13">
        <v>20</v>
      </c>
    </row>
    <row r="4157" spans="3:4" x14ac:dyDescent="0.2">
      <c r="C4157" t="s">
        <v>5743</v>
      </c>
      <c r="D4157" s="13">
        <v>20</v>
      </c>
    </row>
    <row r="4158" spans="3:4" x14ac:dyDescent="0.2">
      <c r="C4158" t="s">
        <v>6581</v>
      </c>
      <c r="D4158" s="13">
        <v>20</v>
      </c>
    </row>
    <row r="4159" spans="3:4" x14ac:dyDescent="0.2">
      <c r="C4159" t="s">
        <v>8043</v>
      </c>
      <c r="D4159" s="13">
        <v>20</v>
      </c>
    </row>
    <row r="4160" spans="3:4" x14ac:dyDescent="0.2">
      <c r="C4160" t="s">
        <v>8438</v>
      </c>
      <c r="D4160" s="13">
        <v>20</v>
      </c>
    </row>
    <row r="4161" spans="3:4" x14ac:dyDescent="0.2">
      <c r="C4161" t="s">
        <v>8531</v>
      </c>
      <c r="D4161" s="13">
        <v>20</v>
      </c>
    </row>
    <row r="4162" spans="3:4" x14ac:dyDescent="0.2">
      <c r="C4162" t="s">
        <v>1039</v>
      </c>
      <c r="D4162" s="13">
        <v>20</v>
      </c>
    </row>
    <row r="4163" spans="3:4" x14ac:dyDescent="0.2">
      <c r="C4163" t="s">
        <v>1911</v>
      </c>
      <c r="D4163" s="13">
        <v>20</v>
      </c>
    </row>
    <row r="4164" spans="3:4" x14ac:dyDescent="0.2">
      <c r="C4164" t="s">
        <v>2749</v>
      </c>
      <c r="D4164" s="13">
        <v>20</v>
      </c>
    </row>
    <row r="4165" spans="3:4" x14ac:dyDescent="0.2">
      <c r="C4165" t="s">
        <v>3204</v>
      </c>
      <c r="D4165" s="13">
        <v>20</v>
      </c>
    </row>
    <row r="4166" spans="3:4" x14ac:dyDescent="0.2">
      <c r="C4166" t="s">
        <v>3695</v>
      </c>
      <c r="D4166" s="13">
        <v>20</v>
      </c>
    </row>
    <row r="4167" spans="3:4" x14ac:dyDescent="0.2">
      <c r="C4167" t="s">
        <v>5582</v>
      </c>
      <c r="D4167" s="13">
        <v>20</v>
      </c>
    </row>
    <row r="4168" spans="3:4" x14ac:dyDescent="0.2">
      <c r="C4168" t="s">
        <v>7562</v>
      </c>
      <c r="D4168" s="13">
        <v>20</v>
      </c>
    </row>
    <row r="4169" spans="3:4" x14ac:dyDescent="0.2">
      <c r="C4169" t="s">
        <v>719</v>
      </c>
      <c r="D4169" s="13">
        <v>20</v>
      </c>
    </row>
    <row r="4170" spans="3:4" x14ac:dyDescent="0.2">
      <c r="C4170" t="s">
        <v>743</v>
      </c>
      <c r="D4170" s="13">
        <v>20</v>
      </c>
    </row>
    <row r="4171" spans="3:4" x14ac:dyDescent="0.2">
      <c r="C4171" t="s">
        <v>1059</v>
      </c>
      <c r="D4171" s="13">
        <v>20</v>
      </c>
    </row>
    <row r="4172" spans="3:4" x14ac:dyDescent="0.2">
      <c r="C4172" t="s">
        <v>2256</v>
      </c>
      <c r="D4172" s="13">
        <v>20</v>
      </c>
    </row>
    <row r="4173" spans="3:4" x14ac:dyDescent="0.2">
      <c r="C4173" t="s">
        <v>2258</v>
      </c>
      <c r="D4173" s="13">
        <v>20</v>
      </c>
    </row>
    <row r="4174" spans="3:4" x14ac:dyDescent="0.2">
      <c r="C4174" t="s">
        <v>2830</v>
      </c>
      <c r="D4174" s="13">
        <v>20</v>
      </c>
    </row>
    <row r="4175" spans="3:4" x14ac:dyDescent="0.2">
      <c r="C4175" t="s">
        <v>3337</v>
      </c>
      <c r="D4175" s="13">
        <v>20</v>
      </c>
    </row>
    <row r="4176" spans="3:4" x14ac:dyDescent="0.2">
      <c r="C4176" t="s">
        <v>3672</v>
      </c>
      <c r="D4176" s="13">
        <v>20</v>
      </c>
    </row>
    <row r="4177" spans="3:4" x14ac:dyDescent="0.2">
      <c r="C4177" t="s">
        <v>3838</v>
      </c>
      <c r="D4177" s="13">
        <v>20</v>
      </c>
    </row>
    <row r="4178" spans="3:4" x14ac:dyDescent="0.2">
      <c r="C4178" t="s">
        <v>4285</v>
      </c>
      <c r="D4178" s="13">
        <v>20</v>
      </c>
    </row>
    <row r="4179" spans="3:4" x14ac:dyDescent="0.2">
      <c r="C4179" t="s">
        <v>4346</v>
      </c>
      <c r="D4179" s="13">
        <v>20</v>
      </c>
    </row>
    <row r="4180" spans="3:4" x14ac:dyDescent="0.2">
      <c r="C4180" t="s">
        <v>6213</v>
      </c>
      <c r="D4180" s="13">
        <v>20</v>
      </c>
    </row>
    <row r="4181" spans="3:4" x14ac:dyDescent="0.2">
      <c r="C4181" t="s">
        <v>6844</v>
      </c>
      <c r="D4181" s="13">
        <v>20</v>
      </c>
    </row>
    <row r="4182" spans="3:4" x14ac:dyDescent="0.2">
      <c r="C4182" t="s">
        <v>7462</v>
      </c>
      <c r="D4182" s="13">
        <v>20</v>
      </c>
    </row>
    <row r="4183" spans="3:4" x14ac:dyDescent="0.2">
      <c r="C4183" t="s">
        <v>1496</v>
      </c>
      <c r="D4183" s="13">
        <v>20</v>
      </c>
    </row>
    <row r="4184" spans="3:4" x14ac:dyDescent="0.2">
      <c r="C4184" t="s">
        <v>1553</v>
      </c>
      <c r="D4184" s="13">
        <v>20</v>
      </c>
    </row>
    <row r="4185" spans="3:4" x14ac:dyDescent="0.2">
      <c r="C4185" t="s">
        <v>5875</v>
      </c>
      <c r="D4185" s="13">
        <v>20</v>
      </c>
    </row>
    <row r="4186" spans="3:4" x14ac:dyDescent="0.2">
      <c r="C4186" t="s">
        <v>336</v>
      </c>
      <c r="D4186" s="13">
        <v>20</v>
      </c>
    </row>
    <row r="4187" spans="3:4" x14ac:dyDescent="0.2">
      <c r="C4187" t="s">
        <v>2536</v>
      </c>
      <c r="D4187" s="13">
        <v>20</v>
      </c>
    </row>
    <row r="4188" spans="3:4" x14ac:dyDescent="0.2">
      <c r="C4188" t="s">
        <v>3003</v>
      </c>
      <c r="D4188" s="13">
        <v>20</v>
      </c>
    </row>
    <row r="4189" spans="3:4" x14ac:dyDescent="0.2">
      <c r="C4189" t="s">
        <v>4501</v>
      </c>
      <c r="D4189" s="13">
        <v>20</v>
      </c>
    </row>
    <row r="4190" spans="3:4" x14ac:dyDescent="0.2">
      <c r="C4190" t="s">
        <v>5645</v>
      </c>
      <c r="D4190" s="13">
        <v>20</v>
      </c>
    </row>
    <row r="4191" spans="3:4" x14ac:dyDescent="0.2">
      <c r="C4191" t="s">
        <v>6358</v>
      </c>
      <c r="D4191" s="13">
        <v>20</v>
      </c>
    </row>
    <row r="4192" spans="3:4" x14ac:dyDescent="0.2">
      <c r="C4192" t="s">
        <v>6418</v>
      </c>
      <c r="D4192" s="13">
        <v>20</v>
      </c>
    </row>
    <row r="4193" spans="3:4" x14ac:dyDescent="0.2">
      <c r="C4193" t="s">
        <v>7257</v>
      </c>
      <c r="D4193" s="13">
        <v>20</v>
      </c>
    </row>
    <row r="4194" spans="3:4" x14ac:dyDescent="0.2">
      <c r="C4194" t="s">
        <v>2165</v>
      </c>
      <c r="D4194" s="13">
        <v>20</v>
      </c>
    </row>
    <row r="4195" spans="3:4" x14ac:dyDescent="0.2">
      <c r="C4195" t="s">
        <v>3481</v>
      </c>
      <c r="D4195" s="13">
        <v>20</v>
      </c>
    </row>
    <row r="4196" spans="3:4" x14ac:dyDescent="0.2">
      <c r="C4196" t="s">
        <v>288</v>
      </c>
      <c r="D4196" s="13">
        <v>20</v>
      </c>
    </row>
    <row r="4197" spans="3:4" x14ac:dyDescent="0.2">
      <c r="C4197" t="s">
        <v>3994</v>
      </c>
      <c r="D4197" s="13">
        <v>20</v>
      </c>
    </row>
    <row r="4198" spans="3:4" x14ac:dyDescent="0.2">
      <c r="C4198" t="s">
        <v>6097</v>
      </c>
      <c r="D4198" s="13">
        <v>20</v>
      </c>
    </row>
    <row r="4199" spans="3:4" x14ac:dyDescent="0.2">
      <c r="C4199" t="s">
        <v>250</v>
      </c>
      <c r="D4199" s="13">
        <v>20</v>
      </c>
    </row>
    <row r="4200" spans="3:4" x14ac:dyDescent="0.2">
      <c r="C4200" t="s">
        <v>684</v>
      </c>
      <c r="D4200" s="13">
        <v>20</v>
      </c>
    </row>
    <row r="4201" spans="3:4" x14ac:dyDescent="0.2">
      <c r="C4201" t="s">
        <v>2828</v>
      </c>
      <c r="D4201" s="13">
        <v>20</v>
      </c>
    </row>
    <row r="4202" spans="3:4" x14ac:dyDescent="0.2">
      <c r="C4202" t="s">
        <v>3635</v>
      </c>
      <c r="D4202" s="13">
        <v>20</v>
      </c>
    </row>
    <row r="4203" spans="3:4" x14ac:dyDescent="0.2">
      <c r="C4203" t="s">
        <v>3691</v>
      </c>
      <c r="D4203" s="13">
        <v>20</v>
      </c>
    </row>
    <row r="4204" spans="3:4" x14ac:dyDescent="0.2">
      <c r="C4204" t="s">
        <v>6991</v>
      </c>
      <c r="D4204" s="13">
        <v>20</v>
      </c>
    </row>
    <row r="4205" spans="3:4" x14ac:dyDescent="0.2">
      <c r="C4205" t="s">
        <v>3525</v>
      </c>
      <c r="D4205" s="13">
        <v>20</v>
      </c>
    </row>
    <row r="4206" spans="3:4" x14ac:dyDescent="0.2">
      <c r="C4206" t="s">
        <v>3759</v>
      </c>
      <c r="D4206" s="13">
        <v>20</v>
      </c>
    </row>
    <row r="4207" spans="3:4" x14ac:dyDescent="0.2">
      <c r="C4207" t="s">
        <v>4005</v>
      </c>
      <c r="D4207" s="13">
        <v>20</v>
      </c>
    </row>
    <row r="4208" spans="3:4" x14ac:dyDescent="0.2">
      <c r="C4208" t="s">
        <v>6261</v>
      </c>
      <c r="D4208" s="13">
        <v>20</v>
      </c>
    </row>
    <row r="4209" spans="3:4" x14ac:dyDescent="0.2">
      <c r="C4209" t="s">
        <v>6350</v>
      </c>
      <c r="D4209" s="13">
        <v>20</v>
      </c>
    </row>
    <row r="4210" spans="3:4" x14ac:dyDescent="0.2">
      <c r="C4210" t="s">
        <v>1751</v>
      </c>
      <c r="D4210" s="13">
        <v>20</v>
      </c>
    </row>
    <row r="4211" spans="3:4" x14ac:dyDescent="0.2">
      <c r="C4211" t="s">
        <v>2284</v>
      </c>
      <c r="D4211" s="13">
        <v>20</v>
      </c>
    </row>
    <row r="4212" spans="3:4" x14ac:dyDescent="0.2">
      <c r="C4212" t="s">
        <v>3820</v>
      </c>
      <c r="D4212" s="13">
        <v>20</v>
      </c>
    </row>
    <row r="4213" spans="3:4" x14ac:dyDescent="0.2">
      <c r="C4213" t="s">
        <v>3867</v>
      </c>
      <c r="D4213" s="13">
        <v>20</v>
      </c>
    </row>
    <row r="4214" spans="3:4" x14ac:dyDescent="0.2">
      <c r="C4214" t="s">
        <v>5867</v>
      </c>
      <c r="D4214" s="13">
        <v>20</v>
      </c>
    </row>
    <row r="4215" spans="3:4" x14ac:dyDescent="0.2">
      <c r="C4215" t="s">
        <v>6344</v>
      </c>
      <c r="D4215" s="13">
        <v>20</v>
      </c>
    </row>
    <row r="4216" spans="3:4" x14ac:dyDescent="0.2">
      <c r="C4216" t="s">
        <v>7134</v>
      </c>
      <c r="D4216" s="13">
        <v>20</v>
      </c>
    </row>
    <row r="4217" spans="3:4" x14ac:dyDescent="0.2">
      <c r="C4217" t="s">
        <v>7544</v>
      </c>
      <c r="D4217" s="13">
        <v>20</v>
      </c>
    </row>
    <row r="4218" spans="3:4" x14ac:dyDescent="0.2">
      <c r="C4218" t="s">
        <v>7684</v>
      </c>
      <c r="D4218" s="13">
        <v>20</v>
      </c>
    </row>
    <row r="4219" spans="3:4" x14ac:dyDescent="0.2">
      <c r="C4219" t="s">
        <v>1797</v>
      </c>
      <c r="D4219" s="13">
        <v>20</v>
      </c>
    </row>
    <row r="4220" spans="3:4" x14ac:dyDescent="0.2">
      <c r="C4220" t="s">
        <v>2054</v>
      </c>
      <c r="D4220" s="13">
        <v>20</v>
      </c>
    </row>
    <row r="4221" spans="3:4" x14ac:dyDescent="0.2">
      <c r="C4221" t="s">
        <v>3795</v>
      </c>
      <c r="D4221" s="13">
        <v>20</v>
      </c>
    </row>
    <row r="4222" spans="3:4" x14ac:dyDescent="0.2">
      <c r="C4222" t="s">
        <v>3896</v>
      </c>
      <c r="D4222" s="13">
        <v>20</v>
      </c>
    </row>
    <row r="4223" spans="3:4" x14ac:dyDescent="0.2">
      <c r="C4223" t="s">
        <v>4049</v>
      </c>
      <c r="D4223" s="13">
        <v>20</v>
      </c>
    </row>
    <row r="4224" spans="3:4" x14ac:dyDescent="0.2">
      <c r="C4224" t="s">
        <v>4986</v>
      </c>
      <c r="D4224" s="13">
        <v>20</v>
      </c>
    </row>
    <row r="4225" spans="3:4" x14ac:dyDescent="0.2">
      <c r="C4225" t="s">
        <v>5174</v>
      </c>
      <c r="D4225" s="13">
        <v>20</v>
      </c>
    </row>
    <row r="4226" spans="3:4" x14ac:dyDescent="0.2">
      <c r="C4226" t="s">
        <v>5227</v>
      </c>
      <c r="D4226" s="13">
        <v>20</v>
      </c>
    </row>
    <row r="4227" spans="3:4" x14ac:dyDescent="0.2">
      <c r="C4227" t="s">
        <v>5909</v>
      </c>
      <c r="D4227" s="13">
        <v>20</v>
      </c>
    </row>
    <row r="4228" spans="3:4" x14ac:dyDescent="0.2">
      <c r="C4228" t="s">
        <v>6698</v>
      </c>
      <c r="D4228" s="13">
        <v>20</v>
      </c>
    </row>
    <row r="4229" spans="3:4" x14ac:dyDescent="0.2">
      <c r="C4229" t="s">
        <v>7616</v>
      </c>
      <c r="D4229" s="13">
        <v>20</v>
      </c>
    </row>
    <row r="4230" spans="3:4" x14ac:dyDescent="0.2">
      <c r="C4230" t="s">
        <v>8213</v>
      </c>
      <c r="D4230" s="13">
        <v>20</v>
      </c>
    </row>
    <row r="4231" spans="3:4" x14ac:dyDescent="0.2">
      <c r="C4231" t="s">
        <v>5518</v>
      </c>
      <c r="D4231" s="13">
        <v>20</v>
      </c>
    </row>
    <row r="4232" spans="3:4" x14ac:dyDescent="0.2">
      <c r="C4232" t="s">
        <v>7395</v>
      </c>
      <c r="D4232" s="13">
        <v>20</v>
      </c>
    </row>
    <row r="4233" spans="3:4" x14ac:dyDescent="0.2">
      <c r="C4233" t="s">
        <v>7714</v>
      </c>
      <c r="D4233" s="13">
        <v>20</v>
      </c>
    </row>
    <row r="4234" spans="3:4" x14ac:dyDescent="0.2">
      <c r="C4234" t="s">
        <v>8027</v>
      </c>
      <c r="D4234" s="13">
        <v>20</v>
      </c>
    </row>
    <row r="4235" spans="3:4" x14ac:dyDescent="0.2">
      <c r="C4235" t="s">
        <v>3988</v>
      </c>
      <c r="D4235" s="13">
        <v>20</v>
      </c>
    </row>
    <row r="4236" spans="3:4" x14ac:dyDescent="0.2">
      <c r="C4236" t="s">
        <v>351</v>
      </c>
      <c r="D4236" s="13">
        <v>20</v>
      </c>
    </row>
    <row r="4237" spans="3:4" x14ac:dyDescent="0.2">
      <c r="C4237" t="s">
        <v>3180</v>
      </c>
      <c r="D4237" s="13">
        <v>20</v>
      </c>
    </row>
    <row r="4238" spans="3:4" x14ac:dyDescent="0.2">
      <c r="C4238" t="s">
        <v>4543</v>
      </c>
      <c r="D4238" s="13">
        <v>20</v>
      </c>
    </row>
    <row r="4239" spans="3:4" x14ac:dyDescent="0.2">
      <c r="C4239" t="s">
        <v>6271</v>
      </c>
      <c r="D4239" s="13">
        <v>20</v>
      </c>
    </row>
    <row r="4240" spans="3:4" x14ac:dyDescent="0.2">
      <c r="C4240" t="s">
        <v>6468</v>
      </c>
      <c r="D4240" s="13">
        <v>20</v>
      </c>
    </row>
    <row r="4241" spans="3:4" x14ac:dyDescent="0.2">
      <c r="C4241" t="s">
        <v>6910</v>
      </c>
      <c r="D4241" s="13">
        <v>20</v>
      </c>
    </row>
    <row r="4242" spans="3:4" x14ac:dyDescent="0.2">
      <c r="C4242" t="s">
        <v>7696</v>
      </c>
      <c r="D4242" s="13">
        <v>20</v>
      </c>
    </row>
    <row r="4243" spans="3:4" x14ac:dyDescent="0.2">
      <c r="C4243" t="s">
        <v>2118</v>
      </c>
      <c r="D4243" s="13">
        <v>20</v>
      </c>
    </row>
    <row r="4244" spans="3:4" x14ac:dyDescent="0.2">
      <c r="C4244" t="s">
        <v>2479</v>
      </c>
      <c r="D4244" s="13">
        <v>20</v>
      </c>
    </row>
    <row r="4245" spans="3:4" x14ac:dyDescent="0.2">
      <c r="C4245" t="s">
        <v>7128</v>
      </c>
      <c r="D4245" s="13">
        <v>20</v>
      </c>
    </row>
    <row r="4246" spans="3:4" x14ac:dyDescent="0.2">
      <c r="C4246" t="s">
        <v>8424</v>
      </c>
      <c r="D4246" s="13">
        <v>20</v>
      </c>
    </row>
    <row r="4247" spans="3:4" x14ac:dyDescent="0.2">
      <c r="C4247" t="s">
        <v>2199</v>
      </c>
      <c r="D4247" s="13">
        <v>20</v>
      </c>
    </row>
    <row r="4248" spans="3:4" x14ac:dyDescent="0.2">
      <c r="C4248" t="s">
        <v>3676</v>
      </c>
      <c r="D4248" s="13">
        <v>20</v>
      </c>
    </row>
    <row r="4249" spans="3:4" x14ac:dyDescent="0.2">
      <c r="C4249" t="s">
        <v>5206</v>
      </c>
      <c r="D4249" s="13">
        <v>20</v>
      </c>
    </row>
    <row r="4250" spans="3:4" x14ac:dyDescent="0.2">
      <c r="C4250" t="s">
        <v>6454</v>
      </c>
      <c r="D4250" s="13">
        <v>20</v>
      </c>
    </row>
    <row r="4251" spans="3:4" x14ac:dyDescent="0.2">
      <c r="C4251" t="s">
        <v>8612</v>
      </c>
      <c r="D4251" s="13">
        <v>20</v>
      </c>
    </row>
    <row r="4252" spans="3:4" x14ac:dyDescent="0.2">
      <c r="C4252" t="s">
        <v>457</v>
      </c>
      <c r="D4252" s="13">
        <v>20</v>
      </c>
    </row>
    <row r="4253" spans="3:4" x14ac:dyDescent="0.2">
      <c r="C4253" t="s">
        <v>715</v>
      </c>
      <c r="D4253" s="13">
        <v>20</v>
      </c>
    </row>
    <row r="4254" spans="3:4" x14ac:dyDescent="0.2">
      <c r="C4254" t="s">
        <v>741</v>
      </c>
      <c r="D4254" s="13">
        <v>20</v>
      </c>
    </row>
    <row r="4255" spans="3:4" x14ac:dyDescent="0.2">
      <c r="C4255" t="s">
        <v>1596</v>
      </c>
      <c r="D4255" s="13">
        <v>20</v>
      </c>
    </row>
    <row r="4256" spans="3:4" x14ac:dyDescent="0.2">
      <c r="C4256" t="s">
        <v>2615</v>
      </c>
      <c r="D4256" s="13">
        <v>20</v>
      </c>
    </row>
    <row r="4257" spans="3:4" x14ac:dyDescent="0.2">
      <c r="C4257" t="s">
        <v>3236</v>
      </c>
      <c r="D4257" s="13">
        <v>20</v>
      </c>
    </row>
    <row r="4258" spans="3:4" x14ac:dyDescent="0.2">
      <c r="C4258" t="s">
        <v>4329</v>
      </c>
      <c r="D4258" s="13">
        <v>20</v>
      </c>
    </row>
    <row r="4259" spans="3:4" x14ac:dyDescent="0.2">
      <c r="C4259" t="s">
        <v>5383</v>
      </c>
      <c r="D4259" s="13">
        <v>20</v>
      </c>
    </row>
    <row r="4260" spans="3:4" x14ac:dyDescent="0.2">
      <c r="C4260" t="s">
        <v>5436</v>
      </c>
      <c r="D4260" s="13">
        <v>20</v>
      </c>
    </row>
    <row r="4261" spans="3:4" x14ac:dyDescent="0.2">
      <c r="C4261" t="s">
        <v>5701</v>
      </c>
      <c r="D4261" s="13">
        <v>20</v>
      </c>
    </row>
    <row r="4262" spans="3:4" x14ac:dyDescent="0.2">
      <c r="C4262" t="s">
        <v>6433</v>
      </c>
      <c r="D4262" s="13">
        <v>20</v>
      </c>
    </row>
    <row r="4263" spans="3:4" x14ac:dyDescent="0.2">
      <c r="C4263" t="s">
        <v>7120</v>
      </c>
      <c r="D4263" s="13">
        <v>20</v>
      </c>
    </row>
    <row r="4264" spans="3:4" x14ac:dyDescent="0.2">
      <c r="C4264" t="s">
        <v>8512</v>
      </c>
      <c r="D4264" s="13">
        <v>20</v>
      </c>
    </row>
    <row r="4265" spans="3:4" x14ac:dyDescent="0.2">
      <c r="C4265" t="s">
        <v>2657</v>
      </c>
      <c r="D4265" s="13">
        <v>20</v>
      </c>
    </row>
    <row r="4266" spans="3:4" x14ac:dyDescent="0.2">
      <c r="C4266" t="s">
        <v>2658</v>
      </c>
      <c r="D4266" s="13">
        <v>20</v>
      </c>
    </row>
    <row r="4267" spans="3:4" x14ac:dyDescent="0.2">
      <c r="C4267" t="s">
        <v>2987</v>
      </c>
      <c r="D4267" s="13">
        <v>20</v>
      </c>
    </row>
    <row r="4268" spans="3:4" x14ac:dyDescent="0.2">
      <c r="C4268" t="s">
        <v>7601</v>
      </c>
      <c r="D4268" s="13">
        <v>20</v>
      </c>
    </row>
    <row r="4269" spans="3:4" x14ac:dyDescent="0.2">
      <c r="C4269" t="s">
        <v>131</v>
      </c>
      <c r="D4269" s="13">
        <v>20</v>
      </c>
    </row>
    <row r="4270" spans="3:4" x14ac:dyDescent="0.2">
      <c r="C4270" t="s">
        <v>1707</v>
      </c>
      <c r="D4270" s="13">
        <v>20</v>
      </c>
    </row>
    <row r="4271" spans="3:4" x14ac:dyDescent="0.2">
      <c r="C4271" t="s">
        <v>5411</v>
      </c>
      <c r="D4271" s="13">
        <v>20</v>
      </c>
    </row>
    <row r="4272" spans="3:4" x14ac:dyDescent="0.2">
      <c r="C4272" t="s">
        <v>5954</v>
      </c>
      <c r="D4272" s="13">
        <v>20</v>
      </c>
    </row>
    <row r="4273" spans="3:4" x14ac:dyDescent="0.2">
      <c r="C4273" t="s">
        <v>6593</v>
      </c>
      <c r="D4273" s="13">
        <v>20</v>
      </c>
    </row>
    <row r="4274" spans="3:4" x14ac:dyDescent="0.2">
      <c r="C4274" t="s">
        <v>8071</v>
      </c>
      <c r="D4274" s="13">
        <v>20</v>
      </c>
    </row>
    <row r="4275" spans="3:4" x14ac:dyDescent="0.2">
      <c r="C4275" t="s">
        <v>4691</v>
      </c>
      <c r="D4275" s="13">
        <v>20</v>
      </c>
    </row>
    <row r="4276" spans="3:4" x14ac:dyDescent="0.2">
      <c r="C4276" t="s">
        <v>397</v>
      </c>
      <c r="D4276" s="13">
        <v>20</v>
      </c>
    </row>
    <row r="4277" spans="3:4" x14ac:dyDescent="0.2">
      <c r="C4277" t="s">
        <v>7564</v>
      </c>
      <c r="D4277" s="13">
        <v>20</v>
      </c>
    </row>
    <row r="4278" spans="3:4" x14ac:dyDescent="0.2">
      <c r="C4278" t="s">
        <v>1601</v>
      </c>
      <c r="D4278" s="13">
        <v>20</v>
      </c>
    </row>
    <row r="4279" spans="3:4" x14ac:dyDescent="0.2">
      <c r="C4279" t="s">
        <v>4578</v>
      </c>
      <c r="D4279" s="13">
        <v>20</v>
      </c>
    </row>
    <row r="4280" spans="3:4" x14ac:dyDescent="0.2">
      <c r="C4280" t="s">
        <v>1380</v>
      </c>
      <c r="D4280" s="13">
        <v>20</v>
      </c>
    </row>
    <row r="4281" spans="3:4" x14ac:dyDescent="0.2">
      <c r="C4281" t="s">
        <v>1492</v>
      </c>
      <c r="D4281" s="13">
        <v>20</v>
      </c>
    </row>
    <row r="4282" spans="3:4" x14ac:dyDescent="0.2">
      <c r="C4282" t="s">
        <v>3348</v>
      </c>
      <c r="D4282" s="13">
        <v>20</v>
      </c>
    </row>
    <row r="4283" spans="3:4" x14ac:dyDescent="0.2">
      <c r="C4283" t="s">
        <v>5358</v>
      </c>
      <c r="D4283" s="13">
        <v>20</v>
      </c>
    </row>
    <row r="4284" spans="3:4" x14ac:dyDescent="0.2">
      <c r="C4284" t="s">
        <v>6168</v>
      </c>
      <c r="D4284" s="13">
        <v>20</v>
      </c>
    </row>
    <row r="4285" spans="3:4" x14ac:dyDescent="0.2">
      <c r="C4285" t="s">
        <v>6501</v>
      </c>
      <c r="D4285" s="13">
        <v>20</v>
      </c>
    </row>
    <row r="4286" spans="3:4" x14ac:dyDescent="0.2">
      <c r="C4286" t="s">
        <v>7614</v>
      </c>
      <c r="D4286" s="13">
        <v>20</v>
      </c>
    </row>
    <row r="4287" spans="3:4" x14ac:dyDescent="0.2">
      <c r="C4287" t="s">
        <v>8029</v>
      </c>
      <c r="D4287" s="13">
        <v>20</v>
      </c>
    </row>
    <row r="4288" spans="3:4" x14ac:dyDescent="0.2">
      <c r="C4288" t="s">
        <v>925</v>
      </c>
      <c r="D4288" s="13">
        <v>20</v>
      </c>
    </row>
    <row r="4289" spans="3:4" x14ac:dyDescent="0.2">
      <c r="C4289" t="s">
        <v>7602</v>
      </c>
      <c r="D4289" s="13">
        <v>20</v>
      </c>
    </row>
    <row r="4290" spans="3:4" x14ac:dyDescent="0.2">
      <c r="C4290" t="s">
        <v>4977</v>
      </c>
      <c r="D4290" s="13">
        <v>20</v>
      </c>
    </row>
    <row r="4291" spans="3:4" x14ac:dyDescent="0.2">
      <c r="C4291" t="s">
        <v>6931</v>
      </c>
      <c r="D4291" s="13">
        <v>20</v>
      </c>
    </row>
    <row r="4292" spans="3:4" x14ac:dyDescent="0.2">
      <c r="C4292" t="s">
        <v>2690</v>
      </c>
      <c r="D4292" s="13">
        <v>20</v>
      </c>
    </row>
    <row r="4293" spans="3:4" x14ac:dyDescent="0.2">
      <c r="C4293" t="s">
        <v>4428</v>
      </c>
      <c r="D4293" s="13">
        <v>20</v>
      </c>
    </row>
    <row r="4294" spans="3:4" x14ac:dyDescent="0.2">
      <c r="C4294" t="s">
        <v>5789</v>
      </c>
      <c r="D4294" s="13">
        <v>20</v>
      </c>
    </row>
    <row r="4295" spans="3:4" x14ac:dyDescent="0.2">
      <c r="C4295" t="s">
        <v>3623</v>
      </c>
      <c r="D4295" s="13">
        <v>20</v>
      </c>
    </row>
    <row r="4296" spans="3:4" x14ac:dyDescent="0.2">
      <c r="C4296" t="s">
        <v>306</v>
      </c>
      <c r="D4296" s="13">
        <v>20</v>
      </c>
    </row>
    <row r="4297" spans="3:4" x14ac:dyDescent="0.2">
      <c r="C4297" t="s">
        <v>4427</v>
      </c>
      <c r="D4297" s="13">
        <v>20</v>
      </c>
    </row>
    <row r="4298" spans="3:4" x14ac:dyDescent="0.2">
      <c r="C4298" t="s">
        <v>4791</v>
      </c>
      <c r="D4298" s="13">
        <v>20</v>
      </c>
    </row>
    <row r="4299" spans="3:4" x14ac:dyDescent="0.2">
      <c r="C4299" t="s">
        <v>5048</v>
      </c>
      <c r="D4299" s="13">
        <v>20</v>
      </c>
    </row>
    <row r="4300" spans="3:4" x14ac:dyDescent="0.2">
      <c r="C4300" t="s">
        <v>5414</v>
      </c>
      <c r="D4300" s="13">
        <v>20</v>
      </c>
    </row>
    <row r="4301" spans="3:4" x14ac:dyDescent="0.2">
      <c r="C4301" t="s">
        <v>6682</v>
      </c>
      <c r="D4301" s="13">
        <v>20</v>
      </c>
    </row>
    <row r="4302" spans="3:4" x14ac:dyDescent="0.2">
      <c r="C4302" t="s">
        <v>4117</v>
      </c>
      <c r="D4302" s="13">
        <v>20</v>
      </c>
    </row>
    <row r="4303" spans="3:4" x14ac:dyDescent="0.2">
      <c r="C4303" t="s">
        <v>6445</v>
      </c>
      <c r="D4303" s="13">
        <v>20</v>
      </c>
    </row>
    <row r="4304" spans="3:4" x14ac:dyDescent="0.2">
      <c r="C4304" t="s">
        <v>1292</v>
      </c>
      <c r="D4304" s="13">
        <v>20</v>
      </c>
    </row>
    <row r="4305" spans="3:4" x14ac:dyDescent="0.2">
      <c r="C4305" t="s">
        <v>1467</v>
      </c>
      <c r="D4305" s="13">
        <v>20</v>
      </c>
    </row>
    <row r="4306" spans="3:4" x14ac:dyDescent="0.2">
      <c r="C4306" t="s">
        <v>4506</v>
      </c>
      <c r="D4306" s="13">
        <v>20</v>
      </c>
    </row>
    <row r="4307" spans="3:4" x14ac:dyDescent="0.2">
      <c r="C4307" t="s">
        <v>4553</v>
      </c>
      <c r="D4307" s="13">
        <v>20</v>
      </c>
    </row>
    <row r="4308" spans="3:4" x14ac:dyDescent="0.2">
      <c r="C4308" t="s">
        <v>5758</v>
      </c>
      <c r="D4308" s="13">
        <v>20</v>
      </c>
    </row>
    <row r="4309" spans="3:4" x14ac:dyDescent="0.2">
      <c r="C4309" t="s">
        <v>5991</v>
      </c>
      <c r="D4309" s="13">
        <v>20</v>
      </c>
    </row>
    <row r="4310" spans="3:4" x14ac:dyDescent="0.2">
      <c r="C4310" t="s">
        <v>6813</v>
      </c>
      <c r="D4310" s="13">
        <v>20</v>
      </c>
    </row>
    <row r="4311" spans="3:4" x14ac:dyDescent="0.2">
      <c r="C4311" t="s">
        <v>8552</v>
      </c>
      <c r="D4311" s="13">
        <v>20</v>
      </c>
    </row>
    <row r="4312" spans="3:4" x14ac:dyDescent="0.2">
      <c r="C4312" t="s">
        <v>2956</v>
      </c>
      <c r="D4312" s="13">
        <v>20</v>
      </c>
    </row>
    <row r="4313" spans="3:4" x14ac:dyDescent="0.2">
      <c r="C4313" t="s">
        <v>2981</v>
      </c>
      <c r="D4313" s="13">
        <v>20</v>
      </c>
    </row>
    <row r="4314" spans="3:4" x14ac:dyDescent="0.2">
      <c r="C4314" t="s">
        <v>3377</v>
      </c>
      <c r="D4314" s="13">
        <v>20</v>
      </c>
    </row>
    <row r="4315" spans="3:4" x14ac:dyDescent="0.2">
      <c r="C4315" t="s">
        <v>6474</v>
      </c>
      <c r="D4315" s="13">
        <v>20</v>
      </c>
    </row>
    <row r="4316" spans="3:4" x14ac:dyDescent="0.2">
      <c r="C4316" t="s">
        <v>7584</v>
      </c>
      <c r="D4316" s="13">
        <v>20</v>
      </c>
    </row>
    <row r="4317" spans="3:4" x14ac:dyDescent="0.2">
      <c r="C4317" t="s">
        <v>7977</v>
      </c>
      <c r="D4317" s="13">
        <v>20</v>
      </c>
    </row>
    <row r="4318" spans="3:4" x14ac:dyDescent="0.2">
      <c r="C4318" t="s">
        <v>8722</v>
      </c>
      <c r="D4318" s="13">
        <v>20</v>
      </c>
    </row>
    <row r="4319" spans="3:4" x14ac:dyDescent="0.2">
      <c r="C4319" t="s">
        <v>1297</v>
      </c>
      <c r="D4319" s="13">
        <v>20</v>
      </c>
    </row>
    <row r="4320" spans="3:4" x14ac:dyDescent="0.2">
      <c r="C4320" t="s">
        <v>3576</v>
      </c>
      <c r="D4320" s="13">
        <v>20</v>
      </c>
    </row>
    <row r="4321" spans="3:4" x14ac:dyDescent="0.2">
      <c r="C4321" t="s">
        <v>4378</v>
      </c>
      <c r="D4321" s="13">
        <v>20</v>
      </c>
    </row>
    <row r="4322" spans="3:4" x14ac:dyDescent="0.2">
      <c r="C4322" t="s">
        <v>5242</v>
      </c>
      <c r="D4322" s="13">
        <v>20</v>
      </c>
    </row>
    <row r="4323" spans="3:4" x14ac:dyDescent="0.2">
      <c r="C4323" t="s">
        <v>6499</v>
      </c>
      <c r="D4323" s="13">
        <v>20</v>
      </c>
    </row>
    <row r="4324" spans="3:4" x14ac:dyDescent="0.2">
      <c r="C4324" t="s">
        <v>1874</v>
      </c>
      <c r="D4324" s="13">
        <v>20</v>
      </c>
    </row>
    <row r="4325" spans="3:4" x14ac:dyDescent="0.2">
      <c r="C4325" t="s">
        <v>4890</v>
      </c>
      <c r="D4325" s="13">
        <v>20</v>
      </c>
    </row>
    <row r="4326" spans="3:4" x14ac:dyDescent="0.2">
      <c r="C4326" t="s">
        <v>4898</v>
      </c>
      <c r="D4326" s="13">
        <v>20</v>
      </c>
    </row>
    <row r="4327" spans="3:4" x14ac:dyDescent="0.2">
      <c r="C4327" t="s">
        <v>8491</v>
      </c>
      <c r="D4327" s="13">
        <v>20</v>
      </c>
    </row>
    <row r="4328" spans="3:4" x14ac:dyDescent="0.2">
      <c r="C4328" t="s">
        <v>1031</v>
      </c>
      <c r="D4328" s="13">
        <v>20</v>
      </c>
    </row>
    <row r="4329" spans="3:4" x14ac:dyDescent="0.2">
      <c r="C4329" t="s">
        <v>1354</v>
      </c>
      <c r="D4329" s="13">
        <v>20</v>
      </c>
    </row>
    <row r="4330" spans="3:4" x14ac:dyDescent="0.2">
      <c r="C4330" t="s">
        <v>3009</v>
      </c>
      <c r="D4330" s="13">
        <v>20</v>
      </c>
    </row>
    <row r="4331" spans="3:4" x14ac:dyDescent="0.2">
      <c r="C4331" t="s">
        <v>3105</v>
      </c>
      <c r="D4331" s="13">
        <v>20</v>
      </c>
    </row>
    <row r="4332" spans="3:4" x14ac:dyDescent="0.2">
      <c r="C4332" t="s">
        <v>3365</v>
      </c>
      <c r="D4332" s="13">
        <v>20</v>
      </c>
    </row>
    <row r="4333" spans="3:4" x14ac:dyDescent="0.2">
      <c r="C4333" t="s">
        <v>4267</v>
      </c>
      <c r="D4333" s="13">
        <v>20</v>
      </c>
    </row>
    <row r="4334" spans="3:4" x14ac:dyDescent="0.2">
      <c r="C4334" t="s">
        <v>5993</v>
      </c>
      <c r="D4334" s="13">
        <v>20</v>
      </c>
    </row>
    <row r="4335" spans="3:4" x14ac:dyDescent="0.2">
      <c r="C4335" t="s">
        <v>6007</v>
      </c>
      <c r="D4335" s="13">
        <v>20</v>
      </c>
    </row>
    <row r="4336" spans="3:4" x14ac:dyDescent="0.2">
      <c r="C4336" t="s">
        <v>7410</v>
      </c>
      <c r="D4336" s="13">
        <v>20</v>
      </c>
    </row>
    <row r="4337" spans="3:4" x14ac:dyDescent="0.2">
      <c r="C4337" t="s">
        <v>7981</v>
      </c>
      <c r="D4337" s="13">
        <v>20</v>
      </c>
    </row>
    <row r="4338" spans="3:4" x14ac:dyDescent="0.2">
      <c r="C4338" t="s">
        <v>1941</v>
      </c>
      <c r="D4338" s="13">
        <v>20</v>
      </c>
    </row>
    <row r="4339" spans="3:4" x14ac:dyDescent="0.2">
      <c r="C4339" t="s">
        <v>2698</v>
      </c>
      <c r="D4339" s="13">
        <v>20</v>
      </c>
    </row>
    <row r="4340" spans="3:4" x14ac:dyDescent="0.2">
      <c r="C4340" t="s">
        <v>6513</v>
      </c>
      <c r="D4340" s="13">
        <v>20</v>
      </c>
    </row>
    <row r="4341" spans="3:4" x14ac:dyDescent="0.2">
      <c r="C4341" t="s">
        <v>7965</v>
      </c>
      <c r="D4341" s="13">
        <v>20</v>
      </c>
    </row>
    <row r="4342" spans="3:4" x14ac:dyDescent="0.2">
      <c r="C4342" t="s">
        <v>3935</v>
      </c>
      <c r="D4342" s="13">
        <v>20</v>
      </c>
    </row>
    <row r="4343" spans="3:4" x14ac:dyDescent="0.2">
      <c r="C4343" t="s">
        <v>4039</v>
      </c>
      <c r="D4343" s="13">
        <v>20</v>
      </c>
    </row>
    <row r="4344" spans="3:4" x14ac:dyDescent="0.2">
      <c r="C4344" t="s">
        <v>1079</v>
      </c>
      <c r="D4344" s="13">
        <v>20</v>
      </c>
    </row>
    <row r="4345" spans="3:4" x14ac:dyDescent="0.2">
      <c r="C4345" t="s">
        <v>6514</v>
      </c>
      <c r="D4345" s="13">
        <v>20</v>
      </c>
    </row>
    <row r="4346" spans="3:4" x14ac:dyDescent="0.2">
      <c r="C4346" t="s">
        <v>2050</v>
      </c>
      <c r="D4346" s="13">
        <v>20</v>
      </c>
    </row>
    <row r="4347" spans="3:4" x14ac:dyDescent="0.2">
      <c r="C4347" t="s">
        <v>2308</v>
      </c>
      <c r="D4347" s="13">
        <v>20</v>
      </c>
    </row>
    <row r="4348" spans="3:4" x14ac:dyDescent="0.2">
      <c r="C4348" t="s">
        <v>7193</v>
      </c>
      <c r="D4348" s="13">
        <v>20</v>
      </c>
    </row>
    <row r="4349" spans="3:4" x14ac:dyDescent="0.2">
      <c r="C4349" t="s">
        <v>1384</v>
      </c>
      <c r="D4349" s="13">
        <v>20</v>
      </c>
    </row>
    <row r="4350" spans="3:4" x14ac:dyDescent="0.2">
      <c r="C4350" t="s">
        <v>1738</v>
      </c>
      <c r="D4350" s="13">
        <v>20</v>
      </c>
    </row>
    <row r="4351" spans="3:4" x14ac:dyDescent="0.2">
      <c r="C4351" t="s">
        <v>1597</v>
      </c>
      <c r="D4351" s="13">
        <v>20</v>
      </c>
    </row>
    <row r="4352" spans="3:4" x14ac:dyDescent="0.2">
      <c r="C4352" t="s">
        <v>6303</v>
      </c>
      <c r="D4352" s="13">
        <v>20</v>
      </c>
    </row>
    <row r="4353" spans="3:4" x14ac:dyDescent="0.2">
      <c r="C4353" t="s">
        <v>8519</v>
      </c>
      <c r="D4353" s="13">
        <v>20</v>
      </c>
    </row>
    <row r="4354" spans="3:4" x14ac:dyDescent="0.2">
      <c r="C4354" t="s">
        <v>811</v>
      </c>
      <c r="D4354" s="13">
        <v>20</v>
      </c>
    </row>
    <row r="4355" spans="3:4" x14ac:dyDescent="0.2">
      <c r="C4355" t="s">
        <v>2358</v>
      </c>
      <c r="D4355" s="13">
        <v>20</v>
      </c>
    </row>
    <row r="4356" spans="3:4" x14ac:dyDescent="0.2">
      <c r="C4356" t="s">
        <v>5599</v>
      </c>
      <c r="D4356" s="13">
        <v>20</v>
      </c>
    </row>
    <row r="4357" spans="3:4" x14ac:dyDescent="0.2">
      <c r="C4357" t="s">
        <v>6082</v>
      </c>
      <c r="D4357" s="13">
        <v>20</v>
      </c>
    </row>
    <row r="4358" spans="3:4" x14ac:dyDescent="0.2">
      <c r="C4358" t="s">
        <v>6696</v>
      </c>
      <c r="D4358" s="13">
        <v>20</v>
      </c>
    </row>
    <row r="4359" spans="3:4" x14ac:dyDescent="0.2">
      <c r="C4359" t="s">
        <v>3789</v>
      </c>
      <c r="D4359" s="13">
        <v>21</v>
      </c>
    </row>
    <row r="4360" spans="3:4" x14ac:dyDescent="0.2">
      <c r="C4360" t="s">
        <v>8397</v>
      </c>
      <c r="D4360" s="13">
        <v>21</v>
      </c>
    </row>
    <row r="4361" spans="3:4" x14ac:dyDescent="0.2">
      <c r="C4361" t="s">
        <v>4542</v>
      </c>
      <c r="D4361" s="13">
        <v>24</v>
      </c>
    </row>
    <row r="4362" spans="3:4" x14ac:dyDescent="0.2">
      <c r="C4362" t="s">
        <v>6302</v>
      </c>
      <c r="D4362" s="13">
        <v>25</v>
      </c>
    </row>
    <row r="4363" spans="3:4" x14ac:dyDescent="0.2">
      <c r="C4363" t="s">
        <v>7081</v>
      </c>
      <c r="D4363" s="13">
        <v>27</v>
      </c>
    </row>
    <row r="4364" spans="3:4" x14ac:dyDescent="0.2">
      <c r="C4364" t="s">
        <v>7082</v>
      </c>
      <c r="D4364" s="13">
        <v>27</v>
      </c>
    </row>
    <row r="4365" spans="3:4" x14ac:dyDescent="0.2">
      <c r="C4365" t="s">
        <v>7080</v>
      </c>
      <c r="D4365" s="13">
        <v>27</v>
      </c>
    </row>
    <row r="4366" spans="3:4" x14ac:dyDescent="0.2">
      <c r="C4366" t="s">
        <v>7083</v>
      </c>
      <c r="D4366" s="13">
        <v>27</v>
      </c>
    </row>
    <row r="4367" spans="3:4" x14ac:dyDescent="0.2">
      <c r="C4367" t="s">
        <v>6902</v>
      </c>
      <c r="D4367" s="13">
        <v>30</v>
      </c>
    </row>
    <row r="4368" spans="3:4" x14ac:dyDescent="0.2">
      <c r="C4368" t="s">
        <v>3367</v>
      </c>
      <c r="D4368" s="13">
        <v>30</v>
      </c>
    </row>
    <row r="4369" spans="3:4" x14ac:dyDescent="0.2">
      <c r="C4369" t="s">
        <v>6472</v>
      </c>
      <c r="D4369" s="13">
        <v>30</v>
      </c>
    </row>
    <row r="4370" spans="3:4" x14ac:dyDescent="0.2">
      <c r="C4370" t="s">
        <v>1067</v>
      </c>
      <c r="D4370" s="13">
        <v>30</v>
      </c>
    </row>
    <row r="4371" spans="3:4" x14ac:dyDescent="0.2">
      <c r="C4371" t="s">
        <v>2276</v>
      </c>
      <c r="D4371" s="13">
        <v>30</v>
      </c>
    </row>
    <row r="4372" spans="3:4" x14ac:dyDescent="0.2">
      <c r="C4372" t="s">
        <v>8521</v>
      </c>
      <c r="D4372" s="13">
        <v>30</v>
      </c>
    </row>
    <row r="4373" spans="3:4" x14ac:dyDescent="0.2">
      <c r="C4373" t="s">
        <v>3617</v>
      </c>
      <c r="D4373" s="13">
        <v>30</v>
      </c>
    </row>
    <row r="4374" spans="3:4" x14ac:dyDescent="0.2">
      <c r="C4374" t="s">
        <v>7475</v>
      </c>
      <c r="D4374" s="13">
        <v>30</v>
      </c>
    </row>
    <row r="4375" spans="3:4" x14ac:dyDescent="0.2">
      <c r="C4375" t="s">
        <v>7908</v>
      </c>
      <c r="D4375" s="13">
        <v>30</v>
      </c>
    </row>
    <row r="4376" spans="3:4" x14ac:dyDescent="0.2">
      <c r="C4376" t="s">
        <v>1437</v>
      </c>
      <c r="D4376" s="13">
        <v>30</v>
      </c>
    </row>
    <row r="4377" spans="3:4" x14ac:dyDescent="0.2">
      <c r="C4377" t="s">
        <v>2924</v>
      </c>
      <c r="D4377" s="13">
        <v>30</v>
      </c>
    </row>
    <row r="4378" spans="3:4" x14ac:dyDescent="0.2">
      <c r="C4378" t="s">
        <v>5321</v>
      </c>
      <c r="D4378" s="13">
        <v>30</v>
      </c>
    </row>
    <row r="4379" spans="3:4" x14ac:dyDescent="0.2">
      <c r="C4379" t="s">
        <v>135</v>
      </c>
      <c r="D4379" s="13">
        <v>30</v>
      </c>
    </row>
    <row r="4380" spans="3:4" x14ac:dyDescent="0.2">
      <c r="C4380" t="s">
        <v>136</v>
      </c>
      <c r="D4380" s="13">
        <v>30</v>
      </c>
    </row>
    <row r="4381" spans="3:4" x14ac:dyDescent="0.2">
      <c r="C4381" t="s">
        <v>5389</v>
      </c>
      <c r="D4381" s="13">
        <v>30</v>
      </c>
    </row>
    <row r="4382" spans="3:4" x14ac:dyDescent="0.2">
      <c r="C4382" t="s">
        <v>608</v>
      </c>
      <c r="D4382" s="13">
        <v>30</v>
      </c>
    </row>
    <row r="4383" spans="3:4" x14ac:dyDescent="0.2">
      <c r="C4383" t="s">
        <v>2497</v>
      </c>
      <c r="D4383" s="13">
        <v>30</v>
      </c>
    </row>
    <row r="4384" spans="3:4" x14ac:dyDescent="0.2">
      <c r="C4384" t="s">
        <v>3637</v>
      </c>
      <c r="D4384" s="13">
        <v>30</v>
      </c>
    </row>
    <row r="4385" spans="3:4" x14ac:dyDescent="0.2">
      <c r="C4385" t="s">
        <v>6414</v>
      </c>
      <c r="D4385" s="13">
        <v>30</v>
      </c>
    </row>
    <row r="4386" spans="3:4" x14ac:dyDescent="0.2">
      <c r="C4386" t="s">
        <v>2950</v>
      </c>
      <c r="D4386" s="13">
        <v>30</v>
      </c>
    </row>
    <row r="4387" spans="3:4" x14ac:dyDescent="0.2">
      <c r="C4387" t="s">
        <v>125</v>
      </c>
      <c r="D4387" s="13">
        <v>30</v>
      </c>
    </row>
    <row r="4388" spans="3:4" x14ac:dyDescent="0.2">
      <c r="C4388" t="s">
        <v>6654</v>
      </c>
      <c r="D4388" s="13">
        <v>30</v>
      </c>
    </row>
    <row r="4389" spans="3:4" x14ac:dyDescent="0.2">
      <c r="C4389" t="s">
        <v>435</v>
      </c>
      <c r="D4389" s="13">
        <v>30</v>
      </c>
    </row>
    <row r="4390" spans="3:4" x14ac:dyDescent="0.2">
      <c r="C4390" t="s">
        <v>6088</v>
      </c>
      <c r="D4390" s="13">
        <v>30</v>
      </c>
    </row>
    <row r="4391" spans="3:4" x14ac:dyDescent="0.2">
      <c r="C4391" t="s">
        <v>2382</v>
      </c>
      <c r="D4391" s="13">
        <v>30</v>
      </c>
    </row>
    <row r="4392" spans="3:4" x14ac:dyDescent="0.2">
      <c r="C4392" t="s">
        <v>3327</v>
      </c>
      <c r="D4392" s="13">
        <v>30</v>
      </c>
    </row>
    <row r="4393" spans="3:4" x14ac:dyDescent="0.2">
      <c r="C4393" t="s">
        <v>5907</v>
      </c>
      <c r="D4393" s="13">
        <v>30</v>
      </c>
    </row>
    <row r="4394" spans="3:4" x14ac:dyDescent="0.2">
      <c r="C4394" t="s">
        <v>7216</v>
      </c>
      <c r="D4394" s="13">
        <v>30</v>
      </c>
    </row>
    <row r="4395" spans="3:4" x14ac:dyDescent="0.2">
      <c r="C4395" t="s">
        <v>4702</v>
      </c>
      <c r="D4395" s="13">
        <v>30</v>
      </c>
    </row>
    <row r="4396" spans="3:4" x14ac:dyDescent="0.2">
      <c r="C4396" t="s">
        <v>6292</v>
      </c>
      <c r="D4396" s="13">
        <v>30</v>
      </c>
    </row>
    <row r="4397" spans="3:4" x14ac:dyDescent="0.2">
      <c r="C4397" t="s">
        <v>6762</v>
      </c>
      <c r="D4397" s="13">
        <v>30</v>
      </c>
    </row>
    <row r="4398" spans="3:4" x14ac:dyDescent="0.2">
      <c r="C4398" t="s">
        <v>6655</v>
      </c>
      <c r="D4398" s="13">
        <v>30</v>
      </c>
    </row>
    <row r="4399" spans="3:4" x14ac:dyDescent="0.2">
      <c r="C4399" t="s">
        <v>3505</v>
      </c>
      <c r="D4399" s="13">
        <v>30</v>
      </c>
    </row>
    <row r="4400" spans="3:4" x14ac:dyDescent="0.2">
      <c r="C4400" t="s">
        <v>7210</v>
      </c>
      <c r="D4400" s="13">
        <v>30</v>
      </c>
    </row>
    <row r="4401" spans="3:4" x14ac:dyDescent="0.2">
      <c r="C4401" t="s">
        <v>4241</v>
      </c>
      <c r="D4401" s="13">
        <v>30</v>
      </c>
    </row>
    <row r="4402" spans="3:4" x14ac:dyDescent="0.2">
      <c r="C4402" t="s">
        <v>1438</v>
      </c>
      <c r="D4402" s="13">
        <v>30</v>
      </c>
    </row>
    <row r="4403" spans="3:4" x14ac:dyDescent="0.2">
      <c r="C4403" t="s">
        <v>4839</v>
      </c>
      <c r="D4403" s="13">
        <v>30</v>
      </c>
    </row>
    <row r="4404" spans="3:4" x14ac:dyDescent="0.2">
      <c r="C4404" t="s">
        <v>5448</v>
      </c>
      <c r="D4404" s="13">
        <v>30</v>
      </c>
    </row>
    <row r="4405" spans="3:4" x14ac:dyDescent="0.2">
      <c r="C4405" t="s">
        <v>3773</v>
      </c>
      <c r="D4405" s="13">
        <v>30</v>
      </c>
    </row>
    <row r="4406" spans="3:4" x14ac:dyDescent="0.2">
      <c r="C4406" t="s">
        <v>6187</v>
      </c>
      <c r="D4406" s="13">
        <v>30</v>
      </c>
    </row>
    <row r="4407" spans="3:4" x14ac:dyDescent="0.2">
      <c r="C4407" t="s">
        <v>8579</v>
      </c>
      <c r="D4407" s="13">
        <v>30</v>
      </c>
    </row>
    <row r="4408" spans="3:4" x14ac:dyDescent="0.2">
      <c r="C4408" t="s">
        <v>7370</v>
      </c>
      <c r="D4408" s="13">
        <v>30</v>
      </c>
    </row>
    <row r="4409" spans="3:4" x14ac:dyDescent="0.2">
      <c r="C4409" t="s">
        <v>2520</v>
      </c>
      <c r="D4409" s="13">
        <v>30</v>
      </c>
    </row>
    <row r="4410" spans="3:4" x14ac:dyDescent="0.2">
      <c r="C4410" t="s">
        <v>546</v>
      </c>
      <c r="D4410" s="13">
        <v>30</v>
      </c>
    </row>
    <row r="4411" spans="3:4" x14ac:dyDescent="0.2">
      <c r="C4411" t="s">
        <v>772</v>
      </c>
      <c r="D4411" s="13">
        <v>30</v>
      </c>
    </row>
    <row r="4412" spans="3:4" x14ac:dyDescent="0.2">
      <c r="C4412" t="s">
        <v>4840</v>
      </c>
      <c r="D4412" s="13">
        <v>30</v>
      </c>
    </row>
    <row r="4413" spans="3:4" x14ac:dyDescent="0.2">
      <c r="C4413" t="s">
        <v>7777</v>
      </c>
      <c r="D4413" s="13">
        <v>30</v>
      </c>
    </row>
    <row r="4414" spans="3:4" x14ac:dyDescent="0.2">
      <c r="C4414" t="s">
        <v>7582</v>
      </c>
      <c r="D4414" s="13">
        <v>30</v>
      </c>
    </row>
    <row r="4415" spans="3:4" x14ac:dyDescent="0.2">
      <c r="C4415" t="s">
        <v>8207</v>
      </c>
      <c r="D4415" s="13">
        <v>30</v>
      </c>
    </row>
    <row r="4416" spans="3:4" x14ac:dyDescent="0.2">
      <c r="C4416" t="s">
        <v>8606</v>
      </c>
      <c r="D4416" s="13">
        <v>30</v>
      </c>
    </row>
    <row r="4417" spans="3:4" x14ac:dyDescent="0.2">
      <c r="C4417" t="s">
        <v>547</v>
      </c>
      <c r="D4417" s="13">
        <v>30</v>
      </c>
    </row>
    <row r="4418" spans="3:4" x14ac:dyDescent="0.2">
      <c r="C4418" t="s">
        <v>4310</v>
      </c>
      <c r="D4418" s="13">
        <v>30</v>
      </c>
    </row>
    <row r="4419" spans="3:4" x14ac:dyDescent="0.2">
      <c r="C4419" t="s">
        <v>2411</v>
      </c>
      <c r="D4419" s="13">
        <v>30</v>
      </c>
    </row>
    <row r="4420" spans="3:4" x14ac:dyDescent="0.2">
      <c r="C4420" t="s">
        <v>8605</v>
      </c>
      <c r="D4420" s="13">
        <v>30</v>
      </c>
    </row>
    <row r="4421" spans="3:4" x14ac:dyDescent="0.2">
      <c r="C4421" t="s">
        <v>4094</v>
      </c>
      <c r="D4421" s="13">
        <v>30</v>
      </c>
    </row>
    <row r="4422" spans="3:4" x14ac:dyDescent="0.2">
      <c r="C4422" t="s">
        <v>5653</v>
      </c>
      <c r="D4422" s="13">
        <v>30</v>
      </c>
    </row>
    <row r="4423" spans="3:4" x14ac:dyDescent="0.2">
      <c r="C4423" t="s">
        <v>2796</v>
      </c>
      <c r="D4423" s="13">
        <v>30</v>
      </c>
    </row>
    <row r="4424" spans="3:4" x14ac:dyDescent="0.2">
      <c r="C4424" t="s">
        <v>293</v>
      </c>
      <c r="D4424" s="13">
        <v>30</v>
      </c>
    </row>
    <row r="4425" spans="3:4" x14ac:dyDescent="0.2">
      <c r="C4425" t="s">
        <v>4309</v>
      </c>
      <c r="D4425" s="13">
        <v>30</v>
      </c>
    </row>
    <row r="4426" spans="3:4" x14ac:dyDescent="0.2">
      <c r="C4426" t="s">
        <v>8372</v>
      </c>
      <c r="D4426" s="13">
        <v>30</v>
      </c>
    </row>
    <row r="4427" spans="3:4" x14ac:dyDescent="0.2">
      <c r="C4427" t="s">
        <v>1197</v>
      </c>
      <c r="D4427" s="13">
        <v>30</v>
      </c>
    </row>
    <row r="4428" spans="3:4" x14ac:dyDescent="0.2">
      <c r="C4428" t="s">
        <v>2314</v>
      </c>
      <c r="D4428" s="13">
        <v>30</v>
      </c>
    </row>
    <row r="4429" spans="3:4" x14ac:dyDescent="0.2">
      <c r="C4429" t="s">
        <v>2459</v>
      </c>
      <c r="D4429" s="13">
        <v>30</v>
      </c>
    </row>
    <row r="4430" spans="3:4" x14ac:dyDescent="0.2">
      <c r="C4430" t="s">
        <v>7156</v>
      </c>
      <c r="D4430" s="13">
        <v>30</v>
      </c>
    </row>
    <row r="4431" spans="3:4" x14ac:dyDescent="0.2">
      <c r="C4431" t="s">
        <v>2951</v>
      </c>
      <c r="D4431" s="13">
        <v>30</v>
      </c>
    </row>
    <row r="4432" spans="3:4" x14ac:dyDescent="0.2">
      <c r="C4432" t="s">
        <v>4119</v>
      </c>
      <c r="D4432" s="13">
        <v>30</v>
      </c>
    </row>
    <row r="4433" spans="3:4" x14ac:dyDescent="0.2">
      <c r="C4433" t="s">
        <v>6381</v>
      </c>
      <c r="D4433" s="13">
        <v>30</v>
      </c>
    </row>
    <row r="4434" spans="3:4" x14ac:dyDescent="0.2">
      <c r="C4434" t="s">
        <v>8373</v>
      </c>
      <c r="D4434" s="13">
        <v>30</v>
      </c>
    </row>
    <row r="4435" spans="3:4" x14ac:dyDescent="0.2">
      <c r="C4435" t="s">
        <v>7217</v>
      </c>
      <c r="D4435" s="13">
        <v>30</v>
      </c>
    </row>
    <row r="4436" spans="3:4" x14ac:dyDescent="0.2">
      <c r="C4436" t="s">
        <v>4192</v>
      </c>
      <c r="D4436" s="13">
        <v>30</v>
      </c>
    </row>
    <row r="4437" spans="3:4" x14ac:dyDescent="0.2">
      <c r="C4437" t="s">
        <v>1199</v>
      </c>
      <c r="D4437" s="13">
        <v>48</v>
      </c>
    </row>
    <row r="4438" spans="3:4" x14ac:dyDescent="0.2">
      <c r="C4438" t="s">
        <v>2538</v>
      </c>
      <c r="D4438" s="13">
        <v>48</v>
      </c>
    </row>
    <row r="4439" spans="3:4" x14ac:dyDescent="0.2">
      <c r="C4439" t="s">
        <v>8636</v>
      </c>
      <c r="D4439" s="13">
        <v>48</v>
      </c>
    </row>
    <row r="4440" spans="3:4" x14ac:dyDescent="0.2">
      <c r="C4440" t="s">
        <v>5143</v>
      </c>
      <c r="D4440" s="13">
        <v>48</v>
      </c>
    </row>
    <row r="4441" spans="3:4" x14ac:dyDescent="0.2">
      <c r="C4441" t="s">
        <v>7931</v>
      </c>
      <c r="D4441" s="13">
        <v>48</v>
      </c>
    </row>
    <row r="4442" spans="3:4" x14ac:dyDescent="0.2">
      <c r="C4442" t="s">
        <v>6946</v>
      </c>
      <c r="D4442" s="13">
        <v>54</v>
      </c>
    </row>
    <row r="4443" spans="3:4" x14ac:dyDescent="0.2">
      <c r="C4443" t="s">
        <v>8095</v>
      </c>
      <c r="D4443" s="13">
        <v>54</v>
      </c>
    </row>
    <row r="4444" spans="3:4" x14ac:dyDescent="0.2">
      <c r="C4444" t="s">
        <v>162</v>
      </c>
      <c r="D4444" s="13">
        <v>54</v>
      </c>
    </row>
    <row r="4445" spans="3:4" x14ac:dyDescent="0.2">
      <c r="C4445" t="s">
        <v>4137</v>
      </c>
      <c r="D4445" s="13">
        <v>54</v>
      </c>
    </row>
    <row r="4446" spans="3:4" x14ac:dyDescent="0.2">
      <c r="C4446" t="s">
        <v>4823</v>
      </c>
      <c r="D4446" s="13">
        <v>54</v>
      </c>
    </row>
    <row r="4447" spans="3:4" x14ac:dyDescent="0.2">
      <c r="C4447" t="s">
        <v>6391</v>
      </c>
      <c r="D4447" s="13">
        <v>54</v>
      </c>
    </row>
    <row r="4448" spans="3:4" x14ac:dyDescent="0.2">
      <c r="C4448" t="s">
        <v>5213</v>
      </c>
      <c r="D4448" s="13">
        <v>54</v>
      </c>
    </row>
    <row r="4449" spans="3:4" x14ac:dyDescent="0.2">
      <c r="C4449" t="s">
        <v>1646</v>
      </c>
      <c r="D4449" s="13">
        <v>54</v>
      </c>
    </row>
    <row r="4450" spans="3:4" x14ac:dyDescent="0.2">
      <c r="C4450" t="s">
        <v>2716</v>
      </c>
      <c r="D4450" s="13">
        <v>54</v>
      </c>
    </row>
    <row r="4451" spans="3:4" x14ac:dyDescent="0.2">
      <c r="C4451" t="s">
        <v>2820</v>
      </c>
      <c r="D4451" s="13">
        <v>54</v>
      </c>
    </row>
    <row r="4452" spans="3:4" x14ac:dyDescent="0.2">
      <c r="C4452" t="s">
        <v>6392</v>
      </c>
      <c r="D4452" s="13">
        <v>54</v>
      </c>
    </row>
    <row r="4453" spans="3:4" x14ac:dyDescent="0.2">
      <c r="C4453" t="s">
        <v>7793</v>
      </c>
      <c r="D4453" s="13">
        <v>54</v>
      </c>
    </row>
    <row r="4454" spans="3:4" x14ac:dyDescent="0.2">
      <c r="C4454" t="s">
        <v>7930</v>
      </c>
      <c r="D4454" s="13">
        <v>54</v>
      </c>
    </row>
    <row r="4455" spans="3:4" x14ac:dyDescent="0.2">
      <c r="C4455" t="s">
        <v>2063</v>
      </c>
      <c r="D4455" s="13">
        <v>54</v>
      </c>
    </row>
    <row r="4456" spans="3:4" x14ac:dyDescent="0.2">
      <c r="C4456" t="s">
        <v>728</v>
      </c>
      <c r="D4456" s="13">
        <v>54</v>
      </c>
    </row>
    <row r="4457" spans="3:4" x14ac:dyDescent="0.2">
      <c r="C4457" t="s">
        <v>2977</v>
      </c>
      <c r="D4457" s="13">
        <v>54</v>
      </c>
    </row>
    <row r="4458" spans="3:4" x14ac:dyDescent="0.2">
      <c r="C4458" t="s">
        <v>5131</v>
      </c>
      <c r="D4458" s="13">
        <v>54</v>
      </c>
    </row>
    <row r="4459" spans="3:4" x14ac:dyDescent="0.2">
      <c r="C4459" t="s">
        <v>641</v>
      </c>
      <c r="D4459" s="13">
        <v>54</v>
      </c>
    </row>
    <row r="4460" spans="3:4" x14ac:dyDescent="0.2">
      <c r="C4460" t="s">
        <v>8675</v>
      </c>
      <c r="D4460" s="13">
        <v>54</v>
      </c>
    </row>
    <row r="4461" spans="3:4" x14ac:dyDescent="0.2">
      <c r="C4461" t="s">
        <v>7070</v>
      </c>
      <c r="D4461" s="13">
        <v>54</v>
      </c>
    </row>
    <row r="4462" spans="3:4" x14ac:dyDescent="0.2">
      <c r="C4462" t="s">
        <v>4523</v>
      </c>
      <c r="D4462" s="13">
        <v>60</v>
      </c>
    </row>
    <row r="4463" spans="3:4" x14ac:dyDescent="0.2">
      <c r="C4463" t="s">
        <v>643</v>
      </c>
      <c r="D4463" s="13">
        <v>60</v>
      </c>
    </row>
    <row r="4464" spans="3:4" x14ac:dyDescent="0.2">
      <c r="C4464" t="s">
        <v>4160</v>
      </c>
      <c r="D4464" s="13">
        <v>60</v>
      </c>
    </row>
    <row r="4465" spans="3:4" x14ac:dyDescent="0.2">
      <c r="C4465" t="s">
        <v>5022</v>
      </c>
      <c r="D4465" s="13">
        <v>60</v>
      </c>
    </row>
    <row r="4466" spans="3:4" x14ac:dyDescent="0.2">
      <c r="C4466" t="s">
        <v>5021</v>
      </c>
      <c r="D4466" s="13">
        <v>60</v>
      </c>
    </row>
    <row r="4467" spans="3:4" x14ac:dyDescent="0.2">
      <c r="C4467" t="s">
        <v>4522</v>
      </c>
      <c r="D4467" s="13">
        <v>60</v>
      </c>
    </row>
    <row r="4468" spans="3:4" x14ac:dyDescent="0.2">
      <c r="C4468" t="s">
        <v>5476</v>
      </c>
      <c r="D4468" s="13">
        <v>60</v>
      </c>
    </row>
    <row r="4469" spans="3:4" x14ac:dyDescent="0.2">
      <c r="C4469" t="s">
        <v>7401</v>
      </c>
      <c r="D4469" s="13">
        <v>72</v>
      </c>
    </row>
    <row r="4470" spans="3:4" x14ac:dyDescent="0.2">
      <c r="C4470" t="s">
        <v>4450</v>
      </c>
      <c r="D4470" s="13">
        <v>104</v>
      </c>
    </row>
    <row r="4471" spans="3:4" x14ac:dyDescent="0.2">
      <c r="C4471" t="s">
        <v>7402</v>
      </c>
      <c r="D4471" s="13">
        <v>130</v>
      </c>
    </row>
  </sheetData>
  <sortState ref="C3:D4471">
    <sortCondition ref="D3:D447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C296"/>
  <sheetViews>
    <sheetView tabSelected="1" topLeftCell="E18" workbookViewId="0">
      <selection activeCell="AA42" sqref="AA42"/>
    </sheetView>
  </sheetViews>
  <sheetFormatPr defaultRowHeight="12.75" x14ac:dyDescent="0.2"/>
  <cols>
    <col min="2" max="2" width="19.140625" customWidth="1"/>
    <col min="7" max="7" width="12.42578125" bestFit="1" customWidth="1"/>
    <col min="18" max="18" width="12.42578125" bestFit="1" customWidth="1"/>
    <col min="27" max="27" width="12.42578125" bestFit="1" customWidth="1"/>
  </cols>
  <sheetData>
    <row r="2" spans="2:17" x14ac:dyDescent="0.2">
      <c r="E2" s="13"/>
      <c r="F2" s="13"/>
      <c r="G2" s="13"/>
      <c r="H2" s="13"/>
    </row>
    <row r="3" spans="2:17" x14ac:dyDescent="0.2">
      <c r="B3" s="13" t="s">
        <v>8734</v>
      </c>
      <c r="D3" s="13"/>
    </row>
    <row r="4" spans="2:17" x14ac:dyDescent="0.2">
      <c r="C4" s="13" t="s">
        <v>8735</v>
      </c>
    </row>
    <row r="5" spans="2:17" x14ac:dyDescent="0.2">
      <c r="C5" s="13" t="s">
        <v>8736</v>
      </c>
    </row>
    <row r="6" spans="2:17" x14ac:dyDescent="0.2">
      <c r="C6" s="13" t="s">
        <v>8737</v>
      </c>
    </row>
    <row r="9" spans="2:17" x14ac:dyDescent="0.2">
      <c r="B9" s="13" t="s">
        <v>8742</v>
      </c>
      <c r="C9">
        <f ca="1">RAND()*2*PI()</f>
        <v>5.6597834006417012</v>
      </c>
    </row>
    <row r="10" spans="2:17" x14ac:dyDescent="0.2">
      <c r="B10" s="13" t="s">
        <v>8743</v>
      </c>
      <c r="C10">
        <f ca="1">RAND()*2*PI()</f>
        <v>6.2363714906064223</v>
      </c>
    </row>
    <row r="11" spans="2:17" x14ac:dyDescent="0.2">
      <c r="B11" s="13" t="s">
        <v>8744</v>
      </c>
    </row>
    <row r="12" spans="2:17" x14ac:dyDescent="0.2">
      <c r="O12" s="13" t="s">
        <v>8746</v>
      </c>
    </row>
    <row r="13" spans="2:17" x14ac:dyDescent="0.2">
      <c r="C13" s="24">
        <v>1</v>
      </c>
      <c r="D13" s="24">
        <v>0</v>
      </c>
      <c r="E13" s="24">
        <v>0</v>
      </c>
      <c r="G13" s="24">
        <f ca="1">COS(C10)</f>
        <v>0.99890443339175639</v>
      </c>
      <c r="H13" s="24">
        <v>0</v>
      </c>
      <c r="I13" s="24">
        <f ca="1">-SIN(C10)</f>
        <v>4.6796719439445696E-2</v>
      </c>
      <c r="K13">
        <v>0</v>
      </c>
      <c r="L13">
        <v>0</v>
      </c>
      <c r="M13">
        <v>1</v>
      </c>
      <c r="O13" s="36">
        <f t="array" aca="1" ref="O13:Q13" ca="1">_xll.MatProd(_xll.MatProd(K13:M13,$C$13:$E$15),$G$13:$I$15)</f>
        <v>-3.7994121910244982E-2</v>
      </c>
      <c r="P13" s="36">
        <f ca="1"/>
        <v>-0.5838005314922079</v>
      </c>
      <c r="Q13" s="36">
        <f ca="1"/>
        <v>0.81100763629554384</v>
      </c>
    </row>
    <row r="14" spans="2:17" x14ac:dyDescent="0.2">
      <c r="C14" s="24">
        <v>0</v>
      </c>
      <c r="D14" s="24">
        <f ca="1">COS(C9)</f>
        <v>0.81189712367356959</v>
      </c>
      <c r="E14" s="24">
        <f ca="1">-SIN(C9)</f>
        <v>0.5838005314922079</v>
      </c>
      <c r="G14" s="24">
        <v>0</v>
      </c>
      <c r="H14" s="24">
        <v>1</v>
      </c>
      <c r="I14" s="24">
        <v>0</v>
      </c>
      <c r="K14" s="26"/>
    </row>
    <row r="15" spans="2:17" x14ac:dyDescent="0.2">
      <c r="C15" s="24">
        <v>0</v>
      </c>
      <c r="D15" s="24">
        <f ca="1">SIN(C9)</f>
        <v>-0.5838005314922079</v>
      </c>
      <c r="E15" s="24">
        <f ca="1">COS(C9)</f>
        <v>0.81189712367356959</v>
      </c>
      <c r="G15" s="24">
        <f ca="1">SIN(C10)</f>
        <v>-4.6796719439445696E-2</v>
      </c>
      <c r="H15" s="24">
        <v>0</v>
      </c>
      <c r="I15" s="24">
        <f ca="1">COS(C10)</f>
        <v>0.99890443339175639</v>
      </c>
    </row>
    <row r="20" spans="2:23" x14ac:dyDescent="0.2">
      <c r="B20" s="13" t="s">
        <v>8738</v>
      </c>
    </row>
    <row r="21" spans="2:23" x14ac:dyDescent="0.2">
      <c r="C21" s="13" t="s">
        <v>41</v>
      </c>
      <c r="D21" s="13" t="s">
        <v>8739</v>
      </c>
      <c r="E21" s="13" t="s">
        <v>8740</v>
      </c>
      <c r="F21" s="13" t="s">
        <v>8741</v>
      </c>
      <c r="G21" s="13" t="s">
        <v>8745</v>
      </c>
    </row>
    <row r="22" spans="2:23" x14ac:dyDescent="0.2">
      <c r="C22">
        <f ca="1">RAND()*2*PI()</f>
        <v>0.96552379701439317</v>
      </c>
      <c r="D22">
        <f ca="1">RAND()</f>
        <v>0.79783890899210774</v>
      </c>
      <c r="E22">
        <f ca="1">COS(C22)*D22</f>
        <v>0.45395933817527667</v>
      </c>
      <c r="F22">
        <f ca="1">SIN(C22)*D22</f>
        <v>0.65610048314658453</v>
      </c>
      <c r="G22">
        <v>0</v>
      </c>
      <c r="I22" s="25">
        <f t="array" aca="1" ref="I22:K22" ca="1">_xll.MatProd(E22:G22,$C$13:$E$15)</f>
        <v>0.45395933817527667</v>
      </c>
      <c r="J22" s="25">
        <f ca="1"/>
        <v>0.53268609510755127</v>
      </c>
      <c r="K22" s="25">
        <f ca="1"/>
        <v>0.38303181077327042</v>
      </c>
      <c r="L22" s="27">
        <f t="array" aca="1" ref="L22:N22" ca="1">_xll.MatProd(I22:K22,$G$13:$I$15)</f>
        <v>0.43553736329773191</v>
      </c>
      <c r="M22" s="28">
        <f ca="1"/>
        <v>0.53268609510755127</v>
      </c>
      <c r="N22" s="29">
        <f ca="1"/>
        <v>0.40385598169699705</v>
      </c>
      <c r="P22">
        <f ca="1">$O$13*L22+$P$13*M22+$Q$13*N22</f>
        <v>0</v>
      </c>
      <c r="R22">
        <f t="array" aca="1" ref="R22:R25" ca="1">_xll.MultiLinearRegression(R41:T53,U41:U53)</f>
        <v>0.26999999999916247</v>
      </c>
    </row>
    <row r="23" spans="2:23" x14ac:dyDescent="0.2">
      <c r="C23">
        <f t="shared" ref="C23:C37" ca="1" si="0">RAND()*2*PI()</f>
        <v>2.0429984228602627</v>
      </c>
      <c r="D23">
        <f t="shared" ref="D23:D37" ca="1" si="1">RAND()</f>
        <v>0.47304619738676312</v>
      </c>
      <c r="E23">
        <f t="shared" ref="E23:E37" ca="1" si="2">COS(C23)*D23</f>
        <v>-0.21516435555335151</v>
      </c>
      <c r="F23">
        <f t="shared" ref="F23:F37" ca="1" si="3">SIN(C23)*D23</f>
        <v>0.42128019768485131</v>
      </c>
      <c r="G23">
        <v>0</v>
      </c>
      <c r="I23" s="25">
        <f t="array" aca="1" ref="I23:K23" ca="1">_xll.MatProd(E23:G23,$C$13:$E$15)</f>
        <v>-0.21516435555335151</v>
      </c>
      <c r="J23" s="25">
        <f ca="1"/>
        <v>0.34203618076096359</v>
      </c>
      <c r="K23" s="25">
        <f ca="1"/>
        <v>0.24594360331555862</v>
      </c>
      <c r="L23" s="30">
        <f t="array" aca="1" ref="L23:N23" ca="1">_xll.MatProd(I23:K23,$G$13:$I$15)</f>
        <v>-0.22643798247240751</v>
      </c>
      <c r="M23" s="31">
        <f ca="1"/>
        <v>0.34203618076096359</v>
      </c>
      <c r="N23" s="32">
        <f ca="1"/>
        <v>0.23560516973605564</v>
      </c>
      <c r="P23">
        <f t="shared" ref="P23:P37" ca="1" si="4">$O$13*L23+$P$13*M23+$Q$13*N23</f>
        <v>0</v>
      </c>
      <c r="R23">
        <f ca="1"/>
        <v>-4.699999999990828</v>
      </c>
    </row>
    <row r="24" spans="2:23" x14ac:dyDescent="0.2">
      <c r="C24">
        <f t="shared" ca="1" si="0"/>
        <v>3.2384452373452692</v>
      </c>
      <c r="D24">
        <f t="shared" ca="1" si="1"/>
        <v>7.7805800447439788E-2</v>
      </c>
      <c r="E24">
        <f t="shared" ca="1" si="2"/>
        <v>-7.7441159962093553E-2</v>
      </c>
      <c r="F24">
        <f t="shared" ca="1" si="3"/>
        <v>-7.5239169979645507E-3</v>
      </c>
      <c r="G24">
        <v>0</v>
      </c>
      <c r="I24" s="25">
        <f t="array" aca="1" ref="I24:K24" ca="1">_xll.MatProd(E24:G24,$C$13:$E$15)</f>
        <v>-7.7441159962093553E-2</v>
      </c>
      <c r="J24" s="25">
        <f ca="1"/>
        <v>-6.1086465694060975E-3</v>
      </c>
      <c r="K24" s="25">
        <f ca="1"/>
        <v>-4.3924667423149624E-3</v>
      </c>
      <c r="L24" s="30">
        <f t="array" aca="1" ref="L24:N24" ca="1">_xll.MatProd(I24:K24,$G$13:$I$15)</f>
        <v>-7.7150764979348224E-2</v>
      </c>
      <c r="M24" s="31">
        <f ca="1"/>
        <v>-6.1086465694060975E-3</v>
      </c>
      <c r="N24" s="32">
        <f ca="1"/>
        <v>-8.011646738235588E-3</v>
      </c>
      <c r="P24">
        <f t="shared" ca="1" si="4"/>
        <v>0</v>
      </c>
      <c r="R24">
        <f ca="1"/>
        <v>4.3679337978514465E-13</v>
      </c>
    </row>
    <row r="25" spans="2:23" x14ac:dyDescent="0.2">
      <c r="C25">
        <f t="shared" ca="1" si="0"/>
        <v>2.4099889196319277</v>
      </c>
      <c r="D25">
        <f t="shared" ca="1" si="1"/>
        <v>0.39717614626846687</v>
      </c>
      <c r="E25">
        <f t="shared" ca="1" si="2"/>
        <v>-0.29554034446492777</v>
      </c>
      <c r="F25">
        <f t="shared" ca="1" si="3"/>
        <v>0.26533902079834093</v>
      </c>
      <c r="G25">
        <v>0</v>
      </c>
      <c r="I25" s="25">
        <f t="array" aca="1" ref="I25:K25" ca="1">_xll.MatProd(E25:G25,$C$13:$E$15)</f>
        <v>-0.29554034446492777</v>
      </c>
      <c r="J25" s="25">
        <f ca="1"/>
        <v>0.21542798778453445</v>
      </c>
      <c r="K25" s="25">
        <f ca="1"/>
        <v>0.15490506136769344</v>
      </c>
      <c r="L25" s="30">
        <f t="array" aca="1" ref="L25:N25" ca="1">_xll.MatProd(I25:K25,$G$13:$I$15)</f>
        <v>-0.30246560902871722</v>
      </c>
      <c r="M25" s="31">
        <f ca="1"/>
        <v>0.21542798778453445</v>
      </c>
      <c r="N25" s="32">
        <f ca="1"/>
        <v>0.1409050339720487</v>
      </c>
      <c r="P25">
        <f t="shared" ca="1" si="4"/>
        <v>0</v>
      </c>
      <c r="R25" t="e">
        <f ca="1"/>
        <v>#N/A</v>
      </c>
    </row>
    <row r="26" spans="2:23" x14ac:dyDescent="0.2">
      <c r="C26">
        <f t="shared" ca="1" si="0"/>
        <v>5.394916139984387</v>
      </c>
      <c r="D26">
        <f t="shared" ca="1" si="1"/>
        <v>0.82087850702356768</v>
      </c>
      <c r="E26">
        <f t="shared" ca="1" si="2"/>
        <v>0.51777409642761407</v>
      </c>
      <c r="F26">
        <f t="shared" ca="1" si="3"/>
        <v>-0.63698627015172726</v>
      </c>
      <c r="G26">
        <v>0</v>
      </c>
      <c r="I26" s="25">
        <f t="array" aca="1" ref="I26:K26" ca="1">_xll.MatProd(E26:G26,$C$13:$E$15)</f>
        <v>0.51777409642761407</v>
      </c>
      <c r="J26" s="25">
        <f ca="1"/>
        <v>-0.51716732055574277</v>
      </c>
      <c r="K26" s="25">
        <f ca="1"/>
        <v>-0.3718729230678175</v>
      </c>
      <c r="L26" s="30">
        <f t="array" aca="1" ref="L26:N26" ca="1">_xll.MatProd(I26:K26,$G$13:$I$15)</f>
        <v>0.53460927326488561</v>
      </c>
      <c r="M26" s="31">
        <f ca="1"/>
        <v>-0.51716732055574277</v>
      </c>
      <c r="N26" s="32">
        <f ca="1"/>
        <v>-0.34723538238725887</v>
      </c>
      <c r="P26">
        <f t="shared" ca="1" si="4"/>
        <v>0</v>
      </c>
    </row>
    <row r="27" spans="2:23" x14ac:dyDescent="0.2">
      <c r="C27">
        <f t="shared" ca="1" si="0"/>
        <v>2.9311775091773615</v>
      </c>
      <c r="D27">
        <f t="shared" ca="1" si="1"/>
        <v>0.67236214165483343</v>
      </c>
      <c r="E27">
        <f t="shared" ca="1" si="2"/>
        <v>-0.65753271689703807</v>
      </c>
      <c r="F27">
        <f t="shared" ca="1" si="3"/>
        <v>0.14043352783674537</v>
      </c>
      <c r="G27">
        <v>0</v>
      </c>
      <c r="I27" s="25">
        <f t="array" aca="1" ref="I27:K27" ca="1">_xll.MatProd(E27:G27,$C$13:$E$15)</f>
        <v>-0.65753271689703807</v>
      </c>
      <c r="J27" s="25">
        <f ca="1"/>
        <v>0.11401757731798573</v>
      </c>
      <c r="K27" s="25">
        <f ca="1"/>
        <v>8.198516819041772E-2</v>
      </c>
      <c r="L27" s="30">
        <f t="array" aca="1" ref="L27:N27" ca="1">_xll.MatProd(I27:K27,$G$13:$I$15)</f>
        <v>-0.66064898292258067</v>
      </c>
      <c r="M27" s="31">
        <f ca="1"/>
        <v>0.11401757731798573</v>
      </c>
      <c r="N27" s="32">
        <f ca="1"/>
        <v>5.1124973902889892E-2</v>
      </c>
      <c r="P27">
        <f t="shared" ca="1" si="4"/>
        <v>0</v>
      </c>
    </row>
    <row r="28" spans="2:23" x14ac:dyDescent="0.2">
      <c r="C28">
        <f t="shared" ca="1" si="0"/>
        <v>4.1142623398248759</v>
      </c>
      <c r="D28">
        <f t="shared" ca="1" si="1"/>
        <v>0.61464077459676514</v>
      </c>
      <c r="E28">
        <f t="shared" ca="1" si="2"/>
        <v>-0.34610135179119078</v>
      </c>
      <c r="F28">
        <f t="shared" ca="1" si="3"/>
        <v>-0.50793418479683161</v>
      </c>
      <c r="G28">
        <v>0</v>
      </c>
      <c r="I28" s="25">
        <f t="array" aca="1" ref="I28:K28" ca="1">_xll.MatProd(E28:G28,$C$13:$E$15)</f>
        <v>-0.34610135179119078</v>
      </c>
      <c r="J28" s="25">
        <f ca="1"/>
        <v>-0.41239030365202695</v>
      </c>
      <c r="K28" s="25">
        <f ca="1"/>
        <v>-0.29653224704745162</v>
      </c>
      <c r="L28" s="30">
        <f t="array" aca="1" ref="L28:N28" ca="1">_xll.MatProd(I28:K28,$G$13:$I$15)</f>
        <v>-0.33184543833727237</v>
      </c>
      <c r="M28" s="31">
        <f ca="1"/>
        <v>-0.41239030365202695</v>
      </c>
      <c r="N28" s="32">
        <f ca="1"/>
        <v>-0.31240378407670422</v>
      </c>
      <c r="P28">
        <f t="shared" ca="1" si="4"/>
        <v>0</v>
      </c>
      <c r="U28">
        <f ca="1">SQRT(p_a^2+p_b^2+p_c^2)</f>
        <v>4.8127850564927588</v>
      </c>
    </row>
    <row r="29" spans="2:23" x14ac:dyDescent="0.2">
      <c r="C29">
        <f t="shared" ca="1" si="0"/>
        <v>0.97627339391642376</v>
      </c>
      <c r="D29">
        <f t="shared" ca="1" si="1"/>
        <v>0.29380629220899412</v>
      </c>
      <c r="E29">
        <f t="shared" ca="1" si="2"/>
        <v>0.16456490247314101</v>
      </c>
      <c r="F29">
        <f t="shared" ca="1" si="3"/>
        <v>0.24339377604121765</v>
      </c>
      <c r="G29">
        <v>0</v>
      </c>
      <c r="I29" s="25">
        <f t="array" aca="1" ref="I29:K29" ca="1">_xll.MatProd(E29:G29,$C$13:$E$15)</f>
        <v>0.16456490247314101</v>
      </c>
      <c r="J29" s="25">
        <f ca="1"/>
        <v>0.19761070668791358</v>
      </c>
      <c r="K29" s="25">
        <f ca="1"/>
        <v>0.14209341581475829</v>
      </c>
      <c r="L29" s="30">
        <f t="array" aca="1" ref="L29:N29" ca="1">_xll.MatProd(I29:K29,$G$13:$I$15)</f>
        <v>0.15773510494702683</v>
      </c>
      <c r="M29" s="31">
        <f ca="1"/>
        <v>0.19761070668791358</v>
      </c>
      <c r="N29" s="32">
        <f ca="1"/>
        <v>0.14963884058375568</v>
      </c>
      <c r="P29">
        <f t="shared" ca="1" si="4"/>
        <v>0</v>
      </c>
    </row>
    <row r="30" spans="2:23" x14ac:dyDescent="0.2">
      <c r="C30">
        <f t="shared" ca="1" si="0"/>
        <v>3.3177740007576224</v>
      </c>
      <c r="D30">
        <f t="shared" ca="1" si="1"/>
        <v>0.77629205504142873</v>
      </c>
      <c r="E30">
        <f t="shared" ca="1" si="2"/>
        <v>-0.76427518573876452</v>
      </c>
      <c r="F30">
        <f t="shared" ca="1" si="3"/>
        <v>-0.13606173299065991</v>
      </c>
      <c r="G30">
        <v>0</v>
      </c>
      <c r="I30" s="25">
        <f t="array" aca="1" ref="I30:K30" ca="1">_xll.MatProd(E30:G30,$C$13:$E$15)</f>
        <v>-0.76427518573876452</v>
      </c>
      <c r="J30" s="25">
        <f ca="1"/>
        <v>-0.11046812965715801</v>
      </c>
      <c r="K30" s="25">
        <f ca="1"/>
        <v>-7.9432912035698133E-2</v>
      </c>
      <c r="L30" s="30">
        <f t="array" aca="1" ref="L30:N30" ca="1">_xll.MatProd(I30:K30,$G$13:$I$15)</f>
        <v>-0.75972067166696722</v>
      </c>
      <c r="M30" s="31">
        <f ca="1"/>
        <v>-0.11046812965715801</v>
      </c>
      <c r="N30" s="32">
        <f ca="1"/>
        <v>-0.11511145943122349</v>
      </c>
      <c r="P30">
        <f t="shared" ca="1" si="4"/>
        <v>0</v>
      </c>
      <c r="T30" s="13" t="s">
        <v>8747</v>
      </c>
      <c r="U30">
        <v>1</v>
      </c>
      <c r="W30">
        <f ca="1">p_a/U28</f>
        <v>0.20777990046551845</v>
      </c>
    </row>
    <row r="31" spans="2:23" x14ac:dyDescent="0.2">
      <c r="C31">
        <f t="shared" ca="1" si="0"/>
        <v>3.5430120815093287</v>
      </c>
      <c r="D31">
        <f t="shared" ca="1" si="1"/>
        <v>0.30148026771943059</v>
      </c>
      <c r="E31">
        <f t="shared" ca="1" si="2"/>
        <v>-0.27751479178065153</v>
      </c>
      <c r="F31">
        <f t="shared" ca="1" si="3"/>
        <v>-0.11779597687154339</v>
      </c>
      <c r="G31">
        <v>0</v>
      </c>
      <c r="I31" s="25">
        <f t="array" aca="1" ref="I31:K31" ca="1">_xll.MatProd(E31:G31,$C$13:$E$15)</f>
        <v>-0.27751479178065153</v>
      </c>
      <c r="J31" s="25">
        <f ca="1"/>
        <v>-9.5638214802324401E-2</v>
      </c>
      <c r="K31" s="25">
        <f ca="1"/>
        <v>-6.8769353905250866E-2</v>
      </c>
      <c r="L31" s="30">
        <f t="array" aca="1" ref="L31:N31" ca="1">_xll.MatProd(I31:K31,$G$13:$I$15)</f>
        <v>-0.27399257568074697</v>
      </c>
      <c r="M31" s="31">
        <f ca="1"/>
        <v>-9.5638214802324401E-2</v>
      </c>
      <c r="N31" s="32">
        <f ca="1"/>
        <v>-8.1680794348697128E-2</v>
      </c>
      <c r="P31">
        <f t="shared" ca="1" si="4"/>
        <v>0</v>
      </c>
      <c r="T31" s="13" t="s">
        <v>8748</v>
      </c>
      <c r="U31">
        <v>0.27</v>
      </c>
      <c r="W31">
        <f ca="1">p_b/U28</f>
        <v>5.6100573125689987E-2</v>
      </c>
    </row>
    <row r="32" spans="2:23" x14ac:dyDescent="0.2">
      <c r="C32">
        <f t="shared" ca="1" si="0"/>
        <v>2.8014186488057402</v>
      </c>
      <c r="D32">
        <f t="shared" ca="1" si="1"/>
        <v>0.96654289014891759</v>
      </c>
      <c r="E32">
        <f t="shared" ca="1" si="2"/>
        <v>-0.9111567184381385</v>
      </c>
      <c r="F32">
        <f t="shared" ca="1" si="3"/>
        <v>0.32248812837446506</v>
      </c>
      <c r="G32">
        <v>0</v>
      </c>
      <c r="I32" s="25">
        <f t="array" aca="1" ref="I32:K32" ca="1">_xll.MatProd(E32:G32,$C$13:$E$15)</f>
        <v>-0.9111567184381385</v>
      </c>
      <c r="J32" s="25">
        <f ca="1"/>
        <v>0.26182718384610104</v>
      </c>
      <c r="K32" s="25">
        <f ca="1"/>
        <v>0.18826874074494007</v>
      </c>
      <c r="L32" s="30">
        <f t="array" aca="1" ref="L32:N32" ca="1">_xll.MatProd(I32:K32,$G$13:$I$15)</f>
        <v>-0.91896884500239961</v>
      </c>
      <c r="M32" s="31">
        <f ca="1"/>
        <v>0.26182718384610104</v>
      </c>
      <c r="N32" s="32">
        <f ca="1"/>
        <v>0.14542333448108827</v>
      </c>
      <c r="P32">
        <f t="shared" ca="1" si="4"/>
        <v>0</v>
      </c>
      <c r="T32" s="13" t="s">
        <v>8749</v>
      </c>
      <c r="U32">
        <f ca="1">-4.7</f>
        <v>-4.7</v>
      </c>
      <c r="W32">
        <f ca="1">p_c/U28</f>
        <v>-0.97656553218793674</v>
      </c>
    </row>
    <row r="33" spans="3:29" x14ac:dyDescent="0.2">
      <c r="C33">
        <f t="shared" ca="1" si="0"/>
        <v>1.565997523510355E-3</v>
      </c>
      <c r="D33">
        <f t="shared" ca="1" si="1"/>
        <v>1.4813224785362955E-2</v>
      </c>
      <c r="E33">
        <f t="shared" ca="1" si="2"/>
        <v>1.4813206621773775E-2</v>
      </c>
      <c r="F33">
        <f t="shared" ca="1" si="3"/>
        <v>2.3197463847701265E-5</v>
      </c>
      <c r="G33">
        <v>0</v>
      </c>
      <c r="I33" s="25">
        <f t="array" aca="1" ref="I33:K33" ca="1">_xll.MatProd(E33:G33,$C$13:$E$15)</f>
        <v>1.4813206621773775E-2</v>
      </c>
      <c r="J33" s="25">
        <f ca="1"/>
        <v>1.8833954174470271E-5</v>
      </c>
      <c r="K33" s="25">
        <f ca="1"/>
        <v>1.3542691723559276E-5</v>
      </c>
      <c r="L33" s="30">
        <f t="array" aca="1" ref="L33:N33" ca="1">_xll.MatProd(I33:K33,$G$13:$I$15)</f>
        <v>1.4796344013692904E-2</v>
      </c>
      <c r="M33" s="31">
        <f ca="1"/>
        <v>1.8833954174470271E-5</v>
      </c>
      <c r="N33" s="32">
        <f ca="1"/>
        <v>7.0673732908040771E-4</v>
      </c>
      <c r="P33">
        <f t="shared" ca="1" si="4"/>
        <v>0</v>
      </c>
      <c r="T33" s="13" t="s">
        <v>8750</v>
      </c>
      <c r="U33">
        <v>0</v>
      </c>
    </row>
    <row r="34" spans="3:29" x14ac:dyDescent="0.2">
      <c r="C34">
        <f t="shared" ca="1" si="0"/>
        <v>4.9149476025072936</v>
      </c>
      <c r="D34">
        <f t="shared" ca="1" si="1"/>
        <v>7.9416546198023408E-3</v>
      </c>
      <c r="E34">
        <f t="shared" ca="1" si="2"/>
        <v>1.5976726747227348E-3</v>
      </c>
      <c r="F34">
        <f t="shared" ca="1" si="3"/>
        <v>-7.7792878931604121E-3</v>
      </c>
      <c r="G34">
        <v>0</v>
      </c>
      <c r="I34" s="25">
        <f t="array" aca="1" ref="I34:K34" ca="1">_xll.MatProd(E34:G34,$C$13:$E$15)</f>
        <v>1.5976726747227348E-3</v>
      </c>
      <c r="J34" s="25">
        <f ca="1"/>
        <v>-6.3159814646855618E-3</v>
      </c>
      <c r="K34" s="25">
        <f ca="1"/>
        <v>-4.5415524066579468E-3</v>
      </c>
      <c r="L34" s="30">
        <f t="array" aca="1" ref="L34:N34" ca="1">_xll.MatProd(I34:K34,$G$13:$I$15)</f>
        <v>1.8084520716833167E-3</v>
      </c>
      <c r="M34" s="31">
        <f ca="1"/>
        <v>-6.3159814646855618E-3</v>
      </c>
      <c r="N34" s="32">
        <f ca="1"/>
        <v>-4.4618109935765553E-3</v>
      </c>
      <c r="P34">
        <f t="shared" ca="1" si="4"/>
        <v>0</v>
      </c>
    </row>
    <row r="35" spans="3:29" x14ac:dyDescent="0.2">
      <c r="C35">
        <f t="shared" ca="1" si="0"/>
        <v>4.0425793375931169</v>
      </c>
      <c r="D35">
        <f t="shared" ca="1" si="1"/>
        <v>9.922712343500828E-2</v>
      </c>
      <c r="E35">
        <f t="shared" ca="1" si="2"/>
        <v>-6.1603846778253056E-2</v>
      </c>
      <c r="F35">
        <f t="shared" ca="1" si="3"/>
        <v>-7.7788097336982664E-2</v>
      </c>
      <c r="G35">
        <v>0</v>
      </c>
      <c r="I35" s="25">
        <f t="array" aca="1" ref="I35:K35" ca="1">_xll.MatProd(E35:G35,$C$13:$E$15)</f>
        <v>-6.1603846778253056E-2</v>
      </c>
      <c r="J35" s="25">
        <f ca="1"/>
        <v>-6.3155932483935889E-2</v>
      </c>
      <c r="K35" s="25">
        <f ca="1"/>
        <v>-4.5412732569098078E-2</v>
      </c>
      <c r="L35" s="30">
        <f t="array" aca="1" ref="L35:N35" ca="1">_xll.MatProd(I35:K35,$G$13:$I$15)</f>
        <v>-5.9411188755768785E-2</v>
      </c>
      <c r="M35" s="31">
        <f ca="1"/>
        <v>-6.3155932483935889E-2</v>
      </c>
      <c r="N35" s="32">
        <f ca="1"/>
        <v>-4.8245837829778787E-2</v>
      </c>
      <c r="P35">
        <f t="shared" ca="1" si="4"/>
        <v>0</v>
      </c>
    </row>
    <row r="36" spans="3:29" x14ac:dyDescent="0.2">
      <c r="C36">
        <f t="shared" ca="1" si="0"/>
        <v>2.4538599512297532</v>
      </c>
      <c r="D36">
        <f t="shared" ca="1" si="1"/>
        <v>2.1793805405157851E-2</v>
      </c>
      <c r="E36">
        <f t="shared" ca="1" si="2"/>
        <v>-1.6839795580016127E-2</v>
      </c>
      <c r="F36">
        <f t="shared" ca="1" si="3"/>
        <v>1.3834422245296579E-2</v>
      </c>
      <c r="G36">
        <v>0</v>
      </c>
      <c r="I36" s="25">
        <f t="array" aca="1" ref="I36:K36" ca="1">_xll.MatProd(E36:G36,$C$13:$E$15)</f>
        <v>-1.6839795580016127E-2</v>
      </c>
      <c r="J36" s="25">
        <f ca="1"/>
        <v>1.1232127628641939E-2</v>
      </c>
      <c r="K36" s="25">
        <f ca="1"/>
        <v>8.0765430596917674E-3</v>
      </c>
      <c r="L36" s="30">
        <f t="array" aca="1" ref="L36:N36" ca="1">_xll.MatProd(I36:K36,$G$13:$I$15)</f>
        <v>-1.719930218189401E-2</v>
      </c>
      <c r="M36" s="31">
        <f ca="1"/>
        <v>1.1232127628641939E-2</v>
      </c>
      <c r="N36" s="32">
        <f ca="1"/>
        <v>7.2796474796298942E-3</v>
      </c>
      <c r="P36">
        <f t="shared" ca="1" si="4"/>
        <v>0</v>
      </c>
    </row>
    <row r="37" spans="3:29" x14ac:dyDescent="0.2">
      <c r="C37">
        <f t="shared" ca="1" si="0"/>
        <v>5.4919597777379421</v>
      </c>
      <c r="D37">
        <f t="shared" ca="1" si="1"/>
        <v>0.14994063567544202</v>
      </c>
      <c r="E37">
        <f t="shared" ca="1" si="2"/>
        <v>0.10540440267880241</v>
      </c>
      <c r="F37">
        <f t="shared" ca="1" si="3"/>
        <v>-0.10664007746940411</v>
      </c>
      <c r="G37">
        <v>0</v>
      </c>
      <c r="I37" s="25">
        <f t="array" aca="1" ref="I37:K37" ca="1">_xll.MatProd(E37:G37,$C$13:$E$15)</f>
        <v>0.10540440267880241</v>
      </c>
      <c r="J37" s="25">
        <f ca="1"/>
        <v>-8.6580772165735828E-2</v>
      </c>
      <c r="K37" s="25">
        <f ca="1"/>
        <v>-6.2256533905008349E-2</v>
      </c>
      <c r="L37" s="33">
        <f t="array" aca="1" ref="L37:N37" ca="1">_xll.MatProd(I37:K37,$G$13:$I$15)</f>
        <v>0.10820232668529067</v>
      </c>
      <c r="M37" s="34">
        <f ca="1"/>
        <v>-8.6580772165735828E-2</v>
      </c>
      <c r="N37" s="35">
        <f ca="1"/>
        <v>-5.7255747465474766E-2</v>
      </c>
      <c r="P37">
        <f t="shared" ca="1" si="4"/>
        <v>0</v>
      </c>
      <c r="W37" s="13" t="s">
        <v>8751</v>
      </c>
    </row>
    <row r="38" spans="3:29" x14ac:dyDescent="0.2">
      <c r="W38">
        <f ca="1">AVERAGE(R41:R53)</f>
        <v>-0.13296396621568107</v>
      </c>
      <c r="X38">
        <f ca="1">AVERAGE(S41:S53)</f>
        <v>0.5630661301020814</v>
      </c>
      <c r="Y38">
        <f ca="1">AVERAGE(T41:T53)</f>
        <v>4.0561465769959329E-3</v>
      </c>
    </row>
    <row r="40" spans="3:29" x14ac:dyDescent="0.2">
      <c r="R40" s="13" t="s">
        <v>8740</v>
      </c>
      <c r="S40" s="13" t="s">
        <v>8741</v>
      </c>
      <c r="T40" s="13" t="s">
        <v>8745</v>
      </c>
      <c r="U40" s="13"/>
    </row>
    <row r="41" spans="3:29" x14ac:dyDescent="0.2">
      <c r="R41" s="37">
        <v>0.1279064219052394</v>
      </c>
      <c r="S41">
        <v>0.38509930576902762</v>
      </c>
      <c r="T41">
        <f t="shared" ref="T41:T104" ca="1" si="5">(p_d-p_a*R41-p_b*S41)/p_c</f>
        <v>4.9336858396356778E-2</v>
      </c>
      <c r="U41">
        <v>0</v>
      </c>
      <c r="W41">
        <f t="array" aca="1" ref="W41:Y41" ca="1">R41:T41-$W$38:$Y$38</f>
        <v>0.26087038812092045</v>
      </c>
      <c r="X41">
        <f ca="1"/>
        <v>-0.17796682433305377</v>
      </c>
      <c r="Y41">
        <f ca="1"/>
        <v>4.5280711819360844E-2</v>
      </c>
      <c r="AA41">
        <f t="array" aca="1" ref="AA41:AC43" ca="1">_xll.MatProd(TRANSPOSE(W41:Y41),W41:Y41)</f>
        <v>6.8053359398359672E-2</v>
      </c>
      <c r="AB41">
        <f ca="1"/>
        <v>-4.6426274536411405E-2</v>
      </c>
      <c r="AC41">
        <f ca="1"/>
        <v>1.1812396866708213E-2</v>
      </c>
    </row>
    <row r="42" spans="3:29" x14ac:dyDescent="0.2">
      <c r="R42" s="37">
        <v>0.26428982412019625</v>
      </c>
      <c r="S42">
        <v>0.6467365888613722</v>
      </c>
      <c r="T42">
        <f t="shared" ca="1" si="5"/>
        <v>9.3384830449524836E-2</v>
      </c>
      <c r="U42">
        <v>0</v>
      </c>
      <c r="W42">
        <f t="array" aca="1" ref="W42:Y42" ca="1">R42:T42-$W$38:$Y$38</f>
        <v>0.39725379033587732</v>
      </c>
      <c r="X42">
        <f ca="1"/>
        <v>8.36704587592908E-2</v>
      </c>
      <c r="Y42">
        <f ca="1"/>
        <v>8.9328683872528902E-2</v>
      </c>
      <c r="AA42">
        <f ca="1"/>
        <v>-4.6426274536411405E-2</v>
      </c>
      <c r="AB42">
        <f ca="1"/>
        <v>3.1672190563192024E-2</v>
      </c>
      <c r="AC42">
        <f ca="1"/>
        <v>-8.0584644860318237E-3</v>
      </c>
    </row>
    <row r="43" spans="3:29" x14ac:dyDescent="0.2">
      <c r="R43" s="37">
        <v>-0.19414412249714244</v>
      </c>
      <c r="S43">
        <v>0.75369466806316721</v>
      </c>
      <c r="T43">
        <f t="shared" ca="1" si="5"/>
        <v>1.990093165938876E-3</v>
      </c>
      <c r="U43">
        <v>0</v>
      </c>
      <c r="W43">
        <f t="array" aca="1" ref="W43:Y43" ca="1">R43:T43-$W$38:$Y$38</f>
        <v>-6.1180156281461368E-2</v>
      </c>
      <c r="X43">
        <f ca="1"/>
        <v>0.19062853796108581</v>
      </c>
      <c r="Y43">
        <f ca="1"/>
        <v>-2.0660534110570569E-3</v>
      </c>
      <c r="AA43">
        <f ca="1"/>
        <v>1.1812396866708213E-2</v>
      </c>
      <c r="AB43">
        <f ca="1"/>
        <v>-8.0584644860318237E-3</v>
      </c>
      <c r="AC43">
        <f ca="1"/>
        <v>2.050342862868005E-3</v>
      </c>
    </row>
    <row r="44" spans="3:29" x14ac:dyDescent="0.2">
      <c r="R44" s="37">
        <v>-0.63544659148655547</v>
      </c>
      <c r="S44">
        <v>3.8647498081386344E-2</v>
      </c>
      <c r="T44">
        <f t="shared" ca="1" si="5"/>
        <v>-0.13298122702225132</v>
      </c>
      <c r="U44">
        <v>0</v>
      </c>
      <c r="W44">
        <f t="array" aca="1" ref="W44:Y44" ca="1">R44:T44-$W$38:$Y$38</f>
        <v>-0.50248262527087439</v>
      </c>
      <c r="X44">
        <f ca="1"/>
        <v>-0.52441863202069505</v>
      </c>
      <c r="Y44">
        <f ca="1"/>
        <v>-0.13703737359924725</v>
      </c>
    </row>
    <row r="45" spans="3:29" x14ac:dyDescent="0.2">
      <c r="R45" s="37">
        <v>0.1315324872850199</v>
      </c>
      <c r="S45">
        <v>0.95185228745617201</v>
      </c>
      <c r="T45">
        <f t="shared" ca="1" si="5"/>
        <v>8.2666511680465168E-2</v>
      </c>
      <c r="U45">
        <v>0</v>
      </c>
      <c r="W45">
        <f t="array" aca="1" ref="W45:Y45" ca="1">R45:T45-$W$38:$Y$38</f>
        <v>0.26449645350070095</v>
      </c>
      <c r="X45">
        <f ca="1"/>
        <v>0.38878615735409061</v>
      </c>
      <c r="Y45">
        <f ca="1"/>
        <v>7.8610365103469235E-2</v>
      </c>
      <c r="AA45">
        <f t="array" aca="1" ref="AA45:AC47" ca="1">_xll.MatProd(TRANSPOSE(W42:Y42),W42:Y42)</f>
        <v>0.15781057393622117</v>
      </c>
      <c r="AB45">
        <f ca="1"/>
        <v>3.3238406881269979E-2</v>
      </c>
      <c r="AC45">
        <f ca="1"/>
        <v>3.5486158254077464E-2</v>
      </c>
    </row>
    <row r="46" spans="3:29" x14ac:dyDescent="0.2">
      <c r="R46" s="37">
        <v>-0.59891371615122979</v>
      </c>
      <c r="S46">
        <v>0.88055859630459887</v>
      </c>
      <c r="T46">
        <f t="shared" ca="1" si="5"/>
        <v>-7.6843169180635759E-2</v>
      </c>
      <c r="U46">
        <v>0</v>
      </c>
      <c r="W46">
        <f t="array" aca="1" ref="W46:Y46" ca="1">R46:T46-$W$38:$Y$38</f>
        <v>-0.46594974993554872</v>
      </c>
      <c r="X46">
        <f ca="1"/>
        <v>0.31749246620251748</v>
      </c>
      <c r="Y46">
        <f ca="1"/>
        <v>-8.0899315757631693E-2</v>
      </c>
      <c r="AA46">
        <f ca="1"/>
        <v>3.3238406881269979E-2</v>
      </c>
      <c r="AB46">
        <f ca="1"/>
        <v>7.0007456689901828E-3</v>
      </c>
      <c r="AC46">
        <f ca="1"/>
        <v>7.4741719599781551E-3</v>
      </c>
    </row>
    <row r="47" spans="3:29" x14ac:dyDescent="0.2">
      <c r="R47" s="37">
        <v>-0.24869516961607607</v>
      </c>
      <c r="S47">
        <v>6.3746687979698624E-2</v>
      </c>
      <c r="T47">
        <f t="shared" ca="1" si="5"/>
        <v>-4.925182209820371E-2</v>
      </c>
      <c r="U47">
        <v>0</v>
      </c>
      <c r="W47">
        <f t="array" aca="1" ref="W47:Y47" ca="1">R47:T47-$W$38:$Y$38</f>
        <v>-0.115731203400395</v>
      </c>
      <c r="X47">
        <f ca="1"/>
        <v>-0.49931944212238277</v>
      </c>
      <c r="Y47">
        <f ca="1"/>
        <v>-5.3307968675199643E-2</v>
      </c>
      <c r="AA47">
        <f ca="1"/>
        <v>3.5486158254077464E-2</v>
      </c>
      <c r="AB47">
        <f ca="1"/>
        <v>7.4741719599781551E-3</v>
      </c>
      <c r="AC47">
        <f ca="1"/>
        <v>7.9796137623982053E-3</v>
      </c>
    </row>
    <row r="48" spans="3:29" x14ac:dyDescent="0.2">
      <c r="R48" s="37">
        <v>-0.17950060574109106</v>
      </c>
      <c r="S48">
        <v>0.53359593018244567</v>
      </c>
      <c r="T48">
        <f t="shared" ca="1" si="5"/>
        <v>-7.5382350195384532E-3</v>
      </c>
      <c r="U48">
        <v>0</v>
      </c>
      <c r="W48">
        <f t="array" aca="1" ref="W48:Y48" ca="1">R48:T48-$W$38:$Y$38</f>
        <v>-4.6536639525409984E-2</v>
      </c>
      <c r="X48">
        <f ca="1"/>
        <v>-2.9470199919635731E-2</v>
      </c>
      <c r="Y48">
        <f ca="1"/>
        <v>-1.1594381596534385E-2</v>
      </c>
    </row>
    <row r="49" spans="18:29" x14ac:dyDescent="0.2">
      <c r="R49" s="37">
        <v>0.53165839244040802</v>
      </c>
      <c r="S49">
        <v>0.65715821544697894</v>
      </c>
      <c r="T49">
        <f t="shared" ca="1" si="5"/>
        <v>0.15087044906618985</v>
      </c>
      <c r="U49">
        <v>0</v>
      </c>
      <c r="W49">
        <f t="array" aca="1" ref="W49:Y49" ca="1">R49:T49-$W$38:$Y$38</f>
        <v>0.6646223586560891</v>
      </c>
      <c r="X49">
        <f ca="1"/>
        <v>9.4092085344897547E-2</v>
      </c>
      <c r="Y49">
        <f ca="1"/>
        <v>0.14681430248919392</v>
      </c>
      <c r="AA49">
        <f t="array" aca="1" ref="AA49:AC51" ca="1">_xll.MatProd(TRANSPOSE(W43:Y43),W43:Y43)</f>
        <v>3.743011522624037E-3</v>
      </c>
      <c r="AB49">
        <f ca="1"/>
        <v>-1.166268374416572E-2</v>
      </c>
      <c r="AC49">
        <f ca="1"/>
        <v>1.2640147057431709E-4</v>
      </c>
    </row>
    <row r="50" spans="18:29" x14ac:dyDescent="0.2">
      <c r="R50" s="37">
        <v>-0.18462067076192165</v>
      </c>
      <c r="S50">
        <v>0.67399604135755964</v>
      </c>
      <c r="T50">
        <f t="shared" ca="1" si="5"/>
        <v>-5.6207225433628223E-4</v>
      </c>
      <c r="U50">
        <v>0</v>
      </c>
      <c r="W50">
        <f t="array" aca="1" ref="W50:Y50" ca="1">R50:T50-$W$38:$Y$38</f>
        <v>-5.1656704546240578E-2</v>
      </c>
      <c r="X50">
        <f ca="1"/>
        <v>0.11092991125547824</v>
      </c>
      <c r="Y50">
        <f ca="1"/>
        <v>-4.6182188313322152E-3</v>
      </c>
      <c r="AA50">
        <f ca="1"/>
        <v>-1.166268374416572E-2</v>
      </c>
      <c r="AB50">
        <f ca="1"/>
        <v>3.6339239485181134E-2</v>
      </c>
      <c r="AC50">
        <f ca="1"/>
        <v>-3.9384874109932099E-4</v>
      </c>
    </row>
    <row r="51" spans="18:29" x14ac:dyDescent="0.2">
      <c r="R51" s="37">
        <v>0.10558107614354884</v>
      </c>
      <c r="S51">
        <v>0.32262313286129196</v>
      </c>
      <c r="T51">
        <f t="shared" ca="1" si="5"/>
        <v>4.0997728088531415E-2</v>
      </c>
      <c r="U51">
        <v>0</v>
      </c>
      <c r="W51">
        <f t="array" aca="1" ref="W51:Y51" ca="1">R51:T51-$W$38:$Y$38</f>
        <v>0.23854504235922991</v>
      </c>
      <c r="X51">
        <f ca="1"/>
        <v>-0.24044299724078944</v>
      </c>
      <c r="Y51">
        <f ca="1"/>
        <v>3.6941581511535482E-2</v>
      </c>
      <c r="AA51">
        <f ca="1"/>
        <v>1.2640147057431709E-4</v>
      </c>
      <c r="AB51">
        <f ca="1"/>
        <v>-3.9384874109932099E-4</v>
      </c>
      <c r="AC51">
        <f ca="1"/>
        <v>4.2685766973405002E-6</v>
      </c>
    </row>
    <row r="52" spans="18:29" x14ac:dyDescent="0.2">
      <c r="R52" s="37">
        <v>-0.14898573187382136</v>
      </c>
      <c r="S52">
        <v>0.61325880597390003</v>
      </c>
      <c r="T52">
        <f t="shared" ca="1" si="5"/>
        <v>3.5306693061982232E-3</v>
      </c>
      <c r="U52">
        <v>0</v>
      </c>
      <c r="W52">
        <f t="array" aca="1" ref="W52:Y52" ca="1">R52:T52-$W$38:$Y$38</f>
        <v>-1.6021765658140286E-2</v>
      </c>
      <c r="X52">
        <f ca="1"/>
        <v>5.0192675871818637E-2</v>
      </c>
      <c r="Y52">
        <f ca="1"/>
        <v>-5.2547727079770967E-4</v>
      </c>
    </row>
    <row r="53" spans="18:29" x14ac:dyDescent="0.2">
      <c r="R53" s="37">
        <v>-0.69919315457042852</v>
      </c>
      <c r="S53">
        <v>0.79889193298945871</v>
      </c>
      <c r="T53">
        <f t="shared" ca="1" si="5"/>
        <v>-0.10287070907729247</v>
      </c>
      <c r="U53">
        <v>0</v>
      </c>
      <c r="W53">
        <f t="array" aca="1" ref="W53:Y53" ca="1">R53:T53-$W$38:$Y$38</f>
        <v>-0.56622918835474745</v>
      </c>
      <c r="X53">
        <f ca="1"/>
        <v>0.23582580288737731</v>
      </c>
      <c r="Y53">
        <f ca="1"/>
        <v>-0.1069268556542884</v>
      </c>
      <c r="AA53">
        <f t="array" aca="1" ref="AA53:AC55" ca="1">_xll.MatProd(TRANSPOSE(W44:Y44),W44:Y44)</f>
        <v>0.25248878869910996</v>
      </c>
      <c r="AB53">
        <f ca="1"/>
        <v>0.26351125095871947</v>
      </c>
      <c r="AC53">
        <f ca="1"/>
        <v>6.885889924637538E-2</v>
      </c>
    </row>
    <row r="54" spans="18:29" x14ac:dyDescent="0.2">
      <c r="R54" s="23">
        <v>-0.17038549264270827</v>
      </c>
      <c r="S54">
        <v>0.65004600024213155</v>
      </c>
      <c r="T54">
        <f t="shared" ca="1" si="5"/>
        <v>1.0908356218440991E-3</v>
      </c>
      <c r="U54">
        <v>0</v>
      </c>
      <c r="AA54">
        <f ca="1"/>
        <v>0.26351125095871947</v>
      </c>
      <c r="AB54">
        <f ca="1"/>
        <v>0.27501490161045716</v>
      </c>
      <c r="AC54">
        <f ca="1"/>
        <v>7.186495199862615E-2</v>
      </c>
    </row>
    <row r="55" spans="18:29" x14ac:dyDescent="0.2">
      <c r="R55" s="23">
        <v>0.3461765891037295</v>
      </c>
      <c r="S55">
        <v>0.34489904960265538</v>
      </c>
      <c r="T55">
        <f t="shared" ca="1" si="5"/>
        <v>9.3467943084350316E-2</v>
      </c>
      <c r="U55">
        <v>0</v>
      </c>
      <c r="AA55">
        <f ca="1"/>
        <v>6.885889924637538E-2</v>
      </c>
      <c r="AB55">
        <f ca="1"/>
        <v>7.186495199862615E-2</v>
      </c>
      <c r="AC55">
        <f ca="1"/>
        <v>1.8779241762979668E-2</v>
      </c>
    </row>
    <row r="56" spans="18:29" x14ac:dyDescent="0.2">
      <c r="R56">
        <v>-1.3556022766833046E-2</v>
      </c>
      <c r="S56">
        <v>0.32310385119776064</v>
      </c>
      <c r="T56">
        <f t="shared" ca="1" si="5"/>
        <v>1.5677024905651562E-2</v>
      </c>
      <c r="U56">
        <v>0</v>
      </c>
    </row>
    <row r="57" spans="18:29" x14ac:dyDescent="0.2">
      <c r="R57">
        <v>0.28379374494563658</v>
      </c>
      <c r="S57">
        <v>4.0193974689071932E-2</v>
      </c>
      <c r="T57">
        <f t="shared" ca="1" si="5"/>
        <v>6.2690663428018295E-2</v>
      </c>
      <c r="U57">
        <v>0</v>
      </c>
      <c r="AA57">
        <f t="array" aca="1" ref="AA57:AC59" ca="1">_xll.MatProd(TRANSPOSE(W45:Y45),W45:Y45)</f>
        <v>6.9958373914448452E-2</v>
      </c>
      <c r="AB57">
        <f ca="1"/>
        <v>0.10283255979032242</v>
      </c>
      <c r="AC57">
        <f ca="1"/>
        <v>2.0792162778262874E-2</v>
      </c>
    </row>
    <row r="58" spans="18:29" x14ac:dyDescent="0.2">
      <c r="R58">
        <v>0.16871377956691325</v>
      </c>
      <c r="S58">
        <v>0.26817157151997795</v>
      </c>
      <c r="T58">
        <f t="shared" ca="1" si="5"/>
        <v>5.1302149761129213E-2</v>
      </c>
      <c r="U58">
        <v>0</v>
      </c>
      <c r="AA58">
        <f ca="1"/>
        <v>0.10283255979032242</v>
      </c>
      <c r="AB58">
        <f ca="1"/>
        <v>0.15115467615015971</v>
      </c>
      <c r="AC58">
        <f ca="1"/>
        <v>3.0562621776779902E-2</v>
      </c>
    </row>
    <row r="59" spans="18:29" x14ac:dyDescent="0.2">
      <c r="R59">
        <v>0.17188573505165849</v>
      </c>
      <c r="S59">
        <v>0.70430639738721523</v>
      </c>
      <c r="T59">
        <f t="shared" ca="1" si="5"/>
        <v>7.7031587733235443E-2</v>
      </c>
      <c r="U59">
        <v>0</v>
      </c>
      <c r="AA59">
        <f ca="1"/>
        <v>2.0792162778262874E-2</v>
      </c>
      <c r="AB59">
        <f ca="1"/>
        <v>3.0562621776779902E-2</v>
      </c>
      <c r="AC59">
        <f ca="1"/>
        <v>6.179589501700734E-3</v>
      </c>
    </row>
    <row r="60" spans="18:29" x14ac:dyDescent="0.2">
      <c r="R60">
        <v>0.99285868466497451</v>
      </c>
      <c r="S60">
        <v>0.44793477309141105</v>
      </c>
      <c r="T60">
        <f t="shared" ca="1" si="5"/>
        <v>0.23697895178716075</v>
      </c>
      <c r="U60">
        <v>0</v>
      </c>
    </row>
    <row r="61" spans="18:29" x14ac:dyDescent="0.2">
      <c r="R61">
        <v>0.55053346307016804</v>
      </c>
      <c r="S61">
        <v>0.8881519380863494</v>
      </c>
      <c r="T61">
        <f t="shared" ca="1" si="5"/>
        <v>0.1681562736922303</v>
      </c>
      <c r="U61">
        <v>0</v>
      </c>
      <c r="AA61">
        <f t="array" aca="1" ref="AA61:AC63" ca="1">_xll.MatProd(TRANSPOSE(W46:Y46),W46:Y46)</f>
        <v>0.21710916946500039</v>
      </c>
      <c r="AB61">
        <f ca="1"/>
        <v>-0.14793553523348368</v>
      </c>
      <c r="AC61">
        <f ca="1"/>
        <v>3.7695015947225484E-2</v>
      </c>
    </row>
    <row r="62" spans="18:29" x14ac:dyDescent="0.2">
      <c r="R62">
        <v>0.20975885766079516</v>
      </c>
      <c r="S62">
        <v>8.4563146911201814E-3</v>
      </c>
      <c r="T62">
        <f t="shared" ca="1" si="5"/>
        <v>4.5115332473914381E-2</v>
      </c>
      <c r="U62">
        <v>0</v>
      </c>
      <c r="AA62">
        <f ca="1"/>
        <v>-0.14793553523348368</v>
      </c>
      <c r="AB62">
        <f ca="1"/>
        <v>0.1008014660953567</v>
      </c>
      <c r="AC62">
        <f ca="1"/>
        <v>-2.5684923273986669E-2</v>
      </c>
    </row>
    <row r="63" spans="18:29" x14ac:dyDescent="0.2">
      <c r="R63">
        <v>0.41114078225917028</v>
      </c>
      <c r="S63">
        <v>0.42396743829897965</v>
      </c>
      <c r="T63">
        <f t="shared" ca="1" si="5"/>
        <v>0.11183233842550953</v>
      </c>
      <c r="U63">
        <v>0</v>
      </c>
      <c r="AA63">
        <f ca="1"/>
        <v>3.7695015947225484E-2</v>
      </c>
      <c r="AB63">
        <f ca="1"/>
        <v>-2.5684923273986669E-2</v>
      </c>
      <c r="AC63">
        <f ca="1"/>
        <v>6.5446992900529957E-3</v>
      </c>
    </row>
    <row r="64" spans="18:29" x14ac:dyDescent="0.2">
      <c r="R64">
        <v>0.35123408979909665</v>
      </c>
      <c r="S64">
        <v>0.63176494910491854</v>
      </c>
      <c r="T64">
        <f t="shared" ca="1" si="5"/>
        <v>0.11102353745902652</v>
      </c>
      <c r="U64">
        <v>0</v>
      </c>
    </row>
    <row r="65" spans="18:29" x14ac:dyDescent="0.2">
      <c r="R65">
        <v>0.67527986425759812</v>
      </c>
      <c r="S65">
        <v>0.77182745060657176</v>
      </c>
      <c r="T65">
        <f t="shared" ca="1" si="5"/>
        <v>0.18801559062156861</v>
      </c>
      <c r="U65">
        <v>0</v>
      </c>
      <c r="AA65">
        <f ca="1">AA41+AA45+AA49+AA53+AA57+AA61</f>
        <v>0.7691632769357637</v>
      </c>
      <c r="AB65">
        <f t="shared" ref="AB65:AC65" ca="1" si="6">AB41+AB45+AB49+AB53+AB57+AB61</f>
        <v>0.19355772411625105</v>
      </c>
      <c r="AC65">
        <f t="shared" ca="1" si="6"/>
        <v>0.17477103456322374</v>
      </c>
    </row>
    <row r="66" spans="18:29" x14ac:dyDescent="0.2">
      <c r="R66">
        <v>0.7814325444629916</v>
      </c>
      <c r="S66">
        <v>0.21849859039074215</v>
      </c>
      <c r="T66">
        <f t="shared" ca="1" si="5"/>
        <v>0.17881429018478553</v>
      </c>
      <c r="U66">
        <v>0</v>
      </c>
      <c r="AA66">
        <f t="shared" ref="AA66:AC67" ca="1" si="7">AA42+AA46+AA50+AA54+AA58+AA62</f>
        <v>0.19355772411625105</v>
      </c>
      <c r="AB66">
        <f t="shared" ca="1" si="7"/>
        <v>0.60198321957333689</v>
      </c>
      <c r="AC66">
        <f t="shared" ca="1" si="7"/>
        <v>7.5764509234266392E-2</v>
      </c>
    </row>
    <row r="67" spans="18:29" x14ac:dyDescent="0.2">
      <c r="R67">
        <v>5.2803343003634318E-2</v>
      </c>
      <c r="S67">
        <v>0.72405121541529616</v>
      </c>
      <c r="T67">
        <f t="shared" ca="1" si="5"/>
        <v>5.2829185354417933E-2</v>
      </c>
      <c r="U67">
        <v>0</v>
      </c>
      <c r="AA67">
        <f t="shared" ca="1" si="7"/>
        <v>0.17477103456322374</v>
      </c>
      <c r="AB67">
        <f t="shared" ca="1" si="7"/>
        <v>7.5764509234266392E-2</v>
      </c>
      <c r="AC67">
        <f t="shared" ca="1" si="7"/>
        <v>4.1537755756696951E-2</v>
      </c>
    </row>
    <row r="68" spans="18:29" x14ac:dyDescent="0.2">
      <c r="R68">
        <v>0.87240105555042735</v>
      </c>
      <c r="S68">
        <v>0.36177562929339879</v>
      </c>
      <c r="T68">
        <f t="shared" ca="1" si="5"/>
        <v>0.2064001011616266</v>
      </c>
      <c r="U68">
        <v>0</v>
      </c>
    </row>
    <row r="69" spans="18:29" x14ac:dyDescent="0.2">
      <c r="R69">
        <v>0.65513689022847654</v>
      </c>
      <c r="S69">
        <v>0.83430738252621217</v>
      </c>
      <c r="T69">
        <f t="shared" ca="1" si="5"/>
        <v>0.18731912415118165</v>
      </c>
      <c r="U69">
        <v>0</v>
      </c>
      <c r="AA69">
        <f t="array" aca="1" ref="AA69:AC72" ca="1">_xll.EigenValuesVectors(AA65:AC67)</f>
        <v>1.2278791003077433E-16</v>
      </c>
      <c r="AB69">
        <f ca="1"/>
        <v>0.4767964161080756</v>
      </c>
      <c r="AC69">
        <f ca="1"/>
        <v>0.93588783615772331</v>
      </c>
    </row>
    <row r="70" spans="18:29" x14ac:dyDescent="0.2">
      <c r="R70">
        <v>0.46473054352243215</v>
      </c>
      <c r="S70">
        <v>0.95861823784548517</v>
      </c>
      <c r="T70">
        <f t="shared" ca="1" si="5"/>
        <v>0.1539483973916411</v>
      </c>
      <c r="Y70">
        <f ca="1">p_a/W68</f>
        <v>0.20777990046551845</v>
      </c>
      <c r="AA70">
        <f ca="1"/>
        <v>-0.2077799004655185</v>
      </c>
      <c r="AB70">
        <f ca="1"/>
        <v>0.52454939544303636</v>
      </c>
      <c r="AC70">
        <f ca="1"/>
        <v>0.8256363877051961</v>
      </c>
    </row>
    <row r="71" spans="18:29" x14ac:dyDescent="0.2">
      <c r="R71">
        <v>0.51025679441676142</v>
      </c>
      <c r="S71">
        <v>0.50266236005516318</v>
      </c>
      <c r="T71">
        <f t="shared" ca="1" si="5"/>
        <v>0.13744162375141605</v>
      </c>
      <c r="Y71">
        <f ca="1">p_b/W68</f>
        <v>5.6100573125689987E-2</v>
      </c>
      <c r="AA71">
        <f ca="1"/>
        <v>-5.6100573125690265E-2</v>
      </c>
      <c r="AB71">
        <f ca="1"/>
        <v>-0.84905845084973119</v>
      </c>
      <c r="AC71">
        <f ca="1"/>
        <v>0.52531178621426844</v>
      </c>
    </row>
    <row r="72" spans="18:29" x14ac:dyDescent="0.2">
      <c r="R72">
        <v>0.38050121197072151</v>
      </c>
      <c r="S72">
        <v>0.35926313752895489</v>
      </c>
      <c r="T72">
        <f t="shared" ca="1" si="5"/>
        <v>0.10159622534117857</v>
      </c>
      <c r="Y72">
        <f ca="1">p_c/W68</f>
        <v>-0.97656553218793674</v>
      </c>
      <c r="AA72">
        <f ca="1"/>
        <v>0.97656553218793718</v>
      </c>
      <c r="AB72">
        <f ca="1"/>
        <v>6.2830556109278318E-2</v>
      </c>
      <c r="AC72">
        <f ca="1"/>
        <v>0.20584480212405304</v>
      </c>
    </row>
    <row r="73" spans="18:29" x14ac:dyDescent="0.2">
      <c r="R73">
        <v>2.5328606705493861E-2</v>
      </c>
      <c r="S73">
        <v>0.64557800704162827</v>
      </c>
      <c r="T73">
        <f t="shared" ca="1" si="5"/>
        <v>4.2475461405687982E-2</v>
      </c>
    </row>
    <row r="74" spans="18:29" x14ac:dyDescent="0.2">
      <c r="R74">
        <v>7.7382209915594524E-2</v>
      </c>
      <c r="S74">
        <v>0.31616789869981232</v>
      </c>
      <c r="T74">
        <f t="shared" ca="1" si="5"/>
        <v>3.4627136715860395E-2</v>
      </c>
    </row>
    <row r="75" spans="18:29" x14ac:dyDescent="0.2">
      <c r="R75">
        <v>5.3555654930771301E-2</v>
      </c>
      <c r="S75">
        <v>0.45634589527836023</v>
      </c>
      <c r="T75">
        <f t="shared" ca="1" si="5"/>
        <v>3.7610435458708208E-2</v>
      </c>
    </row>
    <row r="76" spans="18:29" x14ac:dyDescent="0.2">
      <c r="R76">
        <v>0.72948201528626777</v>
      </c>
      <c r="S76">
        <v>0.21531045973790652</v>
      </c>
      <c r="T76">
        <f t="shared" ca="1" si="5"/>
        <v>0.16757783817351116</v>
      </c>
    </row>
    <row r="77" spans="18:29" x14ac:dyDescent="0.2">
      <c r="R77">
        <v>7.8505014470145795E-2</v>
      </c>
      <c r="S77">
        <v>0.79101353308154865</v>
      </c>
      <c r="T77">
        <f t="shared" ca="1" si="5"/>
        <v>6.2144397532375308E-2</v>
      </c>
    </row>
    <row r="78" spans="18:29" x14ac:dyDescent="0.2">
      <c r="R78">
        <v>0.45155661164465233</v>
      </c>
      <c r="S78">
        <v>0.10870780111776845</v>
      </c>
      <c r="T78">
        <f t="shared" ca="1" si="5"/>
        <v>0.10232079105243613</v>
      </c>
    </row>
    <row r="79" spans="18:29" x14ac:dyDescent="0.2">
      <c r="R79">
        <v>0.2442383169725999</v>
      </c>
      <c r="S79">
        <v>0.33951411559090516</v>
      </c>
      <c r="T79">
        <f t="shared" ca="1" si="5"/>
        <v>7.1469601740881766E-2</v>
      </c>
    </row>
    <row r="80" spans="18:29" x14ac:dyDescent="0.2">
      <c r="R80">
        <v>0.76034683624711519</v>
      </c>
      <c r="S80">
        <v>5.9047117555319439E-2</v>
      </c>
      <c r="T80">
        <f t="shared" ca="1" si="5"/>
        <v>0.16516799106107477</v>
      </c>
    </row>
    <row r="81" spans="18:20" x14ac:dyDescent="0.2">
      <c r="R81">
        <v>0.28652762637997564</v>
      </c>
      <c r="S81">
        <v>0.69497912228131187</v>
      </c>
      <c r="T81">
        <f t="shared" ca="1" si="5"/>
        <v>0.10088765731828295</v>
      </c>
    </row>
    <row r="82" spans="18:20" x14ac:dyDescent="0.2">
      <c r="R82">
        <v>0.75831106827312933</v>
      </c>
      <c r="S82">
        <v>6.3653792628347583E-2</v>
      </c>
      <c r="T82">
        <f t="shared" ca="1" si="5"/>
        <v>0.1649994877197411</v>
      </c>
    </row>
    <row r="83" spans="18:20" x14ac:dyDescent="0.2">
      <c r="R83">
        <v>0.11392385898265389</v>
      </c>
      <c r="S83">
        <v>0.14967269712947451</v>
      </c>
      <c r="T83">
        <f t="shared" ca="1" si="5"/>
        <v>3.2837337703747235E-2</v>
      </c>
    </row>
    <row r="84" spans="18:20" x14ac:dyDescent="0.2">
      <c r="R84">
        <v>7.7147863004857875E-2</v>
      </c>
      <c r="S84">
        <v>0.58129708346019937</v>
      </c>
      <c r="T84">
        <f t="shared" ca="1" si="5"/>
        <v>4.9808101178534403E-2</v>
      </c>
    </row>
    <row r="85" spans="18:20" x14ac:dyDescent="0.2">
      <c r="R85">
        <v>0.28041801954038559</v>
      </c>
      <c r="S85">
        <v>0.62405758675204726</v>
      </c>
      <c r="T85">
        <f t="shared" ca="1" si="5"/>
        <v>9.5513525098603905E-2</v>
      </c>
    </row>
    <row r="86" spans="18:20" x14ac:dyDescent="0.2">
      <c r="R86">
        <v>0.46722491459067217</v>
      </c>
      <c r="S86">
        <v>0.2098351569720317</v>
      </c>
      <c r="T86">
        <f t="shared" ca="1" si="5"/>
        <v>0.11146391637725973</v>
      </c>
    </row>
    <row r="87" spans="18:20" x14ac:dyDescent="0.2">
      <c r="R87">
        <v>0.10137677396636025</v>
      </c>
      <c r="S87">
        <v>0.9776238165386284</v>
      </c>
      <c r="T87">
        <f t="shared" ca="1" si="5"/>
        <v>7.7730894559955299E-2</v>
      </c>
    </row>
    <row r="88" spans="18:20" x14ac:dyDescent="0.2">
      <c r="R88">
        <v>0.32156336989768308</v>
      </c>
      <c r="S88">
        <v>0.76503240566072106</v>
      </c>
      <c r="T88">
        <f t="shared" ca="1" si="5"/>
        <v>0.11236640838852718</v>
      </c>
    </row>
    <row r="89" spans="18:20" x14ac:dyDescent="0.2">
      <c r="R89">
        <v>0.45683177459077495</v>
      </c>
      <c r="S89">
        <v>0.34808000613001933</v>
      </c>
      <c r="T89">
        <f t="shared" ca="1" si="5"/>
        <v>0.11719433537146387</v>
      </c>
    </row>
    <row r="90" spans="18:20" x14ac:dyDescent="0.2">
      <c r="R90">
        <v>0.29938839061658684</v>
      </c>
      <c r="S90">
        <v>0.10750929036607992</v>
      </c>
      <c r="T90">
        <f t="shared" ca="1" si="5"/>
        <v>6.9875723194772005E-2</v>
      </c>
    </row>
    <row r="91" spans="18:20" x14ac:dyDescent="0.2">
      <c r="R91">
        <v>0.88477157058250322</v>
      </c>
      <c r="S91">
        <v>0.79709741877116325</v>
      </c>
      <c r="T91">
        <f t="shared" ca="1" si="5"/>
        <v>0.23403997311717389</v>
      </c>
    </row>
    <row r="92" spans="18:20" x14ac:dyDescent="0.2">
      <c r="R92">
        <v>0.45207973052587525</v>
      </c>
      <c r="S92">
        <v>0.90449047838011742</v>
      </c>
      <c r="T92">
        <f t="shared" ca="1" si="5"/>
        <v>0.14814726801883127</v>
      </c>
    </row>
    <row r="93" spans="18:20" x14ac:dyDescent="0.2">
      <c r="R93">
        <v>0.32349778421383213</v>
      </c>
      <c r="S93">
        <v>0.49171539035097034</v>
      </c>
      <c r="T93">
        <f t="shared" ca="1" si="5"/>
        <v>9.7076795661403009E-2</v>
      </c>
    </row>
    <row r="94" spans="18:20" x14ac:dyDescent="0.2">
      <c r="R94">
        <v>0.98544152116105199</v>
      </c>
      <c r="S94">
        <v>0.95633605495985818</v>
      </c>
      <c r="T94">
        <f t="shared" ca="1" si="5"/>
        <v>0.26460686297876884</v>
      </c>
    </row>
    <row r="95" spans="18:20" x14ac:dyDescent="0.2">
      <c r="R95">
        <v>0.25880876096733729</v>
      </c>
      <c r="S95">
        <v>0.9531178391230134</v>
      </c>
      <c r="T95">
        <f t="shared" ca="1" si="5"/>
        <v>0.10981927181501083</v>
      </c>
    </row>
    <row r="96" spans="18:20" x14ac:dyDescent="0.2">
      <c r="R96">
        <v>0.28490520015188792</v>
      </c>
      <c r="S96">
        <v>0.73345316882865896</v>
      </c>
      <c r="T96">
        <f t="shared" ca="1" si="5"/>
        <v>0.10275267143311188</v>
      </c>
    </row>
    <row r="97" spans="18:20" x14ac:dyDescent="0.2">
      <c r="R97">
        <v>0.5927757765131082</v>
      </c>
      <c r="S97">
        <v>7.3358050612353343E-2</v>
      </c>
      <c r="T97">
        <f t="shared" ca="1" si="5"/>
        <v>0.13033669152732841</v>
      </c>
    </row>
    <row r="98" spans="18:20" x14ac:dyDescent="0.2">
      <c r="R98">
        <v>0.60229390223443513</v>
      </c>
      <c r="S98">
        <v>0.30062917108621046</v>
      </c>
      <c r="T98">
        <f t="shared" ca="1" si="5"/>
        <v>0.14541782519738553</v>
      </c>
    </row>
    <row r="99" spans="18:20" x14ac:dyDescent="0.2">
      <c r="R99">
        <v>0.18948092360458324</v>
      </c>
      <c r="S99">
        <v>0.14597259596547529</v>
      </c>
      <c r="T99">
        <f t="shared" ca="1" si="5"/>
        <v>4.8700749896864161E-2</v>
      </c>
    </row>
    <row r="100" spans="18:20" x14ac:dyDescent="0.2">
      <c r="R100">
        <v>0.33274748889472461</v>
      </c>
      <c r="S100">
        <v>0.36138030259193121</v>
      </c>
      <c r="T100">
        <f t="shared" ca="1" si="5"/>
        <v>9.1557483105222562E-2</v>
      </c>
    </row>
    <row r="101" spans="18:20" x14ac:dyDescent="0.2">
      <c r="R101">
        <v>1.827732369929258E-2</v>
      </c>
      <c r="S101">
        <v>0.37805769363589659</v>
      </c>
      <c r="T101">
        <f t="shared" ca="1" si="5"/>
        <v>2.560700020872014E-2</v>
      </c>
    </row>
    <row r="102" spans="18:20" x14ac:dyDescent="0.2">
      <c r="R102">
        <v>0.99826654928587943</v>
      </c>
      <c r="S102">
        <v>0.85160736030358453</v>
      </c>
      <c r="T102">
        <f t="shared" ca="1" si="5"/>
        <v>0.26131926309954195</v>
      </c>
    </row>
    <row r="103" spans="18:20" x14ac:dyDescent="0.2">
      <c r="R103">
        <v>0.7523612627939128</v>
      </c>
      <c r="S103">
        <v>0.43144033284335603</v>
      </c>
      <c r="T103">
        <f t="shared" ca="1" si="5"/>
        <v>0.18486173460885508</v>
      </c>
    </row>
    <row r="104" spans="18:20" x14ac:dyDescent="0.2">
      <c r="R104">
        <v>0.59435282027278247</v>
      </c>
      <c r="S104">
        <v>0.19649098920938068</v>
      </c>
      <c r="T104">
        <f t="shared" ca="1" si="5"/>
        <v>0.13774582709772665</v>
      </c>
    </row>
    <row r="105" spans="18:20" x14ac:dyDescent="0.2">
      <c r="R105">
        <v>0.61199760252103985</v>
      </c>
      <c r="S105">
        <v>0.85079680893465126</v>
      </c>
      <c r="T105">
        <f t="shared" ref="T105:T168" ca="1" si="8">(p_d-p_a*R105-p_b*S105)/p_c</f>
        <v>0.17908781721987144</v>
      </c>
    </row>
    <row r="106" spans="18:20" x14ac:dyDescent="0.2">
      <c r="R106">
        <v>0.32728682854227498</v>
      </c>
      <c r="S106">
        <v>0.94982557181182259</v>
      </c>
      <c r="T106">
        <f t="shared" ca="1" si="8"/>
        <v>0.12419994317690788</v>
      </c>
    </row>
    <row r="107" spans="18:20" x14ac:dyDescent="0.2">
      <c r="R107">
        <v>0.47811309782132727</v>
      </c>
      <c r="S107">
        <v>0.3722208584878085</v>
      </c>
      <c r="T107">
        <f t="shared" ca="1" si="8"/>
        <v>0.12310909140702883</v>
      </c>
    </row>
    <row r="108" spans="18:20" x14ac:dyDescent="0.2">
      <c r="R108">
        <v>0.49529033120609511</v>
      </c>
      <c r="S108">
        <v>4.2120484160295679E-2</v>
      </c>
      <c r="T108">
        <f t="shared" ca="1" si="8"/>
        <v>0.1078006089211436</v>
      </c>
    </row>
    <row r="109" spans="18:20" x14ac:dyDescent="0.2">
      <c r="R109">
        <v>6.8261443156964141E-2</v>
      </c>
      <c r="S109">
        <v>0.58915577939563712</v>
      </c>
      <c r="T109">
        <f t="shared" ca="1" si="8"/>
        <v>4.8368830551869399E-2</v>
      </c>
    </row>
    <row r="110" spans="18:20" x14ac:dyDescent="0.2">
      <c r="R110">
        <v>0.20317019510392342</v>
      </c>
      <c r="S110">
        <v>0.5745989153865958</v>
      </c>
      <c r="T110">
        <f t="shared" ca="1" si="8"/>
        <v>7.6236574948575386E-2</v>
      </c>
    </row>
    <row r="111" spans="18:20" x14ac:dyDescent="0.2">
      <c r="R111">
        <v>0.94267641163376859</v>
      </c>
      <c r="S111">
        <v>0.69685925068020071</v>
      </c>
      <c r="T111">
        <f t="shared" ca="1" si="8"/>
        <v>0.24060178921647293</v>
      </c>
    </row>
    <row r="112" spans="18:20" x14ac:dyDescent="0.2">
      <c r="R112">
        <v>0.48632740168941024</v>
      </c>
      <c r="S112">
        <v>0.2648537196520041</v>
      </c>
      <c r="T112">
        <f t="shared" ca="1" si="8"/>
        <v>0.11868891616924497</v>
      </c>
    </row>
    <row r="113" spans="18:20" x14ac:dyDescent="0.2">
      <c r="R113">
        <v>0.54884517344867434</v>
      </c>
      <c r="S113">
        <v>0.60121851828858219</v>
      </c>
      <c r="T113">
        <f t="shared" ca="1" si="8"/>
        <v>0.15131365391204074</v>
      </c>
    </row>
    <row r="114" spans="18:20" x14ac:dyDescent="0.2">
      <c r="R114">
        <v>0.5516482655730699</v>
      </c>
      <c r="S114">
        <v>0.21094822850213335</v>
      </c>
      <c r="T114">
        <f t="shared" ca="1" si="8"/>
        <v>0.12949027388694592</v>
      </c>
    </row>
    <row r="115" spans="18:20" x14ac:dyDescent="0.2">
      <c r="R115">
        <v>0.18889326259841999</v>
      </c>
      <c r="S115">
        <v>0.71190636869278567</v>
      </c>
      <c r="T115">
        <f t="shared" ca="1" si="8"/>
        <v>8.1086804711802588E-2</v>
      </c>
    </row>
    <row r="116" spans="18:20" x14ac:dyDescent="0.2">
      <c r="R116">
        <v>0.36601001333568051</v>
      </c>
      <c r="S116">
        <v>0.31076437935876045</v>
      </c>
      <c r="T116">
        <f t="shared" ca="1" si="8"/>
        <v>9.5726892715435274E-2</v>
      </c>
    </row>
    <row r="117" spans="18:20" x14ac:dyDescent="0.2">
      <c r="R117">
        <v>0.49900460338458574</v>
      </c>
      <c r="S117">
        <v>0.82063192116317674</v>
      </c>
      <c r="T117">
        <f t="shared" ca="1" si="8"/>
        <v>0.15331387704226457</v>
      </c>
    </row>
    <row r="118" spans="18:20" x14ac:dyDescent="0.2">
      <c r="R118">
        <v>0.67483959714979802</v>
      </c>
      <c r="S118">
        <v>0.31404219962252866</v>
      </c>
      <c r="T118">
        <f t="shared" ca="1" si="8"/>
        <v>0.16162361511657036</v>
      </c>
    </row>
    <row r="119" spans="18:20" x14ac:dyDescent="0.2">
      <c r="R119">
        <v>0.99328895960499797</v>
      </c>
      <c r="S119">
        <v>8.7281572998316403E-2</v>
      </c>
      <c r="T119">
        <f t="shared" ca="1" si="8"/>
        <v>0.21635212432224327</v>
      </c>
    </row>
    <row r="120" spans="18:20" x14ac:dyDescent="0.2">
      <c r="R120">
        <v>0.54932419730904192</v>
      </c>
      <c r="S120">
        <v>0.69959932258615598</v>
      </c>
      <c r="T120">
        <f t="shared" ca="1" si="8"/>
        <v>0.15706723710793702</v>
      </c>
    </row>
    <row r="121" spans="18:20" x14ac:dyDescent="0.2">
      <c r="R121">
        <v>0.53578643720232755</v>
      </c>
      <c r="S121">
        <v>0.33214912275988151</v>
      </c>
      <c r="T121">
        <f t="shared" ca="1" si="8"/>
        <v>0.13307802135053096</v>
      </c>
    </row>
    <row r="122" spans="18:20" x14ac:dyDescent="0.2">
      <c r="R122">
        <v>0.91196344636855453</v>
      </c>
      <c r="S122">
        <v>7.8356095289583205E-2</v>
      </c>
      <c r="T122">
        <f t="shared" ca="1" si="8"/>
        <v>0.19853608342483872</v>
      </c>
    </row>
    <row r="123" spans="18:20" x14ac:dyDescent="0.2">
      <c r="R123">
        <v>0.80089194471389946</v>
      </c>
      <c r="S123">
        <v>0.7352786801848008</v>
      </c>
      <c r="T123">
        <f t="shared" ca="1" si="8"/>
        <v>0.21264195497102034</v>
      </c>
    </row>
    <row r="124" spans="18:20" x14ac:dyDescent="0.2">
      <c r="R124">
        <v>4.1147175389601665E-2</v>
      </c>
      <c r="S124">
        <v>0.44647522461507227</v>
      </c>
      <c r="T124">
        <f t="shared" ca="1" si="8"/>
        <v>3.4403294901206631E-2</v>
      </c>
    </row>
    <row r="125" spans="18:20" x14ac:dyDescent="0.2">
      <c r="R125">
        <v>0.21742056544545918</v>
      </c>
      <c r="S125">
        <v>0.10829019370550097</v>
      </c>
      <c r="T125">
        <f t="shared" ca="1" si="8"/>
        <v>5.2480620797009457E-2</v>
      </c>
    </row>
    <row r="126" spans="18:20" x14ac:dyDescent="0.2">
      <c r="R126">
        <v>0.35901567374054721</v>
      </c>
      <c r="S126">
        <v>0.65020554946881182</v>
      </c>
      <c r="T126">
        <f t="shared" ca="1" si="8"/>
        <v>0.11373854725470775</v>
      </c>
    </row>
    <row r="127" spans="18:20" x14ac:dyDescent="0.2">
      <c r="R127">
        <v>0.17729884815099317</v>
      </c>
      <c r="S127">
        <v>0.74739729883556416</v>
      </c>
      <c r="T127">
        <f t="shared" ca="1" si="8"/>
        <v>8.065874868863733E-2</v>
      </c>
    </row>
    <row r="128" spans="18:20" x14ac:dyDescent="0.2">
      <c r="R128">
        <v>0.62289821146147584</v>
      </c>
      <c r="S128">
        <v>0.69177740972716428</v>
      </c>
      <c r="T128">
        <f t="shared" ca="1" si="8"/>
        <v>0.17227193874208729</v>
      </c>
    </row>
    <row r="129" spans="18:20" x14ac:dyDescent="0.2">
      <c r="R129">
        <v>0.42428668797111435</v>
      </c>
      <c r="S129">
        <v>0.35108570656538052</v>
      </c>
      <c r="T129">
        <f t="shared" ca="1" si="8"/>
        <v>0.110442516753993</v>
      </c>
    </row>
    <row r="130" spans="18:20" x14ac:dyDescent="0.2">
      <c r="R130">
        <v>7.0850420576288098E-2</v>
      </c>
      <c r="S130">
        <v>0.24818936333959651</v>
      </c>
      <c r="T130">
        <f t="shared" ca="1" si="8"/>
        <v>2.9332244399570037E-2</v>
      </c>
    </row>
    <row r="131" spans="18:20" x14ac:dyDescent="0.2">
      <c r="R131">
        <v>0.66624274374468195</v>
      </c>
      <c r="S131">
        <v>0.5216100626074569</v>
      </c>
      <c r="T131">
        <f t="shared" ca="1" si="8"/>
        <v>0.17171860864865857</v>
      </c>
    </row>
    <row r="132" spans="18:20" x14ac:dyDescent="0.2">
      <c r="R132">
        <v>0.11347820122818475</v>
      </c>
      <c r="S132">
        <v>0.87023660658733737</v>
      </c>
      <c r="T132">
        <f t="shared" ca="1" si="8"/>
        <v>7.4136613831226786E-2</v>
      </c>
    </row>
    <row r="133" spans="18:20" x14ac:dyDescent="0.2">
      <c r="R133">
        <v>0.77296793300685507</v>
      </c>
      <c r="S133">
        <v>0.98530793176520537</v>
      </c>
      <c r="T133">
        <f t="shared" ca="1" si="8"/>
        <v>0.22106405842201288</v>
      </c>
    </row>
    <row r="134" spans="18:20" x14ac:dyDescent="0.2">
      <c r="R134">
        <v>9.3407495152632802E-2</v>
      </c>
      <c r="S134">
        <v>0.2952849862229614</v>
      </c>
      <c r="T134">
        <f t="shared" ca="1" si="8"/>
        <v>3.6837115198474976E-2</v>
      </c>
    </row>
    <row r="135" spans="18:20" x14ac:dyDescent="0.2">
      <c r="R135">
        <v>0.30740731613907202</v>
      </c>
      <c r="S135">
        <v>0.14343243524908689</v>
      </c>
      <c r="T135">
        <f t="shared" ca="1" si="8"/>
        <v>7.3645547586452226E-2</v>
      </c>
    </row>
    <row r="136" spans="18:20" x14ac:dyDescent="0.2">
      <c r="R136">
        <v>0.7089176626086221</v>
      </c>
      <c r="S136">
        <v>0.91854804584165695</v>
      </c>
      <c r="T136">
        <f t="shared" ca="1" si="8"/>
        <v>0.2036011989331637</v>
      </c>
    </row>
    <row r="137" spans="18:20" x14ac:dyDescent="0.2">
      <c r="R137">
        <v>0.77144894789207896</v>
      </c>
      <c r="S137">
        <v>0.52529677507676464</v>
      </c>
      <c r="T137">
        <f t="shared" ca="1" si="8"/>
        <v>0.194314697268682</v>
      </c>
    </row>
    <row r="138" spans="18:20" x14ac:dyDescent="0.2">
      <c r="R138">
        <v>0.3213815800392954</v>
      </c>
      <c r="S138">
        <v>3.6218485677088963E-2</v>
      </c>
      <c r="T138">
        <f t="shared" ca="1" si="8"/>
        <v>7.0459695994065832E-2</v>
      </c>
    </row>
    <row r="139" spans="18:20" x14ac:dyDescent="0.2">
      <c r="R139">
        <v>9.7757357588657556E-2</v>
      </c>
      <c r="S139">
        <v>0.21680587291147535</v>
      </c>
      <c r="T139">
        <f t="shared" ca="1" si="8"/>
        <v>3.3254243249948065E-2</v>
      </c>
    </row>
    <row r="140" spans="18:20" x14ac:dyDescent="0.2">
      <c r="R140">
        <v>0.11732128667644914</v>
      </c>
      <c r="S140">
        <v>0.24530771066835921</v>
      </c>
      <c r="T140">
        <f t="shared" ca="1" si="8"/>
        <v>3.9054120969554497E-2</v>
      </c>
    </row>
    <row r="141" spans="18:20" x14ac:dyDescent="0.2">
      <c r="R141">
        <v>0.18381010539222853</v>
      </c>
      <c r="S141">
        <v>0.75414624724779333</v>
      </c>
      <c r="T141">
        <f t="shared" ca="1" si="8"/>
        <v>8.2431828116836747E-2</v>
      </c>
    </row>
    <row r="142" spans="18:20" x14ac:dyDescent="0.2">
      <c r="R142">
        <v>0.94741406393087635</v>
      </c>
      <c r="S142">
        <v>0.50944093364052601</v>
      </c>
      <c r="T142">
        <f t="shared" ca="1" si="8"/>
        <v>0.23084321617315284</v>
      </c>
    </row>
    <row r="143" spans="18:20" x14ac:dyDescent="0.2">
      <c r="R143">
        <v>0.97963421760523905</v>
      </c>
      <c r="S143">
        <v>0.19119863744082777</v>
      </c>
      <c r="T143">
        <f t="shared" ca="1" si="8"/>
        <v>0.21941656376899205</v>
      </c>
    </row>
    <row r="144" spans="18:20" x14ac:dyDescent="0.2">
      <c r="R144">
        <v>0.54396127813119066</v>
      </c>
      <c r="S144">
        <v>0.31935819543288924</v>
      </c>
      <c r="T144">
        <f t="shared" ca="1" si="8"/>
        <v>0.13408255125490867</v>
      </c>
    </row>
    <row r="145" spans="18:20" x14ac:dyDescent="0.2">
      <c r="R145">
        <v>0.49086378500082928</v>
      </c>
      <c r="S145">
        <v>2.7773333982396453E-2</v>
      </c>
      <c r="T145">
        <f t="shared" ca="1" si="8"/>
        <v>0.10603459259065454</v>
      </c>
    </row>
    <row r="146" spans="18:20" x14ac:dyDescent="0.2">
      <c r="R146">
        <v>0.3015729374431636</v>
      </c>
      <c r="S146">
        <v>0.96540046336616769</v>
      </c>
      <c r="T146">
        <f t="shared" ca="1" si="8"/>
        <v>0.11962363033021889</v>
      </c>
    </row>
    <row r="147" spans="18:20" x14ac:dyDescent="0.2">
      <c r="R147">
        <v>0.24110190915474561</v>
      </c>
      <c r="S147">
        <v>0.99498385698147118</v>
      </c>
      <c r="T147">
        <f t="shared" ca="1" si="8"/>
        <v>0.1084569256467538</v>
      </c>
    </row>
    <row r="148" spans="18:20" x14ac:dyDescent="0.2">
      <c r="R148">
        <v>0.22485437482784976</v>
      </c>
      <c r="S148">
        <v>0.26666793917625609</v>
      </c>
      <c r="T148">
        <f t="shared" ca="1" si="8"/>
        <v>6.316057838413594E-2</v>
      </c>
    </row>
    <row r="149" spans="18:20" x14ac:dyDescent="0.2">
      <c r="R149">
        <v>0.58655027639463908</v>
      </c>
      <c r="S149">
        <v>0.78915952043927162</v>
      </c>
      <c r="T149">
        <f t="shared" ca="1" si="8"/>
        <v>0.17013262700281753</v>
      </c>
    </row>
    <row r="150" spans="18:20" x14ac:dyDescent="0.2">
      <c r="R150">
        <v>0.86315990424591993</v>
      </c>
      <c r="S150">
        <v>0.6054135533524444</v>
      </c>
      <c r="T150">
        <f t="shared" ca="1" si="8"/>
        <v>0.2184301199257617</v>
      </c>
    </row>
    <row r="151" spans="18:20" x14ac:dyDescent="0.2">
      <c r="R151">
        <v>0.18294212434393187</v>
      </c>
      <c r="S151">
        <v>0.84782583302299042</v>
      </c>
      <c r="T151">
        <f t="shared" ca="1" si="8"/>
        <v>8.7628744523433888E-2</v>
      </c>
    </row>
    <row r="152" spans="18:20" x14ac:dyDescent="0.2">
      <c r="R152">
        <v>2.2609145829829091E-2</v>
      </c>
      <c r="S152">
        <v>0.7944987655903154</v>
      </c>
      <c r="T152">
        <f t="shared" ca="1" si="8"/>
        <v>5.0451875008343458E-2</v>
      </c>
    </row>
    <row r="153" spans="18:20" x14ac:dyDescent="0.2">
      <c r="R153">
        <v>0.92414665887611447</v>
      </c>
      <c r="S153">
        <v>0.59476775308646801</v>
      </c>
      <c r="T153">
        <f t="shared" ca="1" si="8"/>
        <v>0.23079445791690653</v>
      </c>
    </row>
    <row r="154" spans="18:20" x14ac:dyDescent="0.2">
      <c r="R154">
        <v>0.60486408694829896</v>
      </c>
      <c r="S154">
        <v>0.59462967969944058</v>
      </c>
      <c r="T154">
        <f t="shared" ca="1" si="8"/>
        <v>0.16285406392918042</v>
      </c>
    </row>
    <row r="155" spans="18:20" x14ac:dyDescent="0.2">
      <c r="R155">
        <v>0.89440160409430225</v>
      </c>
      <c r="S155">
        <v>0.23132568511598406</v>
      </c>
      <c r="T155">
        <f t="shared" ca="1" si="8"/>
        <v>0.20358713597353573</v>
      </c>
    </row>
    <row r="156" spans="18:20" x14ac:dyDescent="0.2">
      <c r="R156">
        <v>0.94613893179206021</v>
      </c>
      <c r="S156">
        <v>0.94211220141814311</v>
      </c>
      <c r="T156">
        <f t="shared" ca="1" si="8"/>
        <v>0.25542749493084227</v>
      </c>
    </row>
    <row r="157" spans="18:20" x14ac:dyDescent="0.2">
      <c r="R157">
        <v>0.17465523693930651</v>
      </c>
      <c r="S157">
        <v>0.56044898438893354</v>
      </c>
      <c r="T157">
        <f t="shared" ca="1" si="8"/>
        <v>6.9356694196663529E-2</v>
      </c>
    </row>
    <row r="158" spans="18:20" x14ac:dyDescent="0.2">
      <c r="R158">
        <v>0.37540472095800959</v>
      </c>
      <c r="S158">
        <v>0.35706097018554694</v>
      </c>
      <c r="T158">
        <f t="shared" ca="1" si="8"/>
        <v>0.10038535806555474</v>
      </c>
    </row>
    <row r="159" spans="18:20" x14ac:dyDescent="0.2">
      <c r="R159">
        <v>0.32747832832073298</v>
      </c>
      <c r="S159">
        <v>0.65038741266645983</v>
      </c>
      <c r="T159">
        <f t="shared" ca="1" si="8"/>
        <v>0.10703892122142067</v>
      </c>
    </row>
    <row r="160" spans="18:20" x14ac:dyDescent="0.2">
      <c r="R160">
        <v>0.39910201374867305</v>
      </c>
      <c r="S160">
        <v>0.44534460018316913</v>
      </c>
      <c r="T160">
        <f t="shared" ca="1" si="8"/>
        <v>0.11049894804215504</v>
      </c>
    </row>
    <row r="161" spans="18:20" x14ac:dyDescent="0.2">
      <c r="R161">
        <v>0.73573684866600364</v>
      </c>
      <c r="S161">
        <v>0.30026067330379769</v>
      </c>
      <c r="T161">
        <f t="shared" ca="1" si="8"/>
        <v>0.17378877243787852</v>
      </c>
    </row>
    <row r="162" spans="18:20" x14ac:dyDescent="0.2">
      <c r="R162">
        <v>0.35398636499084268</v>
      </c>
      <c r="S162">
        <v>0.35237761576195925</v>
      </c>
      <c r="T162">
        <f t="shared" ca="1" si="8"/>
        <v>9.5559217286504614E-2</v>
      </c>
    </row>
    <row r="163" spans="18:20" x14ac:dyDescent="0.2">
      <c r="R163">
        <v>0.98500688289411276</v>
      </c>
      <c r="S163">
        <v>0.96489463280482346</v>
      </c>
      <c r="T163">
        <f t="shared" ca="1" si="8"/>
        <v>0.26500604973434361</v>
      </c>
    </row>
    <row r="164" spans="18:20" x14ac:dyDescent="0.2">
      <c r="R164">
        <v>0.93677695929006599</v>
      </c>
      <c r="S164">
        <v>0.1439683335593811</v>
      </c>
      <c r="T164">
        <f t="shared" ca="1" si="8"/>
        <v>0.20758476794704231</v>
      </c>
    </row>
    <row r="165" spans="18:20" x14ac:dyDescent="0.2">
      <c r="R165">
        <v>0.91360604483693808</v>
      </c>
      <c r="S165">
        <v>0.74227952725202617</v>
      </c>
      <c r="T165">
        <f t="shared" ca="1" si="8"/>
        <v>0.23702585472233728</v>
      </c>
    </row>
    <row r="166" spans="18:20" x14ac:dyDescent="0.2">
      <c r="R166">
        <v>0.37757006140563398</v>
      </c>
      <c r="S166">
        <v>0.29941347390244044</v>
      </c>
      <c r="T166">
        <f t="shared" ca="1" si="8"/>
        <v>9.7534404118998497E-2</v>
      </c>
    </row>
    <row r="167" spans="18:20" x14ac:dyDescent="0.2">
      <c r="R167">
        <v>0.57162783924020755</v>
      </c>
      <c r="S167">
        <v>0.2105914025742992</v>
      </c>
      <c r="T167">
        <f t="shared" ca="1" si="8"/>
        <v>0.1337207484968656</v>
      </c>
    </row>
    <row r="168" spans="18:20" x14ac:dyDescent="0.2">
      <c r="R168">
        <v>0.88828706340711949</v>
      </c>
      <c r="S168">
        <v>0.79091301510522549</v>
      </c>
      <c r="T168">
        <f t="shared" ca="1" si="8"/>
        <v>0.23443267606075113</v>
      </c>
    </row>
    <row r="169" spans="18:20" x14ac:dyDescent="0.2">
      <c r="R169">
        <v>0.87099299098842542</v>
      </c>
      <c r="S169">
        <v>0.9767613935813535</v>
      </c>
      <c r="T169">
        <f t="shared" ref="T169:T232" ca="1" si="9">(p_d-p_a*R169-p_b*S169)/p_c</f>
        <v>0.24142948239476403</v>
      </c>
    </row>
    <row r="170" spans="18:20" x14ac:dyDescent="0.2">
      <c r="R170">
        <v>0.47605799188390518</v>
      </c>
      <c r="S170">
        <v>0.89816816865934268</v>
      </c>
      <c r="T170">
        <f t="shared" ca="1" si="9"/>
        <v>0.15288582923870803</v>
      </c>
    </row>
    <row r="171" spans="18:20" x14ac:dyDescent="0.2">
      <c r="R171">
        <v>0.22929272498253706</v>
      </c>
      <c r="S171">
        <v>0.21026122541499515</v>
      </c>
      <c r="T171">
        <f t="shared" ca="1" si="9"/>
        <v>6.0864522520124628E-2</v>
      </c>
    </row>
    <row r="172" spans="18:20" x14ac:dyDescent="0.2">
      <c r="R172">
        <v>0.58617000052351298</v>
      </c>
      <c r="S172">
        <v>0.31059535657149995</v>
      </c>
      <c r="T172">
        <f t="shared" ca="1" si="9"/>
        <v>0.14255973336123784</v>
      </c>
    </row>
    <row r="173" spans="18:20" x14ac:dyDescent="0.2">
      <c r="R173">
        <v>0.56323398488992227</v>
      </c>
      <c r="S173">
        <v>0.60191499099790047</v>
      </c>
      <c r="T173">
        <f t="shared" ca="1" si="9"/>
        <v>0.15441511328922455</v>
      </c>
    </row>
    <row r="174" spans="18:20" x14ac:dyDescent="0.2">
      <c r="R174">
        <v>0.907526042136794</v>
      </c>
      <c r="S174">
        <v>0.84641744659806151</v>
      </c>
      <c r="T174">
        <f t="shared" ca="1" si="9"/>
        <v>0.24171462823792991</v>
      </c>
    </row>
    <row r="175" spans="18:20" x14ac:dyDescent="0.2">
      <c r="R175">
        <v>0.16254482130957548</v>
      </c>
      <c r="S175">
        <v>4.8285970560454805E-2</v>
      </c>
      <c r="T175">
        <f t="shared" ca="1" si="9"/>
        <v>3.7357879438488992E-2</v>
      </c>
    </row>
    <row r="176" spans="18:20" x14ac:dyDescent="0.2">
      <c r="R176">
        <v>0.58959600130359857</v>
      </c>
      <c r="S176">
        <v>0.29772482819631163</v>
      </c>
      <c r="T176">
        <f t="shared" ca="1" si="9"/>
        <v>0.1425492989184261</v>
      </c>
    </row>
    <row r="177" spans="18:20" x14ac:dyDescent="0.2">
      <c r="R177">
        <v>0.85121485654905837</v>
      </c>
      <c r="S177">
        <v>0.3662378482606532</v>
      </c>
      <c r="T177">
        <f t="shared" ca="1" si="9"/>
        <v>0.2021487394849861</v>
      </c>
    </row>
    <row r="178" spans="18:20" x14ac:dyDescent="0.2">
      <c r="R178">
        <v>0.91787110216881884</v>
      </c>
      <c r="S178">
        <v>0.18711440545213021</v>
      </c>
      <c r="T178">
        <f t="shared" ca="1" si="9"/>
        <v>0.20604084928529659</v>
      </c>
    </row>
    <row r="179" spans="18:20" x14ac:dyDescent="0.2">
      <c r="R179">
        <v>0.27925485548321627</v>
      </c>
      <c r="S179">
        <v>0.66974202911633518</v>
      </c>
      <c r="T179">
        <f t="shared" ca="1" si="9"/>
        <v>9.7890468796729094E-2</v>
      </c>
    </row>
    <row r="180" spans="18:20" x14ac:dyDescent="0.2">
      <c r="R180">
        <v>0.32085660808448879</v>
      </c>
      <c r="S180">
        <v>0.58709624572802444</v>
      </c>
      <c r="T180">
        <f t="shared" ca="1" si="9"/>
        <v>0.10199416902788412</v>
      </c>
    </row>
    <row r="181" spans="18:20" x14ac:dyDescent="0.2">
      <c r="R181">
        <v>3.0454871614090995E-2</v>
      </c>
      <c r="S181">
        <v>2.1461633262706448E-2</v>
      </c>
      <c r="T181">
        <f t="shared" ca="1" si="9"/>
        <v>7.7126622542599442E-3</v>
      </c>
    </row>
    <row r="182" spans="18:20" x14ac:dyDescent="0.2">
      <c r="R182">
        <v>8.7529494555544041E-2</v>
      </c>
      <c r="S182">
        <v>0.80842156150527023</v>
      </c>
      <c r="T182">
        <f t="shared" ca="1" si="9"/>
        <v>6.5064535353609995E-2</v>
      </c>
    </row>
    <row r="183" spans="18:20" x14ac:dyDescent="0.2">
      <c r="R183">
        <v>0.38125113506128394</v>
      </c>
      <c r="S183">
        <v>5.0704690763976434E-2</v>
      </c>
      <c r="T183">
        <f t="shared" ca="1" si="9"/>
        <v>8.4030085439905866E-2</v>
      </c>
    </row>
    <row r="184" spans="18:20" x14ac:dyDescent="0.2">
      <c r="R184">
        <v>0.77406771950309072</v>
      </c>
      <c r="S184">
        <v>0.93426227349082169</v>
      </c>
      <c r="T184">
        <f t="shared" ca="1" si="9"/>
        <v>0.21836564539268352</v>
      </c>
    </row>
    <row r="185" spans="18:20" x14ac:dyDescent="0.2">
      <c r="R185">
        <v>0.67779534047659773</v>
      </c>
      <c r="S185">
        <v>0.46249627258476289</v>
      </c>
      <c r="T185">
        <f t="shared" ca="1" si="9"/>
        <v>0.17078070937754972</v>
      </c>
    </row>
    <row r="186" spans="18:20" x14ac:dyDescent="0.2">
      <c r="R186">
        <v>0.29179342789539586</v>
      </c>
      <c r="S186">
        <v>0.13792341808759712</v>
      </c>
      <c r="T186">
        <f t="shared" ca="1" si="9"/>
        <v>7.0006968250861085E-2</v>
      </c>
    </row>
    <row r="187" spans="18:20" x14ac:dyDescent="0.2">
      <c r="R187">
        <v>0.97669812576570614</v>
      </c>
      <c r="S187">
        <v>0.57125198599689442</v>
      </c>
      <c r="T187">
        <f t="shared" ca="1" si="9"/>
        <v>0.24062471531592927</v>
      </c>
    </row>
    <row r="188" spans="18:20" x14ac:dyDescent="0.2">
      <c r="R188">
        <v>0.86774025543441802</v>
      </c>
      <c r="S188">
        <v>0.51855749447957755</v>
      </c>
      <c r="T188">
        <f t="shared" ca="1" si="9"/>
        <v>0.21441505934976679</v>
      </c>
    </row>
    <row r="189" spans="18:20" x14ac:dyDescent="0.2">
      <c r="R189">
        <v>0.96117531172535098</v>
      </c>
      <c r="S189">
        <v>0.82575278986546174</v>
      </c>
      <c r="T189">
        <f t="shared" ca="1" si="9"/>
        <v>0.25194224787000546</v>
      </c>
    </row>
    <row r="190" spans="18:20" x14ac:dyDescent="0.2">
      <c r="R190">
        <v>0.83998901356917732</v>
      </c>
      <c r="S190">
        <v>6.3595341538483674E-2</v>
      </c>
      <c r="T190">
        <f t="shared" ca="1" si="9"/>
        <v>0.18237441612437616</v>
      </c>
    </row>
    <row r="191" spans="18:20" x14ac:dyDescent="0.2">
      <c r="R191">
        <v>0.29607674209075607</v>
      </c>
      <c r="S191">
        <v>2.6965467042380675E-2</v>
      </c>
      <c r="T191">
        <f t="shared" ca="1" si="9"/>
        <v>6.4544131530255081E-2</v>
      </c>
    </row>
    <row r="192" spans="18:20" x14ac:dyDescent="0.2">
      <c r="R192">
        <v>0.4155595813896904</v>
      </c>
      <c r="S192">
        <v>0.50580984101270821</v>
      </c>
      <c r="T192">
        <f t="shared" ca="1" si="9"/>
        <v>0.11747409329002588</v>
      </c>
    </row>
    <row r="193" spans="18:20" x14ac:dyDescent="0.2">
      <c r="R193">
        <v>0.46288090976318064</v>
      </c>
      <c r="S193">
        <v>0.69970978027852448</v>
      </c>
      <c r="T193">
        <f t="shared" ca="1" si="9"/>
        <v>0.13868139371029409</v>
      </c>
    </row>
    <row r="194" spans="18:20" x14ac:dyDescent="0.2">
      <c r="R194">
        <v>0.29465148073967462</v>
      </c>
      <c r="S194">
        <v>0.18197494642861711</v>
      </c>
      <c r="T194">
        <f t="shared" ca="1" si="9"/>
        <v>7.314568431391516E-2</v>
      </c>
    </row>
    <row r="195" spans="18:20" x14ac:dyDescent="0.2">
      <c r="R195">
        <v>0.18398485921012964</v>
      </c>
      <c r="S195">
        <v>0.42891874503135963</v>
      </c>
      <c r="T195">
        <f t="shared" ca="1" si="9"/>
        <v>6.3785727737999301E-2</v>
      </c>
    </row>
    <row r="196" spans="18:20" x14ac:dyDescent="0.2">
      <c r="R196">
        <v>8.3814259583643191E-2</v>
      </c>
      <c r="S196">
        <v>0.41314596426939654</v>
      </c>
      <c r="T196">
        <f t="shared" ca="1" si="9"/>
        <v>4.1566738284336227E-2</v>
      </c>
    </row>
    <row r="197" spans="18:20" x14ac:dyDescent="0.2">
      <c r="R197">
        <v>0.25152405027405511</v>
      </c>
      <c r="S197">
        <v>0.47558622405401385</v>
      </c>
      <c r="T197">
        <f t="shared" ca="1" si="9"/>
        <v>8.0836666120986986E-2</v>
      </c>
    </row>
    <row r="198" spans="18:20" x14ac:dyDescent="0.2">
      <c r="R198">
        <v>0.2516550687363065</v>
      </c>
      <c r="S198">
        <v>0.91352129613007205</v>
      </c>
      <c r="T198">
        <f t="shared" ca="1" si="9"/>
        <v>0.10602251461519702</v>
      </c>
    </row>
    <row r="199" spans="18:20" x14ac:dyDescent="0.2">
      <c r="R199">
        <v>0.33396093637736868</v>
      </c>
      <c r="S199">
        <v>3.3765234283740786E-2</v>
      </c>
      <c r="T199">
        <f t="shared" ca="1" si="9"/>
        <v>7.2995223326378436E-2</v>
      </c>
    </row>
    <row r="200" spans="18:20" x14ac:dyDescent="0.2">
      <c r="R200">
        <v>0.13664224943972125</v>
      </c>
      <c r="S200">
        <v>0.24942255143376313</v>
      </c>
      <c r="T200">
        <f t="shared" ca="1" si="9"/>
        <v>4.3401348580178148E-2</v>
      </c>
    </row>
    <row r="201" spans="18:20" x14ac:dyDescent="0.2">
      <c r="R201">
        <v>0.96180185148016095</v>
      </c>
      <c r="S201">
        <v>0.25268045768465863</v>
      </c>
      <c r="T201">
        <f t="shared" ca="1" si="9"/>
        <v>0.2191543776712806</v>
      </c>
    </row>
    <row r="202" spans="18:20" x14ac:dyDescent="0.2">
      <c r="R202">
        <v>0.44596306841471522</v>
      </c>
      <c r="S202">
        <v>0.97208809169243449</v>
      </c>
      <c r="T202">
        <f t="shared" ca="1" si="9"/>
        <v>0.15072911769610053</v>
      </c>
    </row>
    <row r="203" spans="18:20" x14ac:dyDescent="0.2">
      <c r="R203">
        <v>0.72029291108760229</v>
      </c>
      <c r="S203">
        <v>0.93925609079879213</v>
      </c>
      <c r="T203">
        <f t="shared" ca="1" si="9"/>
        <v>0.20721107566027153</v>
      </c>
    </row>
    <row r="204" spans="18:20" x14ac:dyDescent="0.2">
      <c r="R204">
        <v>9.5422448349548605E-2</v>
      </c>
      <c r="S204">
        <v>0.23691530050683518</v>
      </c>
      <c r="T204">
        <f t="shared" ca="1" si="9"/>
        <v>3.3912676486466828E-2</v>
      </c>
    </row>
    <row r="205" spans="18:20" x14ac:dyDescent="0.2">
      <c r="R205">
        <v>0.97635878929076736</v>
      </c>
      <c r="S205">
        <v>0.23575402660320077</v>
      </c>
      <c r="T205">
        <f t="shared" ca="1" si="9"/>
        <v>0.22127922903694286</v>
      </c>
    </row>
    <row r="206" spans="18:20" x14ac:dyDescent="0.2">
      <c r="R206">
        <v>0.52068142410539298</v>
      </c>
      <c r="S206">
        <v>0.1366517697780969</v>
      </c>
      <c r="T206">
        <f t="shared" ca="1" si="9"/>
        <v>0.11863348977563384</v>
      </c>
    </row>
    <row r="207" spans="18:20" x14ac:dyDescent="0.2">
      <c r="R207">
        <v>0.49329058709340101</v>
      </c>
      <c r="S207">
        <v>0.33503898321371184</v>
      </c>
      <c r="T207">
        <f t="shared" ca="1" si="9"/>
        <v>0.12420236437470281</v>
      </c>
    </row>
    <row r="208" spans="18:20" x14ac:dyDescent="0.2">
      <c r="R208">
        <v>0.42587050609575194</v>
      </c>
      <c r="S208">
        <v>0.23280434212727197</v>
      </c>
      <c r="T208">
        <f t="shared" ca="1" si="9"/>
        <v>0.10398461244045008</v>
      </c>
    </row>
    <row r="209" spans="18:20" x14ac:dyDescent="0.2">
      <c r="R209">
        <v>0.40442959621138108</v>
      </c>
      <c r="S209">
        <v>0.29892279294885638</v>
      </c>
      <c r="T209">
        <f t="shared" ca="1" si="9"/>
        <v>0.10322101070373879</v>
      </c>
    </row>
    <row r="210" spans="18:20" x14ac:dyDescent="0.2">
      <c r="R210">
        <v>0.74515542396184986</v>
      </c>
      <c r="S210">
        <v>7.9337965192079696E-2</v>
      </c>
      <c r="T210">
        <f t="shared" ca="1" si="9"/>
        <v>0.16310142011993858</v>
      </c>
    </row>
    <row r="211" spans="18:20" x14ac:dyDescent="0.2">
      <c r="R211">
        <v>0.17621966769653796</v>
      </c>
      <c r="S211">
        <v>0.42358072648789413</v>
      </c>
      <c r="T211">
        <f t="shared" ca="1" si="9"/>
        <v>6.1826907201759436E-2</v>
      </c>
    </row>
    <row r="212" spans="18:20" x14ac:dyDescent="0.2">
      <c r="R212">
        <v>0.71979272606247346</v>
      </c>
      <c r="S212">
        <v>0.4726496359366007</v>
      </c>
      <c r="T212">
        <f t="shared" ca="1" si="9"/>
        <v>0.18029960165220332</v>
      </c>
    </row>
    <row r="213" spans="18:20" x14ac:dyDescent="0.2">
      <c r="R213">
        <v>0.16357609862290357</v>
      </c>
      <c r="S213">
        <v>0.76036556635091623</v>
      </c>
      <c r="T213">
        <f t="shared" ca="1" si="9"/>
        <v>7.848400032715977E-2</v>
      </c>
    </row>
    <row r="214" spans="18:20" x14ac:dyDescent="0.2">
      <c r="R214">
        <v>0.69047203138835789</v>
      </c>
      <c r="S214">
        <v>0.45527666454425009</v>
      </c>
      <c r="T214">
        <f t="shared" ca="1" si="9"/>
        <v>0.17306313421602243</v>
      </c>
    </row>
    <row r="215" spans="18:20" x14ac:dyDescent="0.2">
      <c r="R215">
        <v>5.7509243222845341E-2</v>
      </c>
      <c r="S215">
        <v>0.5177160863275132</v>
      </c>
      <c r="T215">
        <f t="shared" ca="1" si="9"/>
        <v>4.1977146070483806E-2</v>
      </c>
    </row>
    <row r="216" spans="18:20" x14ac:dyDescent="0.2">
      <c r="R216">
        <v>0.22236783986560438</v>
      </c>
      <c r="S216">
        <v>0.53532096606553714</v>
      </c>
      <c r="T216">
        <f t="shared" ca="1" si="9"/>
        <v>7.8064787383680723E-2</v>
      </c>
    </row>
    <row r="217" spans="18:20" x14ac:dyDescent="0.2">
      <c r="R217">
        <v>0.380465966059651</v>
      </c>
      <c r="S217">
        <v>0.31391122759855572</v>
      </c>
      <c r="T217">
        <f t="shared" ca="1" si="9"/>
        <v>9.8983403725800209E-2</v>
      </c>
    </row>
    <row r="218" spans="18:20" x14ac:dyDescent="0.2">
      <c r="R218">
        <v>0.872038781820069</v>
      </c>
      <c r="S218">
        <v>0.94607209593648789</v>
      </c>
      <c r="T218">
        <f t="shared" ca="1" si="9"/>
        <v>0.23988898887721719</v>
      </c>
    </row>
    <row r="219" spans="18:20" x14ac:dyDescent="0.2">
      <c r="R219">
        <v>0.87341288213696866</v>
      </c>
      <c r="S219">
        <v>1.9670667927035312E-3</v>
      </c>
      <c r="T219">
        <f t="shared" ca="1" si="9"/>
        <v>0.18594552982361673</v>
      </c>
    </row>
    <row r="220" spans="18:20" x14ac:dyDescent="0.2">
      <c r="R220">
        <v>0.54267235111334178</v>
      </c>
      <c r="S220">
        <v>0.20347288692747056</v>
      </c>
      <c r="T220">
        <f t="shared" ca="1" si="9"/>
        <v>0.12715107033696996</v>
      </c>
    </row>
    <row r="221" spans="18:20" x14ac:dyDescent="0.2">
      <c r="R221">
        <v>0.53539244742568026</v>
      </c>
      <c r="S221">
        <v>0.47708198294495352</v>
      </c>
      <c r="T221">
        <f t="shared" ca="1" si="9"/>
        <v>0.14132012400442931</v>
      </c>
    </row>
    <row r="222" spans="18:20" x14ac:dyDescent="0.2">
      <c r="R222">
        <v>0.83511449433145779</v>
      </c>
      <c r="S222">
        <v>0.24874459583550512</v>
      </c>
      <c r="T222">
        <f t="shared" ca="1" si="9"/>
        <v>0.19197351812915833</v>
      </c>
    </row>
    <row r="223" spans="18:20" x14ac:dyDescent="0.2">
      <c r="R223">
        <v>0.98968285185765947</v>
      </c>
      <c r="S223">
        <v>0.71197162624196919</v>
      </c>
      <c r="T223">
        <f t="shared" ca="1" si="9"/>
        <v>0.25147131722191302</v>
      </c>
    </row>
    <row r="224" spans="18:20" x14ac:dyDescent="0.2">
      <c r="R224">
        <v>2.0905564917586772E-2</v>
      </c>
      <c r="S224">
        <v>0.61125250017199595</v>
      </c>
      <c r="T224">
        <f t="shared" ca="1" si="9"/>
        <v>3.9562497864686318E-2</v>
      </c>
    </row>
    <row r="225" spans="18:20" x14ac:dyDescent="0.2">
      <c r="R225">
        <v>2.6990434856040579E-2</v>
      </c>
      <c r="S225">
        <v>8.3575787733679241E-2</v>
      </c>
      <c r="T225">
        <f t="shared" ca="1" si="9"/>
        <v>1.0543807988113611E-2</v>
      </c>
    </row>
    <row r="226" spans="18:20" x14ac:dyDescent="0.2">
      <c r="R226">
        <v>0.69384461892885663</v>
      </c>
      <c r="S226">
        <v>0.7453236829668386</v>
      </c>
      <c r="T226">
        <f t="shared" ca="1" si="9"/>
        <v>0.19044298155955386</v>
      </c>
    </row>
    <row r="227" spans="18:20" x14ac:dyDescent="0.2">
      <c r="R227">
        <v>0.42088134381471454</v>
      </c>
      <c r="S227">
        <v>0.27877447062573102</v>
      </c>
      <c r="T227">
        <f t="shared" ca="1" si="9"/>
        <v>0.10556392571992806</v>
      </c>
    </row>
    <row r="228" spans="18:20" x14ac:dyDescent="0.2">
      <c r="R228">
        <v>0.44234881392279979</v>
      </c>
      <c r="S228">
        <v>0.86697554728508297</v>
      </c>
      <c r="T228">
        <f t="shared" ca="1" si="9"/>
        <v>0.14392174716803663</v>
      </c>
    </row>
    <row r="229" spans="18:20" x14ac:dyDescent="0.2">
      <c r="R229">
        <v>0.79969761519174731</v>
      </c>
      <c r="S229">
        <v>0.53693529590113487</v>
      </c>
      <c r="T229">
        <f t="shared" ca="1" si="9"/>
        <v>0.20099364789043697</v>
      </c>
    </row>
    <row r="230" spans="18:20" x14ac:dyDescent="0.2">
      <c r="R230">
        <v>0.66076666589894018</v>
      </c>
      <c r="S230">
        <v>8.3243481797275143E-2</v>
      </c>
      <c r="T230">
        <f t="shared" ca="1" si="9"/>
        <v>0.14537072467749032</v>
      </c>
    </row>
    <row r="231" spans="18:20" x14ac:dyDescent="0.2">
      <c r="R231">
        <v>0.97482024946436385</v>
      </c>
      <c r="S231">
        <v>0.24150933126653162</v>
      </c>
      <c r="T231">
        <f t="shared" ca="1" si="9"/>
        <v>0.22128250402262281</v>
      </c>
    </row>
    <row r="232" spans="18:20" x14ac:dyDescent="0.2">
      <c r="R232">
        <v>7.9733378153425405E-2</v>
      </c>
      <c r="S232">
        <v>0.14811094960217563</v>
      </c>
      <c r="T232">
        <f t="shared" ca="1" si="9"/>
        <v>2.5473049903406986E-2</v>
      </c>
    </row>
    <row r="233" spans="18:20" x14ac:dyDescent="0.2">
      <c r="R233">
        <v>6.8403151704236831E-2</v>
      </c>
      <c r="S233">
        <v>0.87356897388020183</v>
      </c>
      <c r="T233">
        <f t="shared" ref="T233:T296" ca="1" si="10">(p_d-p_a*R233-p_b*S233)/p_c</f>
        <v>6.4737611628061978E-2</v>
      </c>
    </row>
    <row r="234" spans="18:20" x14ac:dyDescent="0.2">
      <c r="R234">
        <v>0.45898882014229003</v>
      </c>
      <c r="S234">
        <v>0.80642931483585045</v>
      </c>
      <c r="T234">
        <f t="shared" ca="1" si="10"/>
        <v>0.14398398620169567</v>
      </c>
    </row>
    <row r="235" spans="18:20" x14ac:dyDescent="0.2">
      <c r="R235">
        <v>0.39359352512955459</v>
      </c>
      <c r="S235">
        <v>0.26607682119008813</v>
      </c>
      <c r="T235">
        <f t="shared" ca="1" si="10"/>
        <v>9.902856741508051E-2</v>
      </c>
    </row>
    <row r="236" spans="18:20" x14ac:dyDescent="0.2">
      <c r="R236">
        <v>0.60759220009436832</v>
      </c>
      <c r="S236">
        <v>0.9720495585489467</v>
      </c>
      <c r="T236">
        <f t="shared" ca="1" si="10"/>
        <v>0.18511608104310298</v>
      </c>
    </row>
    <row r="237" spans="18:20" x14ac:dyDescent="0.2">
      <c r="R237">
        <v>0.9286954418121014</v>
      </c>
      <c r="S237">
        <v>8.8817743881952627E-2</v>
      </c>
      <c r="T237">
        <f t="shared" ca="1" si="10"/>
        <v>0.20269707077877203</v>
      </c>
    </row>
    <row r="238" spans="18:20" x14ac:dyDescent="0.2">
      <c r="R238">
        <v>0.42739419460909212</v>
      </c>
      <c r="S238">
        <v>0.57489120144804629</v>
      </c>
      <c r="T238">
        <f t="shared" ca="1" si="10"/>
        <v>0.12396059978724779</v>
      </c>
    </row>
    <row r="239" spans="18:20" x14ac:dyDescent="0.2">
      <c r="R239">
        <v>1.7493671716147796E-2</v>
      </c>
      <c r="S239">
        <v>0.96603259053137303</v>
      </c>
      <c r="T239">
        <f t="shared" ca="1" si="10"/>
        <v>5.921754705523799E-2</v>
      </c>
    </row>
    <row r="240" spans="18:20" x14ac:dyDescent="0.2">
      <c r="R240">
        <v>0.43908370704601252</v>
      </c>
      <c r="S240">
        <v>3.7151373995474857E-2</v>
      </c>
      <c r="T240">
        <f t="shared" ca="1" si="10"/>
        <v>9.5556293196763981E-2</v>
      </c>
    </row>
    <row r="241" spans="18:20" x14ac:dyDescent="0.2">
      <c r="R241">
        <v>0.67414392168465165</v>
      </c>
      <c r="S241">
        <v>0.67375629284412886</v>
      </c>
      <c r="T241">
        <f t="shared" ca="1" si="10"/>
        <v>0.18214002569203541</v>
      </c>
    </row>
    <row r="242" spans="18:20" x14ac:dyDescent="0.2">
      <c r="R242">
        <v>0.92644929003505205</v>
      </c>
      <c r="S242">
        <v>3.6933331034609829E-3</v>
      </c>
      <c r="T242">
        <f t="shared" ca="1" si="10"/>
        <v>0.19732904041978436</v>
      </c>
    </row>
    <row r="243" spans="18:20" x14ac:dyDescent="0.2">
      <c r="R243">
        <v>0.97953765753198518</v>
      </c>
      <c r="S243">
        <v>0.55577720164482902</v>
      </c>
      <c r="T243">
        <f t="shared" ca="1" si="10"/>
        <v>0.24033989403746575</v>
      </c>
    </row>
    <row r="244" spans="18:20" x14ac:dyDescent="0.2">
      <c r="R244">
        <v>0.20549297474620576</v>
      </c>
      <c r="S244">
        <v>0.48754763544560453</v>
      </c>
      <c r="T244">
        <f t="shared" ca="1" si="10"/>
        <v>7.1729965173727442E-2</v>
      </c>
    </row>
    <row r="245" spans="18:20" x14ac:dyDescent="0.2">
      <c r="R245">
        <v>0.25244735598077173</v>
      </c>
      <c r="S245">
        <v>0.39689985290343033</v>
      </c>
      <c r="T245">
        <f t="shared" ca="1" si="10"/>
        <v>7.6512833247808068E-2</v>
      </c>
    </row>
    <row r="246" spans="18:20" x14ac:dyDescent="0.2">
      <c r="R246">
        <v>0.85992227799322152</v>
      </c>
      <c r="S246">
        <v>9.3625218294508539E-3</v>
      </c>
      <c r="T246">
        <f t="shared" ca="1" si="10"/>
        <v>0.18350003380578153</v>
      </c>
    </row>
    <row r="247" spans="18:20" x14ac:dyDescent="0.2">
      <c r="R247">
        <v>0.63803542863850515</v>
      </c>
      <c r="S247">
        <v>0.53246513041949506</v>
      </c>
      <c r="T247">
        <f t="shared" ca="1" si="10"/>
        <v>0.16634064124505718</v>
      </c>
    </row>
    <row r="248" spans="18:20" x14ac:dyDescent="0.2">
      <c r="R248">
        <v>0.85498184290515311</v>
      </c>
      <c r="S248">
        <v>0.4744004267392673</v>
      </c>
      <c r="T248">
        <f t="shared" ca="1" si="10"/>
        <v>0.20916382087760749</v>
      </c>
    </row>
    <row r="249" spans="18:20" x14ac:dyDescent="0.2">
      <c r="R249">
        <v>0.23058023316733978</v>
      </c>
      <c r="S249">
        <v>0.7373857731868021</v>
      </c>
      <c r="T249">
        <f t="shared" ca="1" si="10"/>
        <v>9.1420083388888587E-2</v>
      </c>
    </row>
    <row r="250" spans="18:20" x14ac:dyDescent="0.2">
      <c r="R250">
        <v>0.97926536357597005</v>
      </c>
      <c r="S250">
        <v>0.31860292224266251</v>
      </c>
      <c r="T250">
        <f t="shared" ca="1" si="10"/>
        <v>0.22665705374074233</v>
      </c>
    </row>
    <row r="251" spans="18:20" x14ac:dyDescent="0.2">
      <c r="R251">
        <v>9.316239107419233E-2</v>
      </c>
      <c r="S251">
        <v>0.84246387236923015</v>
      </c>
      <c r="T251">
        <f t="shared" ca="1" si="10"/>
        <v>6.8218646088060525E-2</v>
      </c>
    </row>
    <row r="252" spans="18:20" x14ac:dyDescent="0.2">
      <c r="R252">
        <v>0.53448173045448955</v>
      </c>
      <c r="S252">
        <v>0.51496686708209161</v>
      </c>
      <c r="T252">
        <f t="shared" ca="1" si="10"/>
        <v>0.14330272012056472</v>
      </c>
    </row>
    <row r="253" spans="18:20" x14ac:dyDescent="0.2">
      <c r="R253">
        <v>0.72987806330848759</v>
      </c>
      <c r="S253">
        <v>0.50787451564121211</v>
      </c>
      <c r="T253">
        <f t="shared" ca="1" si="10"/>
        <v>0.18446897500672654</v>
      </c>
    </row>
    <row r="254" spans="18:20" x14ac:dyDescent="0.2">
      <c r="R254">
        <v>0.7339381897486954</v>
      </c>
      <c r="S254">
        <v>0.56868622329114316</v>
      </c>
      <c r="T254">
        <f t="shared" ca="1" si="10"/>
        <v>0.188826270220703</v>
      </c>
    </row>
    <row r="255" spans="18:20" x14ac:dyDescent="0.2">
      <c r="R255">
        <v>0.50709946591135846</v>
      </c>
      <c r="S255">
        <v>0.56837544344618962</v>
      </c>
      <c r="T255">
        <f t="shared" ca="1" si="10"/>
        <v>0.14054485864719779</v>
      </c>
    </row>
    <row r="256" spans="18:20" x14ac:dyDescent="0.2">
      <c r="R256">
        <v>0.64794441698257399</v>
      </c>
      <c r="S256">
        <v>7.8940365764799347E-2</v>
      </c>
      <c r="T256">
        <f t="shared" ca="1" si="10"/>
        <v>0.14239538632746165</v>
      </c>
    </row>
    <row r="257" spans="18:20" x14ac:dyDescent="0.2">
      <c r="R257">
        <v>0.73852204176480829</v>
      </c>
      <c r="S257">
        <v>0.95036999184754789</v>
      </c>
      <c r="T257">
        <f t="shared" ca="1" si="10"/>
        <v>0.2117280722475843</v>
      </c>
    </row>
    <row r="258" spans="18:20" x14ac:dyDescent="0.2">
      <c r="R258">
        <v>0.54534822980705044</v>
      </c>
      <c r="S258">
        <v>0.75405790919565008</v>
      </c>
      <c r="T258">
        <f t="shared" ca="1" si="10"/>
        <v>0.15934975857231404</v>
      </c>
    </row>
    <row r="259" spans="18:20" x14ac:dyDescent="0.2">
      <c r="R259">
        <v>0.79162092534516681</v>
      </c>
      <c r="S259">
        <v>0.83274067170606336</v>
      </c>
      <c r="T259">
        <f t="shared" ca="1" si="10"/>
        <v>0.21626827802251147</v>
      </c>
    </row>
    <row r="260" spans="18:20" x14ac:dyDescent="0.2">
      <c r="R260">
        <v>0.32989924553373073</v>
      </c>
      <c r="S260">
        <v>3.5812848025704391E-2</v>
      </c>
      <c r="T260">
        <f t="shared" ca="1" si="10"/>
        <v>7.2248662659717217E-2</v>
      </c>
    </row>
    <row r="261" spans="18:20" x14ac:dyDescent="0.2">
      <c r="R261">
        <v>0.44865098174302698</v>
      </c>
      <c r="S261">
        <v>0.77478352931590611</v>
      </c>
      <c r="T261">
        <f t="shared" ca="1" si="10"/>
        <v>0.1399664967358131</v>
      </c>
    </row>
    <row r="262" spans="18:20" x14ac:dyDescent="0.2">
      <c r="R262">
        <v>0.73266923237670722</v>
      </c>
      <c r="S262">
        <v>0.83794764084195938</v>
      </c>
      <c r="T262">
        <f t="shared" ca="1" si="10"/>
        <v>0.20402448838383749</v>
      </c>
    </row>
    <row r="263" spans="18:20" x14ac:dyDescent="0.2">
      <c r="R263">
        <v>0.31082678273376674</v>
      </c>
      <c r="S263">
        <v>0.76681416462632468</v>
      </c>
      <c r="T263">
        <f t="shared" ca="1" si="10"/>
        <v>0.11018438450699454</v>
      </c>
    </row>
    <row r="264" spans="18:20" x14ac:dyDescent="0.2">
      <c r="R264">
        <v>0.18532761679061793</v>
      </c>
      <c r="S264">
        <v>0.60533272995487908</v>
      </c>
      <c r="T264">
        <f t="shared" ca="1" si="10"/>
        <v>7.4205841250730917E-2</v>
      </c>
    </row>
    <row r="265" spans="18:20" x14ac:dyDescent="0.2">
      <c r="R265">
        <v>0.76615974443865154</v>
      </c>
      <c r="S265">
        <v>0.45741746447018772</v>
      </c>
      <c r="T265">
        <f t="shared" ca="1" si="10"/>
        <v>0.18928988507353237</v>
      </c>
    </row>
    <row r="266" spans="18:20" x14ac:dyDescent="0.2">
      <c r="R266">
        <v>0.6737675932785574</v>
      </c>
      <c r="S266">
        <v>0.85266643631059358</v>
      </c>
      <c r="T266">
        <f t="shared" ca="1" si="10"/>
        <v>0.19233777257072715</v>
      </c>
    </row>
    <row r="267" spans="18:20" x14ac:dyDescent="0.2">
      <c r="R267">
        <v>0.16810767739595589</v>
      </c>
      <c r="S267">
        <v>0.48576500084309282</v>
      </c>
      <c r="T267">
        <f t="shared" ca="1" si="10"/>
        <v>6.3673239919912972E-2</v>
      </c>
    </row>
    <row r="268" spans="18:20" x14ac:dyDescent="0.2">
      <c r="R268">
        <v>0.53004578700813498</v>
      </c>
      <c r="S268">
        <v>0.75978902274615601</v>
      </c>
      <c r="T268">
        <f t="shared" ca="1" si="10"/>
        <v>0.1564231538616164</v>
      </c>
    </row>
    <row r="269" spans="18:20" x14ac:dyDescent="0.2">
      <c r="R269">
        <v>0.87912804295358693</v>
      </c>
      <c r="S269">
        <v>0.25072595880785031</v>
      </c>
      <c r="T269">
        <f t="shared" ca="1" si="10"/>
        <v>0.20145192592163966</v>
      </c>
    </row>
    <row r="270" spans="18:20" x14ac:dyDescent="0.2">
      <c r="R270">
        <v>0.11988486488390981</v>
      </c>
      <c r="S270">
        <v>0.74560313996633731</v>
      </c>
      <c r="T270">
        <f t="shared" ca="1" si="10"/>
        <v>6.8339938866983169E-2</v>
      </c>
    </row>
    <row r="271" spans="18:20" x14ac:dyDescent="0.2">
      <c r="R271">
        <v>0.8575254114969878</v>
      </c>
      <c r="S271">
        <v>0.67522188569155672</v>
      </c>
      <c r="T271">
        <f t="shared" ca="1" si="10"/>
        <v>0.22124155758164002</v>
      </c>
    </row>
    <row r="272" spans="18:20" x14ac:dyDescent="0.2">
      <c r="R272">
        <v>0.85451187924244543</v>
      </c>
      <c r="S272">
        <v>0.45613109372794747</v>
      </c>
      <c r="T272">
        <f t="shared" ca="1" si="10"/>
        <v>0.20801431373382792</v>
      </c>
    </row>
    <row r="273" spans="18:20" x14ac:dyDescent="0.2">
      <c r="R273">
        <v>0.32645752184107601</v>
      </c>
      <c r="S273">
        <v>0.50017727978303617</v>
      </c>
      <c r="T273">
        <f t="shared" ca="1" si="10"/>
        <v>9.8192635613296969E-2</v>
      </c>
    </row>
    <row r="274" spans="18:20" x14ac:dyDescent="0.2">
      <c r="R274">
        <v>0.39815027107985113</v>
      </c>
      <c r="S274">
        <v>0.29011885930811232</v>
      </c>
      <c r="T274">
        <f t="shared" ca="1" si="10"/>
        <v>0.10137922619000882</v>
      </c>
    </row>
    <row r="275" spans="18:20" x14ac:dyDescent="0.2">
      <c r="R275">
        <v>0.88483642283197228</v>
      </c>
      <c r="S275">
        <v>0.64828445765743425</v>
      </c>
      <c r="T275">
        <f t="shared" ca="1" si="10"/>
        <v>0.22550494178712327</v>
      </c>
    </row>
    <row r="276" spans="18:20" x14ac:dyDescent="0.2">
      <c r="R276">
        <v>0.31471914300223514</v>
      </c>
      <c r="S276">
        <v>0.82075095531815401</v>
      </c>
      <c r="T276">
        <f t="shared" ca="1" si="10"/>
        <v>0.11411104275279504</v>
      </c>
    </row>
    <row r="277" spans="18:20" x14ac:dyDescent="0.2">
      <c r="R277">
        <v>0.80363433925713068</v>
      </c>
      <c r="S277">
        <v>0.24005391556653999</v>
      </c>
      <c r="T277">
        <f t="shared" ca="1" si="10"/>
        <v>0.18477636094895669</v>
      </c>
    </row>
    <row r="278" spans="18:20" x14ac:dyDescent="0.2">
      <c r="R278">
        <v>0.42468203674503791</v>
      </c>
      <c r="S278">
        <v>0.8881046805183469</v>
      </c>
      <c r="T278">
        <f t="shared" ca="1" si="10"/>
        <v>0.14137665967765778</v>
      </c>
    </row>
    <row r="279" spans="18:20" x14ac:dyDescent="0.2">
      <c r="R279">
        <v>0.45273169095420984</v>
      </c>
      <c r="S279">
        <v>0.89377996566202356</v>
      </c>
      <c r="T279">
        <f t="shared" ca="1" si="10"/>
        <v>0.1476706982304162</v>
      </c>
    </row>
    <row r="280" spans="18:20" x14ac:dyDescent="0.2">
      <c r="R280">
        <v>0.3893325319801072</v>
      </c>
      <c r="S280">
        <v>0.65356609313538938</v>
      </c>
      <c r="T280">
        <f t="shared" ca="1" si="10"/>
        <v>0.12038199513333242</v>
      </c>
    </row>
    <row r="281" spans="18:20" x14ac:dyDescent="0.2">
      <c r="R281">
        <v>1.117280150892519E-2</v>
      </c>
      <c r="S281">
        <v>0.8119525436651932</v>
      </c>
      <c r="T281">
        <f t="shared" ca="1" si="10"/>
        <v>4.902127410606965E-2</v>
      </c>
    </row>
    <row r="282" spans="18:20" x14ac:dyDescent="0.2">
      <c r="R282">
        <v>0.12863957896625844</v>
      </c>
      <c r="S282">
        <v>0.44658887058766927</v>
      </c>
      <c r="T282">
        <f t="shared" ca="1" si="10"/>
        <v>5.3025228515942366E-2</v>
      </c>
    </row>
    <row r="283" spans="18:20" x14ac:dyDescent="0.2">
      <c r="R283">
        <v>0.52533936493071709</v>
      </c>
      <c r="S283">
        <v>0.45776960491804064</v>
      </c>
      <c r="T283">
        <f t="shared" ca="1" si="10"/>
        <v>0.13807173579969959</v>
      </c>
    </row>
    <row r="284" spans="18:20" x14ac:dyDescent="0.2">
      <c r="R284">
        <v>0.76298162487048249</v>
      </c>
      <c r="S284">
        <v>0.5597880201526737</v>
      </c>
      <c r="T284">
        <f t="shared" ca="1" si="10"/>
        <v>0.19449455113014988</v>
      </c>
    </row>
    <row r="285" spans="18:20" x14ac:dyDescent="0.2">
      <c r="R285">
        <v>0.39119740012994031</v>
      </c>
      <c r="S285">
        <v>0.9714941341587815</v>
      </c>
      <c r="T285">
        <f t="shared" ca="1" si="10"/>
        <v>0.13904272688357688</v>
      </c>
    </row>
    <row r="286" spans="18:20" x14ac:dyDescent="0.2">
      <c r="R286">
        <v>0.64223935610694027</v>
      </c>
      <c r="S286">
        <v>0.83058691848506461</v>
      </c>
      <c r="T286">
        <f t="shared" ca="1" si="10"/>
        <v>0.1843612391697676</v>
      </c>
    </row>
    <row r="287" spans="18:20" x14ac:dyDescent="0.2">
      <c r="R287">
        <v>0.48823007926975304</v>
      </c>
      <c r="S287">
        <v>0.64644715910797901</v>
      </c>
      <c r="T287">
        <f t="shared" ca="1" si="10"/>
        <v>0.14101506643168241</v>
      </c>
    </row>
    <row r="288" spans="18:20" x14ac:dyDescent="0.2">
      <c r="R288">
        <v>5.5090426122663683E-3</v>
      </c>
      <c r="S288">
        <v>0.80084983066407855</v>
      </c>
      <c r="T288">
        <f t="shared" ca="1" si="10"/>
        <v>4.7178403593950549E-2</v>
      </c>
    </row>
    <row r="289" spans="18:20" x14ac:dyDescent="0.2">
      <c r="R289">
        <v>0.37522145676798446</v>
      </c>
      <c r="S289">
        <v>0.69490599779697815</v>
      </c>
      <c r="T289">
        <f t="shared" ca="1" si="10"/>
        <v>0.11975448429216354</v>
      </c>
    </row>
    <row r="290" spans="18:20" x14ac:dyDescent="0.2">
      <c r="R290">
        <v>0.37960595621897986</v>
      </c>
      <c r="S290">
        <v>0.1020611659637104</v>
      </c>
      <c r="T290">
        <f t="shared" ca="1" si="10"/>
        <v>8.6630312984932276E-2</v>
      </c>
    </row>
    <row r="291" spans="18:20" x14ac:dyDescent="0.2">
      <c r="R291">
        <v>0.10028678023982207</v>
      </c>
      <c r="S291">
        <v>0.25096969975447236</v>
      </c>
      <c r="T291">
        <f t="shared" ca="1" si="10"/>
        <v>3.5755021100750975E-2</v>
      </c>
    </row>
    <row r="292" spans="18:20" x14ac:dyDescent="0.2">
      <c r="R292">
        <v>0.54265400475010228</v>
      </c>
      <c r="S292">
        <v>3.7892277335796476E-2</v>
      </c>
      <c r="T292">
        <f t="shared" ca="1" si="10"/>
        <v>0.11763508928314198</v>
      </c>
    </row>
    <row r="293" spans="18:20" x14ac:dyDescent="0.2">
      <c r="R293">
        <v>0.23076757999019326</v>
      </c>
      <c r="S293">
        <v>0.56306399619317848</v>
      </c>
      <c r="T293">
        <f t="shared" ca="1" si="10"/>
        <v>8.144571467284073E-2</v>
      </c>
    </row>
    <row r="294" spans="18:20" x14ac:dyDescent="0.2">
      <c r="R294">
        <v>0.65485844891587563</v>
      </c>
      <c r="S294">
        <v>0.44878850972674</v>
      </c>
      <c r="T294">
        <f t="shared" ca="1" si="10"/>
        <v>0.16511305245576499</v>
      </c>
    </row>
    <row r="295" spans="18:20" x14ac:dyDescent="0.2">
      <c r="R295">
        <v>0.15530268255556878</v>
      </c>
      <c r="S295">
        <v>0.20086851585627064</v>
      </c>
      <c r="T295">
        <f t="shared" ca="1" si="10"/>
        <v>4.4582379114204644E-2</v>
      </c>
    </row>
    <row r="296" spans="18:20" x14ac:dyDescent="0.2">
      <c r="R296">
        <v>0.15307096476262583</v>
      </c>
      <c r="S296">
        <v>0.96491107908556617</v>
      </c>
      <c r="T296">
        <f t="shared" ca="1" si="10"/>
        <v>8.7999352365048661E-2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TimeSeries</vt:lpstr>
      <vt:lpstr>Optimiser</vt:lpstr>
      <vt:lpstr>LinearAlgebra</vt:lpstr>
      <vt:lpstr>OptionPricer</vt:lpstr>
      <vt:lpstr>indicators</vt:lpstr>
      <vt:lpstr>GraphTheory</vt:lpstr>
      <vt:lpstr>ImageProcessing</vt:lpstr>
      <vt:lpstr>TextFiles</vt:lpstr>
      <vt:lpstr>ArrayFunctions</vt:lpstr>
      <vt:lpstr>EditDistance</vt:lpstr>
      <vt:lpstr>Sheet1</vt:lpstr>
      <vt:lpstr>PointClouds</vt:lpstr>
      <vt:lpstr>Filename</vt:lpstr>
      <vt:lpstr>p_a</vt:lpstr>
      <vt:lpstr>p_b</vt:lpstr>
      <vt:lpstr>p_c</vt:lpstr>
      <vt:lpstr>p_d</vt:lpstr>
      <vt:lpstr>indicators!path</vt:lpstr>
      <vt:lpstr>path</vt:lpstr>
      <vt:lpstr>searchfield</vt:lpstr>
    </vt:vector>
  </TitlesOfParts>
  <Company>vince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</dc:creator>
  <cp:lastModifiedBy>hunor</cp:lastModifiedBy>
  <dcterms:created xsi:type="dcterms:W3CDTF">2000-06-14T08:25:24Z</dcterms:created>
  <dcterms:modified xsi:type="dcterms:W3CDTF">2015-05-03T21:15:47Z</dcterms:modified>
</cp:coreProperties>
</file>